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helenschmid/Documents/FilterZyme/"/>
    </mc:Choice>
  </mc:AlternateContent>
  <xr:revisionPtr revIDLastSave="0" documentId="13_ncr:1_{291CEA9E-746D-0143-B455-91999B7A323B}" xr6:coauthVersionLast="47" xr6:coauthVersionMax="47" xr10:uidLastSave="{00000000-0000-0000-0000-000000000000}"/>
  <bookViews>
    <workbookView xWindow="0" yWindow="680" windowWidth="30240" windowHeight="17460" tabRatio="853" xr2:uid="{00000000-000D-0000-FFFF-FFFF00000000}"/>
  </bookViews>
  <sheets>
    <sheet name="round1_CuSOD" sheetId="1" r:id="rId1"/>
    <sheet name="round1_MDH" sheetId="2" r:id="rId2"/>
    <sheet name="round2_CuSOD" sheetId="3" r:id="rId3"/>
    <sheet name="round2_MDH" sheetId="4" r:id="rId4"/>
    <sheet name="round3_CuSOD" sheetId="5" r:id="rId5"/>
    <sheet name="round3_MDH" sheetId="6" r:id="rId6"/>
    <sheet name="Summary" sheetId="7" r:id="rId7"/>
    <sheet name="Methods" sheetId="8" r:id="rId8"/>
    <sheet name="CuSOD_assay_data" sheetId="12" r:id="rId9"/>
    <sheet name="MDH_assay_data" sheetId="13" r:id="rId10"/>
    <sheet name="Assay_data_notes" sheetId="11" r:id="rId11"/>
  </sheets>
  <definedNames>
    <definedName name="_xlnm._FilterDatabase" localSheetId="0" hidden="1">round1_CuSOD!$A$1:$H$1001</definedName>
    <definedName name="_xlnm._FilterDatabase" localSheetId="1" hidden="1">round1_MDH!$A$1:$H$1001</definedName>
    <definedName name="_xlnm._FilterDatabase" localSheetId="2" hidden="1">round2_CuSOD!$A$1:$I$999</definedName>
    <definedName name="_xlnm._FilterDatabase" localSheetId="3" hidden="1">round2_MDH!$A$1:$H$1000</definedName>
    <definedName name="_xlnm._FilterDatabase" localSheetId="4" hidden="1">round3_CuSOD!$A$1:$H$73</definedName>
    <definedName name="_xlnm._FilterDatabase" localSheetId="5" hidden="1">round3_MDH!$A$1:$H$82</definedName>
    <definedName name="Z_516DF7E8_17B5_47EA_93F6_52A184813808_.wvu.FilterData" localSheetId="0" hidden="1">round1_CuSOD!$A$1:$E$72</definedName>
  </definedNames>
  <calcPr calcId="191029"/>
  <customWorkbookViews>
    <customWorkbookView name="过滤器1" guid="{516DF7E8-17B5-47EA-93F6-52A18481380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kay0a5+zCf3qTtrcA6bB10trlatxf6z0ccumeXaPuq4="/>
    </ext>
  </extLst>
</workbook>
</file>

<file path=xl/calcChain.xml><?xml version="1.0" encoding="utf-8"?>
<calcChain xmlns="http://schemas.openxmlformats.org/spreadsheetml/2006/main">
  <c r="I51" i="13" l="1"/>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20" i="12"/>
  <c r="P126" i="12"/>
  <c r="P127" i="12"/>
  <c r="P128" i="12"/>
  <c r="P129" i="12"/>
  <c r="P130" i="12"/>
  <c r="P131" i="12"/>
  <c r="P132" i="12"/>
  <c r="P133" i="12"/>
  <c r="P139" i="12"/>
  <c r="P140" i="12"/>
  <c r="P146" i="12"/>
  <c r="P147" i="12"/>
  <c r="P148" i="12"/>
  <c r="P149" i="12"/>
  <c r="P150" i="12"/>
  <c r="P151" i="12"/>
  <c r="P152" i="12"/>
  <c r="P153" i="12"/>
  <c r="P159" i="12"/>
  <c r="P160" i="12"/>
  <c r="P166" i="12"/>
  <c r="P167" i="12"/>
  <c r="P168" i="12"/>
  <c r="P169" i="12"/>
  <c r="P170" i="12"/>
  <c r="P171" i="12"/>
  <c r="P172" i="12"/>
  <c r="P173" i="12"/>
  <c r="P179" i="12"/>
  <c r="P180" i="12"/>
  <c r="P186" i="12"/>
  <c r="P187" i="12"/>
  <c r="P188" i="12"/>
  <c r="P189" i="12"/>
  <c r="P190" i="12"/>
  <c r="P191" i="12"/>
  <c r="P192" i="12"/>
  <c r="P199" i="12"/>
  <c r="P200" i="12"/>
  <c r="P206" i="12"/>
  <c r="P207" i="12"/>
  <c r="P208" i="12"/>
  <c r="P209" i="12"/>
  <c r="P210" i="12"/>
  <c r="P211" i="12"/>
  <c r="P212" i="12"/>
  <c r="P213" i="12"/>
  <c r="P219" i="12"/>
  <c r="P220" i="12"/>
  <c r="P226" i="12"/>
  <c r="P227" i="12"/>
  <c r="P228" i="12"/>
  <c r="P229" i="12"/>
  <c r="P230" i="12"/>
  <c r="P231" i="12"/>
  <c r="P232" i="12"/>
  <c r="P233" i="12"/>
  <c r="P239" i="12"/>
  <c r="P240" i="12"/>
  <c r="P246" i="12"/>
  <c r="P247" i="12"/>
  <c r="P248" i="12"/>
  <c r="P249" i="12"/>
  <c r="P250" i="12"/>
  <c r="P251" i="12"/>
  <c r="P252" i="12"/>
  <c r="P253" i="12"/>
  <c r="P259" i="12"/>
  <c r="P260" i="12"/>
  <c r="P266" i="12"/>
  <c r="P267" i="12"/>
  <c r="P268" i="12"/>
  <c r="P269" i="12"/>
  <c r="P270" i="12"/>
  <c r="P271" i="12"/>
  <c r="P272" i="12"/>
  <c r="P273" i="12"/>
  <c r="P279" i="12"/>
  <c r="P280" i="12"/>
  <c r="P2" i="12"/>
  <c r="N2" i="13"/>
  <c r="K115" i="12"/>
  <c r="P115" i="12" s="1"/>
  <c r="K116" i="12"/>
  <c r="P116" i="12" s="1"/>
  <c r="K117" i="12"/>
  <c r="P117" i="12" s="1"/>
  <c r="K118" i="12"/>
  <c r="P118" i="12" s="1"/>
  <c r="K119" i="12"/>
  <c r="P119" i="12" s="1"/>
  <c r="K120" i="12"/>
  <c r="K121" i="12"/>
  <c r="P121" i="12" s="1"/>
  <c r="K122" i="12"/>
  <c r="P122" i="12" s="1"/>
  <c r="K123" i="12"/>
  <c r="P123" i="12" s="1"/>
  <c r="K124" i="12"/>
  <c r="P124" i="12" s="1"/>
  <c r="K125" i="12"/>
  <c r="P125" i="12" s="1"/>
  <c r="K126" i="12"/>
  <c r="K127" i="12"/>
  <c r="K128" i="12"/>
  <c r="K129" i="12"/>
  <c r="K130" i="12"/>
  <c r="K131" i="12"/>
  <c r="K132" i="12"/>
  <c r="K133" i="12"/>
  <c r="K134" i="12"/>
  <c r="P134" i="12" s="1"/>
  <c r="K135" i="12"/>
  <c r="P135" i="12" s="1"/>
  <c r="K136" i="12"/>
  <c r="P136" i="12" s="1"/>
  <c r="K137" i="12"/>
  <c r="P137" i="12" s="1"/>
  <c r="K138" i="12"/>
  <c r="P138" i="12" s="1"/>
  <c r="K139" i="12"/>
  <c r="K140" i="12"/>
  <c r="K141" i="12"/>
  <c r="P141" i="12" s="1"/>
  <c r="K142" i="12"/>
  <c r="P142" i="12" s="1"/>
  <c r="K143" i="12"/>
  <c r="P143" i="12" s="1"/>
  <c r="K144" i="12"/>
  <c r="P144" i="12" s="1"/>
  <c r="K145" i="12"/>
  <c r="P145" i="12" s="1"/>
  <c r="K146" i="12"/>
  <c r="K147" i="12"/>
  <c r="K148" i="12"/>
  <c r="K149" i="12"/>
  <c r="K150" i="12"/>
  <c r="K151" i="12"/>
  <c r="K152" i="12"/>
  <c r="K153" i="12"/>
  <c r="K154" i="12"/>
  <c r="P154" i="12" s="1"/>
  <c r="K155" i="12"/>
  <c r="P155" i="12" s="1"/>
  <c r="K156" i="12"/>
  <c r="P156" i="12" s="1"/>
  <c r="K157" i="12"/>
  <c r="P157" i="12" s="1"/>
  <c r="K158" i="12"/>
  <c r="P158" i="12" s="1"/>
  <c r="K159" i="12"/>
  <c r="K160" i="12"/>
  <c r="K161" i="12"/>
  <c r="P161" i="12" s="1"/>
  <c r="K162" i="12"/>
  <c r="P162" i="12" s="1"/>
  <c r="K163" i="12"/>
  <c r="P163" i="12" s="1"/>
  <c r="K164" i="12"/>
  <c r="P164" i="12" s="1"/>
  <c r="K165" i="12"/>
  <c r="P165" i="12" s="1"/>
  <c r="K166" i="12"/>
  <c r="K167" i="12"/>
  <c r="K168" i="12"/>
  <c r="K169" i="12"/>
  <c r="K170" i="12"/>
  <c r="K171" i="12"/>
  <c r="K172" i="12"/>
  <c r="K173" i="12"/>
  <c r="K174" i="12"/>
  <c r="P174" i="12" s="1"/>
  <c r="K175" i="12"/>
  <c r="P175" i="12" s="1"/>
  <c r="K176" i="12"/>
  <c r="P176" i="12" s="1"/>
  <c r="K177" i="12"/>
  <c r="P177" i="12" s="1"/>
  <c r="K178" i="12"/>
  <c r="P178" i="12" s="1"/>
  <c r="K179" i="12"/>
  <c r="K180" i="12"/>
  <c r="K181" i="12"/>
  <c r="P181" i="12" s="1"/>
  <c r="K182" i="12"/>
  <c r="P182" i="12" s="1"/>
  <c r="K183" i="12"/>
  <c r="P183" i="12" s="1"/>
  <c r="K184" i="12"/>
  <c r="P184" i="12" s="1"/>
  <c r="K185" i="12"/>
  <c r="P185" i="12" s="1"/>
  <c r="K186" i="12"/>
  <c r="K187" i="12"/>
  <c r="K188" i="12"/>
  <c r="K189" i="12"/>
  <c r="K190" i="12"/>
  <c r="K191" i="12"/>
  <c r="K192" i="12"/>
  <c r="K193" i="12"/>
  <c r="P193" i="12" s="1"/>
  <c r="K194" i="12"/>
  <c r="P194" i="12" s="1"/>
  <c r="K195" i="12"/>
  <c r="P195" i="12" s="1"/>
  <c r="K196" i="12"/>
  <c r="P196" i="12" s="1"/>
  <c r="K197" i="12"/>
  <c r="P197" i="12" s="1"/>
  <c r="K198" i="12"/>
  <c r="P198" i="12" s="1"/>
  <c r="K199" i="12"/>
  <c r="K200" i="12"/>
  <c r="K201" i="12"/>
  <c r="P201" i="12" s="1"/>
  <c r="K202" i="12"/>
  <c r="P202" i="12" s="1"/>
  <c r="K203" i="12"/>
  <c r="P203" i="12" s="1"/>
  <c r="K204" i="12"/>
  <c r="P204" i="12" s="1"/>
  <c r="K205" i="12"/>
  <c r="P205" i="12" s="1"/>
  <c r="K206" i="12"/>
  <c r="K207" i="12"/>
  <c r="K208" i="12"/>
  <c r="K209" i="12"/>
  <c r="K210" i="12"/>
  <c r="K211" i="12"/>
  <c r="K212" i="12"/>
  <c r="K213" i="12"/>
  <c r="K214" i="12"/>
  <c r="P214" i="12" s="1"/>
  <c r="K215" i="12"/>
  <c r="P215" i="12" s="1"/>
  <c r="K216" i="12"/>
  <c r="P216" i="12" s="1"/>
  <c r="K217" i="12"/>
  <c r="P217" i="12" s="1"/>
  <c r="K218" i="12"/>
  <c r="P218" i="12" s="1"/>
  <c r="K219" i="12"/>
  <c r="K220" i="12"/>
  <c r="K221" i="12"/>
  <c r="P221" i="12" s="1"/>
  <c r="K222" i="12"/>
  <c r="P222" i="12" s="1"/>
  <c r="K223" i="12"/>
  <c r="P223" i="12" s="1"/>
  <c r="K224" i="12"/>
  <c r="P224" i="12" s="1"/>
  <c r="K225" i="12"/>
  <c r="P225" i="12" s="1"/>
  <c r="K226" i="12"/>
  <c r="K227" i="12"/>
  <c r="K228" i="12"/>
  <c r="K229" i="12"/>
  <c r="K230" i="12"/>
  <c r="K231" i="12"/>
  <c r="K232" i="12"/>
  <c r="K233" i="12"/>
  <c r="K234" i="12"/>
  <c r="P234" i="12" s="1"/>
  <c r="K235" i="12"/>
  <c r="P235" i="12" s="1"/>
  <c r="K236" i="12"/>
  <c r="P236" i="12" s="1"/>
  <c r="K237" i="12"/>
  <c r="P237" i="12" s="1"/>
  <c r="K238" i="12"/>
  <c r="P238" i="12" s="1"/>
  <c r="K239" i="12"/>
  <c r="K240" i="12"/>
  <c r="K241" i="12"/>
  <c r="P241" i="12" s="1"/>
  <c r="K242" i="12"/>
  <c r="P242" i="12" s="1"/>
  <c r="K243" i="12"/>
  <c r="P243" i="12" s="1"/>
  <c r="K244" i="12"/>
  <c r="P244" i="12" s="1"/>
  <c r="K245" i="12"/>
  <c r="P245" i="12" s="1"/>
  <c r="K246" i="12"/>
  <c r="K247" i="12"/>
  <c r="K248" i="12"/>
  <c r="K249" i="12"/>
  <c r="K250" i="12"/>
  <c r="K251" i="12"/>
  <c r="K252" i="12"/>
  <c r="K253" i="12"/>
  <c r="K254" i="12"/>
  <c r="P254" i="12" s="1"/>
  <c r="K255" i="12"/>
  <c r="P255" i="12" s="1"/>
  <c r="K256" i="12"/>
  <c r="P256" i="12" s="1"/>
  <c r="K257" i="12"/>
  <c r="P257" i="12" s="1"/>
  <c r="K258" i="12"/>
  <c r="P258" i="12" s="1"/>
  <c r="K259" i="12"/>
  <c r="K260" i="12"/>
  <c r="K261" i="12"/>
  <c r="P261" i="12" s="1"/>
  <c r="K262" i="12"/>
  <c r="P262" i="12" s="1"/>
  <c r="K263" i="12"/>
  <c r="P263" i="12" s="1"/>
  <c r="K264" i="12"/>
  <c r="P264" i="12" s="1"/>
  <c r="K265" i="12"/>
  <c r="P265" i="12" s="1"/>
  <c r="K266" i="12"/>
  <c r="K267" i="12"/>
  <c r="K268" i="12"/>
  <c r="K269" i="12"/>
  <c r="K270" i="12"/>
  <c r="K271" i="12"/>
  <c r="K272" i="12"/>
  <c r="K273" i="12"/>
  <c r="K274" i="12"/>
  <c r="P274" i="12" s="1"/>
  <c r="K275" i="12"/>
  <c r="P275" i="12" s="1"/>
  <c r="K276" i="12"/>
  <c r="P276" i="12" s="1"/>
  <c r="K277" i="12"/>
  <c r="P277" i="12" s="1"/>
  <c r="K278" i="12"/>
  <c r="P278" i="12" s="1"/>
  <c r="K279" i="12"/>
  <c r="K280" i="12"/>
  <c r="K281" i="12"/>
  <c r="P281" i="12" s="1"/>
  <c r="K282" i="12"/>
  <c r="P282" i="12" s="1"/>
  <c r="K283" i="12"/>
  <c r="P283" i="12" s="1"/>
  <c r="K284" i="12"/>
  <c r="P284" i="12" s="1"/>
  <c r="K114" i="12"/>
  <c r="P114" i="12" s="1"/>
  <c r="M85" i="13"/>
  <c r="M86" i="13"/>
  <c r="M87" i="13"/>
  <c r="M88" i="13"/>
  <c r="M89" i="13"/>
  <c r="M90" i="13"/>
  <c r="M91" i="13"/>
  <c r="M92" i="13"/>
  <c r="M93" i="13"/>
  <c r="M94" i="13"/>
  <c r="M95" i="13"/>
  <c r="M96" i="13"/>
  <c r="M97" i="13"/>
  <c r="M98" i="13"/>
  <c r="M99" i="13"/>
  <c r="M100" i="13"/>
  <c r="M101" i="13"/>
  <c r="M102" i="13"/>
  <c r="M103" i="13"/>
  <c r="M104" i="13"/>
  <c r="M105" i="13"/>
  <c r="M106" i="13"/>
  <c r="M107" i="13"/>
  <c r="M108" i="13"/>
  <c r="M109" i="13"/>
  <c r="M110" i="13"/>
  <c r="M111" i="13"/>
  <c r="M112" i="13"/>
  <c r="M113" i="13"/>
  <c r="M114" i="13"/>
  <c r="M115" i="13"/>
  <c r="M116" i="13"/>
  <c r="M117" i="13"/>
  <c r="M118" i="13"/>
  <c r="M119" i="13"/>
  <c r="M120" i="13"/>
  <c r="M121" i="13"/>
  <c r="M122" i="13"/>
  <c r="M123" i="13"/>
  <c r="M124" i="13"/>
  <c r="M125" i="13"/>
  <c r="M126" i="13"/>
  <c r="M127" i="13"/>
  <c r="M128" i="13"/>
  <c r="M129" i="13"/>
  <c r="M130" i="13"/>
  <c r="M131" i="13"/>
  <c r="M132" i="13"/>
  <c r="M133" i="13"/>
  <c r="M134" i="13"/>
  <c r="M135" i="13"/>
  <c r="M136" i="13"/>
  <c r="M137" i="13"/>
  <c r="M138" i="13"/>
  <c r="M139" i="13"/>
  <c r="M140" i="13"/>
  <c r="M141" i="13"/>
  <c r="M142" i="13"/>
  <c r="M143" i="13"/>
  <c r="M144" i="13"/>
  <c r="M145" i="13"/>
  <c r="M146" i="13"/>
  <c r="M147" i="13"/>
  <c r="M148" i="13"/>
  <c r="M149" i="13"/>
  <c r="M150" i="13"/>
  <c r="M151" i="13"/>
  <c r="M152" i="13"/>
  <c r="M153" i="13"/>
  <c r="M154" i="13"/>
  <c r="M155" i="13"/>
  <c r="M156" i="13"/>
  <c r="M157" i="13"/>
  <c r="M158" i="13"/>
  <c r="M159" i="13"/>
  <c r="M160" i="13"/>
  <c r="M161" i="13"/>
  <c r="M162" i="13"/>
  <c r="M163" i="13"/>
  <c r="M164" i="13"/>
  <c r="M165" i="13"/>
  <c r="M166" i="13"/>
  <c r="M167" i="13"/>
  <c r="M168" i="13"/>
  <c r="M169" i="13"/>
  <c r="M170" i="13"/>
  <c r="M171" i="13"/>
  <c r="M172" i="13"/>
  <c r="M173" i="13"/>
  <c r="M174" i="13"/>
  <c r="M175" i="13"/>
  <c r="M176" i="13"/>
  <c r="M177" i="13"/>
  <c r="M178" i="13"/>
  <c r="M179" i="13"/>
  <c r="M180" i="13"/>
  <c r="M181" i="13"/>
  <c r="M182" i="13"/>
  <c r="M183" i="13"/>
  <c r="M184" i="13"/>
  <c r="M185" i="13"/>
  <c r="M186" i="13"/>
  <c r="M187" i="13"/>
  <c r="M188" i="13"/>
  <c r="M189" i="13"/>
  <c r="M190" i="13"/>
  <c r="M191" i="13"/>
  <c r="M192" i="13"/>
  <c r="M193" i="13"/>
  <c r="M194" i="13"/>
  <c r="M195" i="13"/>
  <c r="M196" i="13"/>
  <c r="M197" i="13"/>
  <c r="M198" i="13"/>
  <c r="M199" i="13"/>
  <c r="M200" i="13"/>
  <c r="M201" i="13"/>
  <c r="M202" i="13"/>
  <c r="M203" i="13"/>
  <c r="M204" i="13"/>
  <c r="M205" i="13"/>
  <c r="M206" i="13"/>
  <c r="M207" i="13"/>
  <c r="M208" i="13"/>
  <c r="M209" i="13"/>
  <c r="M210" i="13"/>
  <c r="M211" i="13"/>
  <c r="M212" i="13"/>
  <c r="M213" i="13"/>
  <c r="M214" i="13"/>
  <c r="M215" i="13"/>
  <c r="M216" i="13"/>
  <c r="M217" i="13"/>
  <c r="M218" i="13"/>
  <c r="M219" i="13"/>
  <c r="M220" i="13"/>
  <c r="M221" i="13"/>
  <c r="M222" i="13"/>
  <c r="M223" i="13"/>
  <c r="M224" i="13"/>
  <c r="M225" i="13"/>
  <c r="M226" i="13"/>
  <c r="M227" i="13"/>
  <c r="M228" i="13"/>
  <c r="M229" i="13"/>
  <c r="M230" i="13"/>
  <c r="M231" i="13"/>
  <c r="M232" i="13"/>
  <c r="M233" i="13"/>
  <c r="M234" i="13"/>
  <c r="M235" i="13"/>
  <c r="M236" i="13"/>
  <c r="M237" i="13"/>
  <c r="M238" i="13"/>
  <c r="M239" i="13"/>
  <c r="M240" i="13"/>
  <c r="M241" i="13"/>
  <c r="M242" i="13"/>
  <c r="M243" i="13"/>
  <c r="M244" i="13"/>
  <c r="M245" i="13"/>
  <c r="N3" i="13"/>
  <c r="N4" i="13"/>
  <c r="N5" i="13"/>
  <c r="N6" i="13"/>
  <c r="N7" i="13"/>
  <c r="N8" i="13"/>
  <c r="N9" i="13"/>
  <c r="N10" i="13"/>
  <c r="N11" i="13"/>
  <c r="N12" i="13"/>
  <c r="N13" i="13"/>
  <c r="N14" i="13"/>
  <c r="N15" i="13"/>
  <c r="N16" i="13"/>
  <c r="N17" i="13"/>
  <c r="N18" i="13"/>
  <c r="N19" i="13"/>
  <c r="N20" i="13"/>
  <c r="N21" i="13"/>
  <c r="N22" i="13"/>
  <c r="N23" i="13"/>
  <c r="N24" i="13"/>
  <c r="N25" i="13"/>
  <c r="N26" i="13"/>
  <c r="N27" i="13"/>
  <c r="N28" i="13"/>
  <c r="N29" i="13"/>
  <c r="N30" i="13"/>
  <c r="N31" i="13"/>
  <c r="N32" i="13"/>
  <c r="N33" i="13"/>
  <c r="N34" i="13"/>
  <c r="N35" i="13"/>
  <c r="N36" i="13"/>
  <c r="N37" i="13"/>
  <c r="N38" i="13"/>
  <c r="N39" i="13"/>
  <c r="N40" i="13"/>
  <c r="N41" i="13"/>
  <c r="N42" i="13"/>
  <c r="N43" i="13"/>
  <c r="N44" i="13"/>
  <c r="N45" i="13"/>
  <c r="N46" i="13"/>
  <c r="N47" i="13"/>
  <c r="N48" i="13"/>
  <c r="N49" i="13"/>
  <c r="N50" i="13"/>
  <c r="N51" i="13"/>
  <c r="N52" i="13"/>
  <c r="N53" i="13"/>
  <c r="N54" i="13"/>
  <c r="N55" i="13"/>
  <c r="N56" i="13"/>
  <c r="N57" i="13"/>
  <c r="N58" i="13"/>
  <c r="N59" i="13"/>
  <c r="N60" i="13"/>
  <c r="N61" i="13"/>
  <c r="N62" i="13"/>
  <c r="N63" i="13"/>
  <c r="N64" i="13"/>
  <c r="N65" i="13"/>
  <c r="N66" i="13"/>
  <c r="N67" i="13"/>
  <c r="N68" i="13"/>
  <c r="N69" i="13"/>
  <c r="N70" i="13"/>
  <c r="N71" i="13"/>
  <c r="N72" i="13"/>
  <c r="N73" i="13"/>
  <c r="N74" i="13"/>
  <c r="N75" i="13"/>
  <c r="N76" i="13"/>
  <c r="N77" i="13"/>
  <c r="N78" i="13"/>
  <c r="N79" i="13"/>
  <c r="N80" i="13"/>
  <c r="N81" i="13"/>
  <c r="N82" i="13"/>
  <c r="N83" i="13"/>
  <c r="N84" i="13"/>
  <c r="N85" i="13"/>
  <c r="N86" i="13"/>
  <c r="N87" i="13"/>
  <c r="N88" i="13"/>
  <c r="N89" i="13"/>
  <c r="N90" i="13"/>
  <c r="N91" i="13"/>
  <c r="N92" i="13"/>
  <c r="N93" i="13"/>
  <c r="N94" i="13"/>
  <c r="N95" i="13"/>
  <c r="N96" i="13"/>
  <c r="N97" i="13"/>
  <c r="N98" i="13"/>
  <c r="N99" i="13"/>
  <c r="N100" i="13"/>
  <c r="N101" i="13"/>
  <c r="N102" i="13"/>
  <c r="N103" i="13"/>
  <c r="N104" i="13"/>
  <c r="N105" i="13"/>
  <c r="N106" i="13"/>
  <c r="N107" i="13"/>
  <c r="N108" i="13"/>
  <c r="N109" i="13"/>
  <c r="N110" i="13"/>
  <c r="N111" i="13"/>
  <c r="N112" i="13"/>
  <c r="N113" i="13"/>
  <c r="N114" i="13"/>
  <c r="N115" i="13"/>
  <c r="N116" i="13"/>
  <c r="N117" i="13"/>
  <c r="N118" i="13"/>
  <c r="N119" i="13"/>
  <c r="N120" i="13"/>
  <c r="N121" i="13"/>
  <c r="N122" i="13"/>
  <c r="N123" i="13"/>
  <c r="N124" i="13"/>
  <c r="N125" i="13"/>
  <c r="N126" i="13"/>
  <c r="N127" i="13"/>
  <c r="N128" i="13"/>
  <c r="N129" i="13"/>
  <c r="N130" i="13"/>
  <c r="N131" i="13"/>
  <c r="N132" i="13"/>
  <c r="N133" i="13"/>
  <c r="N134" i="13"/>
  <c r="N135" i="13"/>
  <c r="N136" i="13"/>
  <c r="N137" i="13"/>
  <c r="N138" i="13"/>
  <c r="N139" i="13"/>
  <c r="N140" i="13"/>
  <c r="N141" i="13"/>
  <c r="N142" i="13"/>
  <c r="N143" i="13"/>
  <c r="N144" i="13"/>
  <c r="N145" i="13"/>
  <c r="N146" i="13"/>
  <c r="N147" i="13"/>
  <c r="N148" i="13"/>
  <c r="N149" i="13"/>
  <c r="N150" i="13"/>
  <c r="N151" i="13"/>
  <c r="N152" i="13"/>
  <c r="N153" i="13"/>
  <c r="N154" i="13"/>
  <c r="N155" i="13"/>
  <c r="N156" i="13"/>
  <c r="N157" i="13"/>
  <c r="N158" i="13"/>
  <c r="N159" i="13"/>
  <c r="N160" i="13"/>
  <c r="N161" i="13"/>
  <c r="N162" i="13"/>
  <c r="N163" i="13"/>
  <c r="N164" i="13"/>
  <c r="N165" i="13"/>
  <c r="N166" i="13"/>
  <c r="N167" i="13"/>
  <c r="N168" i="13"/>
  <c r="N169" i="13"/>
  <c r="N170" i="13"/>
  <c r="N171" i="13"/>
  <c r="N172" i="13"/>
  <c r="N173" i="13"/>
  <c r="N174" i="13"/>
  <c r="N175" i="13"/>
  <c r="N176" i="13"/>
  <c r="N177" i="13"/>
  <c r="N178" i="13"/>
  <c r="N179" i="13"/>
  <c r="N180" i="13"/>
  <c r="N181" i="13"/>
  <c r="N182" i="13"/>
  <c r="N183" i="13"/>
  <c r="N184" i="13"/>
  <c r="N185" i="13"/>
  <c r="N186" i="13"/>
  <c r="N187" i="13"/>
  <c r="N188" i="13"/>
  <c r="N189" i="13"/>
  <c r="N190" i="13"/>
  <c r="N191" i="13"/>
  <c r="N192" i="13"/>
  <c r="N193" i="13"/>
  <c r="N194" i="13"/>
  <c r="N195" i="13"/>
  <c r="N196" i="13"/>
  <c r="N197" i="13"/>
  <c r="N198" i="13"/>
  <c r="N199" i="13"/>
  <c r="N200" i="13"/>
  <c r="N201" i="13"/>
  <c r="N202" i="13"/>
  <c r="N203" i="13"/>
  <c r="N204" i="13"/>
  <c r="N205" i="13"/>
  <c r="N206" i="13"/>
  <c r="N207" i="13"/>
  <c r="N208" i="13"/>
  <c r="N209" i="13"/>
  <c r="N210" i="13"/>
  <c r="N211" i="13"/>
  <c r="N212" i="13"/>
  <c r="N213" i="13"/>
  <c r="N214" i="13"/>
  <c r="N215" i="13"/>
  <c r="N216" i="13"/>
  <c r="N217" i="13"/>
  <c r="N218" i="13"/>
  <c r="N219" i="13"/>
  <c r="N220" i="13"/>
  <c r="N221" i="13"/>
  <c r="N222" i="13"/>
  <c r="N223" i="13"/>
  <c r="N224" i="13"/>
  <c r="N225" i="13"/>
  <c r="N226" i="13"/>
  <c r="N227" i="13"/>
  <c r="N228" i="13"/>
  <c r="N229" i="13"/>
  <c r="N230" i="13"/>
  <c r="N231" i="13"/>
  <c r="N232" i="13"/>
  <c r="N233" i="13"/>
  <c r="N234" i="13"/>
  <c r="N235" i="13"/>
  <c r="N236" i="13"/>
  <c r="N237" i="13"/>
  <c r="N238" i="13"/>
  <c r="N239" i="13"/>
  <c r="N240" i="13"/>
  <c r="N241" i="13"/>
  <c r="N242" i="13"/>
  <c r="N243" i="13"/>
  <c r="N244" i="13"/>
  <c r="N245" i="13"/>
  <c r="I85" i="13"/>
  <c r="I245" i="13"/>
  <c r="I244" i="13"/>
  <c r="I243" i="13"/>
  <c r="I242" i="13"/>
  <c r="I241" i="13"/>
  <c r="I240" i="13"/>
  <c r="I239" i="13"/>
  <c r="I238" i="13"/>
  <c r="I237" i="13"/>
  <c r="I236" i="13"/>
  <c r="I235" i="13"/>
  <c r="I234" i="13"/>
  <c r="I233" i="13"/>
  <c r="I232" i="13"/>
  <c r="I231" i="13"/>
  <c r="I230" i="13"/>
  <c r="I229" i="13"/>
  <c r="I228" i="13"/>
  <c r="I227" i="13"/>
  <c r="I226" i="13"/>
  <c r="I225" i="13"/>
  <c r="I224" i="13"/>
  <c r="I223" i="13"/>
  <c r="I222" i="13"/>
  <c r="I221" i="13"/>
  <c r="I220" i="13"/>
  <c r="I219" i="13"/>
  <c r="I218" i="13"/>
  <c r="I217" i="13"/>
  <c r="I216" i="13"/>
  <c r="I215" i="13"/>
  <c r="I214" i="13"/>
  <c r="I213" i="13"/>
  <c r="I212" i="13"/>
  <c r="I211" i="13"/>
  <c r="I210" i="13"/>
  <c r="I209" i="13"/>
  <c r="I208" i="13"/>
  <c r="I207" i="13"/>
  <c r="I206" i="13"/>
  <c r="I205" i="13"/>
  <c r="I204" i="13"/>
  <c r="I203" i="13"/>
  <c r="I202" i="13"/>
  <c r="I201" i="13"/>
  <c r="I200" i="13"/>
  <c r="I199" i="13"/>
  <c r="I198" i="13"/>
  <c r="I197" i="13"/>
  <c r="I196" i="13"/>
  <c r="I195" i="13"/>
  <c r="I194" i="13"/>
  <c r="I193" i="13"/>
  <c r="I192" i="13"/>
  <c r="I191" i="13"/>
  <c r="I190" i="13"/>
  <c r="I189" i="13"/>
  <c r="I188" i="13"/>
  <c r="I187" i="13"/>
  <c r="I186" i="13"/>
  <c r="I185" i="13"/>
  <c r="I184" i="13"/>
  <c r="I183" i="13"/>
  <c r="I182" i="13"/>
  <c r="I181" i="13"/>
  <c r="I180" i="13"/>
  <c r="I179" i="13"/>
  <c r="I178" i="13"/>
  <c r="I177" i="13"/>
  <c r="I176" i="13"/>
  <c r="I175" i="13"/>
  <c r="I174" i="13"/>
  <c r="I173" i="13"/>
  <c r="I172" i="13"/>
  <c r="I171" i="13"/>
  <c r="I170" i="13"/>
  <c r="I169" i="13"/>
  <c r="I168" i="13"/>
  <c r="I167" i="13"/>
  <c r="I166" i="13"/>
  <c r="I165" i="13"/>
  <c r="I164" i="13"/>
  <c r="I163" i="13"/>
  <c r="I162" i="13"/>
  <c r="I161" i="13"/>
  <c r="I160" i="13"/>
  <c r="I159" i="13"/>
  <c r="I158" i="13"/>
  <c r="I157" i="13"/>
  <c r="I156" i="13"/>
  <c r="I155" i="13"/>
  <c r="I154" i="13"/>
  <c r="I153" i="13"/>
  <c r="I152" i="13"/>
  <c r="I151" i="13"/>
  <c r="I150" i="13"/>
  <c r="I149" i="13"/>
  <c r="I148" i="13"/>
  <c r="I147" i="13"/>
  <c r="I146" i="13"/>
  <c r="I145" i="13"/>
  <c r="I144" i="13"/>
  <c r="I143" i="13"/>
  <c r="I142" i="13"/>
  <c r="I141" i="13"/>
  <c r="I140" i="13"/>
  <c r="I139" i="13"/>
  <c r="I138" i="13"/>
  <c r="I137" i="13"/>
  <c r="I136" i="13"/>
  <c r="I135" i="13"/>
  <c r="I134" i="13"/>
  <c r="I133" i="13"/>
  <c r="I132" i="13"/>
  <c r="I131" i="13"/>
  <c r="I130" i="13"/>
  <c r="I129" i="13"/>
  <c r="I128" i="13"/>
  <c r="I127" i="13"/>
  <c r="I126" i="13"/>
  <c r="I125" i="13"/>
  <c r="I124" i="13"/>
  <c r="I123" i="13"/>
  <c r="I122" i="13"/>
  <c r="I121" i="13"/>
  <c r="I120" i="13"/>
  <c r="I119" i="13"/>
  <c r="I118" i="13"/>
  <c r="I117" i="13"/>
  <c r="I116" i="13"/>
  <c r="I115" i="13"/>
  <c r="I114" i="13"/>
  <c r="I113" i="13"/>
  <c r="I112" i="13"/>
  <c r="I111" i="13"/>
  <c r="I110" i="13"/>
  <c r="I109" i="13"/>
  <c r="I108" i="13"/>
  <c r="I107" i="13"/>
  <c r="I106" i="13"/>
  <c r="I105" i="13"/>
  <c r="I104" i="13"/>
  <c r="I103" i="13"/>
  <c r="I102" i="13"/>
  <c r="I101" i="13"/>
  <c r="I100" i="13"/>
  <c r="I99" i="13"/>
  <c r="I98" i="13"/>
  <c r="I97" i="13"/>
  <c r="I96" i="13"/>
  <c r="I95" i="13"/>
  <c r="I94" i="13"/>
  <c r="I93" i="13"/>
  <c r="I92" i="13"/>
  <c r="I91" i="13"/>
  <c r="I90" i="13"/>
  <c r="I89" i="13"/>
  <c r="I88" i="13"/>
  <c r="I87" i="13"/>
  <c r="I86" i="13"/>
  <c r="I84" i="13"/>
  <c r="M84" i="13"/>
  <c r="I83" i="13"/>
  <c r="M83" i="13" s="1"/>
  <c r="I82" i="13"/>
  <c r="M82" i="13" s="1"/>
  <c r="I81" i="13"/>
  <c r="M81" i="13" s="1"/>
  <c r="I80" i="13"/>
  <c r="M80" i="13" s="1"/>
  <c r="I79" i="13"/>
  <c r="M79" i="13" s="1"/>
  <c r="I78" i="13"/>
  <c r="M78" i="13" s="1"/>
  <c r="M77" i="13"/>
  <c r="I77" i="13"/>
  <c r="I76" i="13"/>
  <c r="M76" i="13" s="1"/>
  <c r="I75" i="13"/>
  <c r="M75" i="13" s="1"/>
  <c r="M74" i="13"/>
  <c r="I74" i="13"/>
  <c r="M73" i="13"/>
  <c r="I73" i="13"/>
  <c r="M72" i="13"/>
  <c r="I72" i="13"/>
  <c r="I71" i="13"/>
  <c r="M71" i="13" s="1"/>
  <c r="M70" i="13"/>
  <c r="I70" i="13"/>
  <c r="M69" i="13"/>
  <c r="I69" i="13"/>
  <c r="M68" i="13"/>
  <c r="I68" i="13"/>
  <c r="M67" i="13"/>
  <c r="I67" i="13"/>
  <c r="I66" i="13"/>
  <c r="M66" i="13" s="1"/>
  <c r="M65" i="13"/>
  <c r="I65" i="13"/>
  <c r="I64" i="13"/>
  <c r="M64" i="13" s="1"/>
  <c r="I63" i="13"/>
  <c r="M63" i="13" s="1"/>
  <c r="I62" i="13"/>
  <c r="M62" i="13" s="1"/>
  <c r="I61" i="13"/>
  <c r="M61" i="13" s="1"/>
  <c r="I60" i="13"/>
  <c r="M60" i="13" s="1"/>
  <c r="I59" i="13"/>
  <c r="M59" i="13" s="1"/>
  <c r="I58" i="13"/>
  <c r="M58" i="13" s="1"/>
  <c r="M57" i="13"/>
  <c r="I57" i="13"/>
  <c r="I56" i="13"/>
  <c r="M56" i="13" s="1"/>
  <c r="I55" i="13"/>
  <c r="M55" i="13" s="1"/>
  <c r="M54" i="13"/>
  <c r="I54" i="13"/>
  <c r="M53" i="13"/>
  <c r="I53" i="13"/>
  <c r="M52" i="13"/>
  <c r="I52" i="13"/>
  <c r="M51" i="13"/>
  <c r="M50" i="13"/>
  <c r="I50" i="13"/>
  <c r="M49" i="13"/>
  <c r="I49" i="13"/>
  <c r="M48" i="13"/>
  <c r="I48" i="13"/>
  <c r="M47" i="13"/>
  <c r="I47" i="13"/>
  <c r="I46" i="13"/>
  <c r="M46" i="13" s="1"/>
  <c r="I45" i="13"/>
  <c r="M45" i="13" s="1"/>
  <c r="I44" i="13"/>
  <c r="M44" i="13" s="1"/>
  <c r="I43" i="13"/>
  <c r="M43" i="13" s="1"/>
  <c r="I42" i="13"/>
  <c r="M42" i="13" s="1"/>
  <c r="I41" i="13"/>
  <c r="M41" i="13" s="1"/>
  <c r="I40" i="13"/>
  <c r="M40" i="13" s="1"/>
  <c r="I39" i="13"/>
  <c r="M39" i="13" s="1"/>
  <c r="I38" i="13"/>
  <c r="M38" i="13" s="1"/>
  <c r="M37" i="13"/>
  <c r="I37" i="13"/>
  <c r="I36" i="13"/>
  <c r="M36" i="13" s="1"/>
  <c r="I35" i="13"/>
  <c r="M35" i="13" s="1"/>
  <c r="M34" i="13"/>
  <c r="I34" i="13"/>
  <c r="M33" i="13"/>
  <c r="I33" i="13"/>
  <c r="M32" i="13"/>
  <c r="I32" i="13"/>
  <c r="I31" i="13"/>
  <c r="M31" i="13" s="1"/>
  <c r="M30" i="13"/>
  <c r="I30" i="13"/>
  <c r="M29" i="13"/>
  <c r="I29" i="13"/>
  <c r="M28" i="13"/>
  <c r="I28" i="13"/>
  <c r="M27" i="13"/>
  <c r="I27" i="13"/>
  <c r="I26" i="13"/>
  <c r="M26" i="13" s="1"/>
  <c r="I25" i="13"/>
  <c r="M25" i="13" s="1"/>
  <c r="I24" i="13"/>
  <c r="M24" i="13" s="1"/>
  <c r="I23" i="13"/>
  <c r="M23" i="13" s="1"/>
  <c r="I22" i="13"/>
  <c r="M22" i="13" s="1"/>
  <c r="I21" i="13"/>
  <c r="M21" i="13" s="1"/>
  <c r="I20" i="13"/>
  <c r="M20" i="13" s="1"/>
  <c r="I19" i="13"/>
  <c r="M19" i="13" s="1"/>
  <c r="I18" i="13"/>
  <c r="M18" i="13" s="1"/>
  <c r="M17" i="13"/>
  <c r="I17" i="13"/>
  <c r="I16" i="13"/>
  <c r="M16" i="13" s="1"/>
  <c r="I15" i="13"/>
  <c r="M15" i="13" s="1"/>
  <c r="M14" i="13"/>
  <c r="I14" i="13"/>
  <c r="M13" i="13"/>
  <c r="I13" i="13"/>
  <c r="M12" i="13"/>
  <c r="I12" i="13"/>
  <c r="I11" i="13"/>
  <c r="M11" i="13" s="1"/>
  <c r="M10" i="13"/>
  <c r="I10" i="13"/>
  <c r="M9" i="13"/>
  <c r="I9" i="13"/>
  <c r="M8" i="13"/>
  <c r="I8" i="13"/>
  <c r="M7" i="13"/>
  <c r="I7" i="13"/>
  <c r="I6" i="13"/>
  <c r="M6" i="13" s="1"/>
  <c r="I5" i="13"/>
  <c r="M5" i="13" s="1"/>
  <c r="I4" i="13"/>
  <c r="M4" i="13" s="1"/>
  <c r="I3" i="13"/>
  <c r="M3" i="13" s="1"/>
  <c r="I2" i="13"/>
  <c r="M2" i="13" s="1"/>
  <c r="H6" i="7"/>
  <c r="L2" i="5"/>
  <c r="G22" i="7" s="1"/>
  <c r="H22" i="7" s="1"/>
  <c r="L56" i="4"/>
  <c r="G15" i="7" s="1"/>
  <c r="H15" i="7" s="1"/>
  <c r="K56" i="4"/>
  <c r="J56" i="4"/>
  <c r="I56" i="4"/>
  <c r="I38" i="4"/>
  <c r="J38" i="4"/>
  <c r="L38" i="4"/>
  <c r="G17" i="7" s="1"/>
  <c r="H17" i="7" s="1"/>
  <c r="K38" i="4"/>
  <c r="L20" i="4"/>
  <c r="G18" i="7" s="1"/>
  <c r="H18" i="7" s="1"/>
  <c r="K20" i="4"/>
  <c r="J20" i="4"/>
  <c r="I20" i="4"/>
  <c r="L2" i="4"/>
  <c r="G16" i="7" s="1"/>
  <c r="H16" i="7" s="1"/>
  <c r="K2" i="4"/>
  <c r="J2" i="4"/>
  <c r="I2" i="4"/>
  <c r="J2" i="3"/>
  <c r="M67" i="3"/>
  <c r="G12" i="7" s="1"/>
  <c r="H12" i="7" s="1"/>
  <c r="L67" i="3"/>
  <c r="K67" i="3"/>
  <c r="J67" i="3"/>
  <c r="M54" i="3"/>
  <c r="G11" i="7" s="1"/>
  <c r="H11" i="7" s="1"/>
  <c r="L54" i="3"/>
  <c r="K54" i="3"/>
  <c r="J54" i="3"/>
  <c r="M36" i="3"/>
  <c r="G14" i="7" s="1"/>
  <c r="H14" i="7" s="1"/>
  <c r="L36" i="3"/>
  <c r="K36" i="3"/>
  <c r="J36" i="3"/>
  <c r="M18" i="3"/>
  <c r="G13" i="7" s="1"/>
  <c r="H13" i="7" s="1"/>
  <c r="L18" i="3"/>
  <c r="K18" i="3"/>
  <c r="J18" i="3"/>
  <c r="M2" i="3"/>
  <c r="L2" i="3"/>
  <c r="K2" i="3"/>
  <c r="L20" i="5"/>
  <c r="G21" i="7" s="1"/>
  <c r="H21" i="7" s="1"/>
  <c r="K2" i="5"/>
  <c r="J2" i="5"/>
  <c r="F22" i="7" s="1"/>
  <c r="I2" i="5"/>
  <c r="E22" i="7" s="1"/>
  <c r="H10" i="7"/>
  <c r="H9" i="7"/>
  <c r="H8" i="7"/>
  <c r="H7" i="7"/>
  <c r="H5" i="7"/>
  <c r="H4" i="7"/>
  <c r="H3" i="7"/>
  <c r="H2" i="7"/>
  <c r="L56" i="6"/>
  <c r="G23" i="7" s="1"/>
  <c r="K56" i="6"/>
  <c r="J56" i="6"/>
  <c r="F23" i="7" s="1"/>
  <c r="I56" i="6"/>
  <c r="E23" i="7" s="1"/>
  <c r="L38" i="6"/>
  <c r="K38" i="6"/>
  <c r="J38" i="6"/>
  <c r="F24" i="7" s="1"/>
  <c r="I38" i="6"/>
  <c r="E24" i="7" s="1"/>
  <c r="L20" i="6"/>
  <c r="K20" i="6"/>
  <c r="J20" i="6"/>
  <c r="F25" i="7" s="1"/>
  <c r="I20" i="6"/>
  <c r="E25" i="7" s="1"/>
  <c r="L2" i="6"/>
  <c r="K2" i="6"/>
  <c r="J2" i="6"/>
  <c r="F26" i="7" s="1"/>
  <c r="I2" i="6"/>
  <c r="E26" i="7" s="1"/>
  <c r="L56" i="5"/>
  <c r="K56" i="5"/>
  <c r="J56" i="5"/>
  <c r="F19" i="7" s="1"/>
  <c r="I56" i="5"/>
  <c r="E19" i="7" s="1"/>
  <c r="L38" i="5"/>
  <c r="G20" i="7" s="1"/>
  <c r="K38" i="5"/>
  <c r="J38" i="5"/>
  <c r="F20" i="7" s="1"/>
  <c r="I38" i="5"/>
  <c r="E20" i="7" s="1"/>
  <c r="K20" i="5"/>
  <c r="J20" i="5"/>
  <c r="F21" i="7" s="1"/>
  <c r="I20" i="5"/>
  <c r="E21" i="7" s="1"/>
  <c r="G19" i="7" l="1"/>
  <c r="H19" i="7" s="1"/>
  <c r="G24" i="7"/>
  <c r="H24" i="7" s="1"/>
  <c r="G25" i="7"/>
  <c r="H25" i="7" s="1"/>
  <c r="G26" i="7"/>
  <c r="H26" i="7" s="1"/>
  <c r="H23" i="7"/>
  <c r="H20" i="7"/>
</calcChain>
</file>

<file path=xl/sharedStrings.xml><?xml version="1.0" encoding="utf-8"?>
<sst xmlns="http://schemas.openxmlformats.org/spreadsheetml/2006/main" count="7072" uniqueCount="1322">
  <si>
    <t>Name</t>
  </si>
  <si>
    <t>Group</t>
  </si>
  <si>
    <t>N39_0.544</t>
  </si>
  <si>
    <t>ASR</t>
  </si>
  <si>
    <t>N</t>
  </si>
  <si>
    <t>N201_0.643</t>
  </si>
  <si>
    <t>Y</t>
  </si>
  <si>
    <t>N5_0.362</t>
  </si>
  <si>
    <t>N63_0.866</t>
  </si>
  <si>
    <t>N230_0.862</t>
  </si>
  <si>
    <t>N64_0.834</t>
  </si>
  <si>
    <t>N316_0.952</t>
  </si>
  <si>
    <t>N34_0.772</t>
  </si>
  <si>
    <t>N311_0.882</t>
  </si>
  <si>
    <t>N97_0.752</t>
  </si>
  <si>
    <t>N353_0.977</t>
  </si>
  <si>
    <t>N133_0.938</t>
  </si>
  <si>
    <t>N19_0.991</t>
  </si>
  <si>
    <t>N405_0.854</t>
  </si>
  <si>
    <t>N101_0.980</t>
  </si>
  <si>
    <t>N413_0.973</t>
  </si>
  <si>
    <t>N169_0.980</t>
  </si>
  <si>
    <t>N382_0.622</t>
  </si>
  <si>
    <t>ESM-MSA</t>
  </si>
  <si>
    <t>GAN</t>
  </si>
  <si>
    <t>A0A7X3SKS3</t>
  </si>
  <si>
    <t>TEST</t>
  </si>
  <si>
    <t>A0A3B0SJ13</t>
  </si>
  <si>
    <t>A0A0F2NFV0</t>
  </si>
  <si>
    <t>A0A210PQ25</t>
  </si>
  <si>
    <t>A0A067TI43</t>
  </si>
  <si>
    <t>A0A317MZG1</t>
  </si>
  <si>
    <t>A0A1H8A8T3</t>
  </si>
  <si>
    <t>A0A4R3QYV8</t>
  </si>
  <si>
    <t>A0A5Q0JXV4</t>
  </si>
  <si>
    <t>A0A3P9KQY6</t>
  </si>
  <si>
    <t>A0A420XH12</t>
  </si>
  <si>
    <t>A0JC81</t>
  </si>
  <si>
    <t>A0A7I7KB04</t>
  </si>
  <si>
    <t>A0A0A7KGM8</t>
  </si>
  <si>
    <t>A0A0H4BF62</t>
  </si>
  <si>
    <t>A0A1B0CUF9</t>
  </si>
  <si>
    <t>A0A194PRL0</t>
  </si>
  <si>
    <t>N268_0.879</t>
  </si>
  <si>
    <t>N495_0.993</t>
  </si>
  <si>
    <t>N296_0.884</t>
  </si>
  <si>
    <t>N556_0.961</t>
  </si>
  <si>
    <t>N311_0.998</t>
  </si>
  <si>
    <t>N587_0.820</t>
  </si>
  <si>
    <t>N342_0.976</t>
  </si>
  <si>
    <t>N574_0.023</t>
  </si>
  <si>
    <t>N324_0.815</t>
  </si>
  <si>
    <t>N594_0.986</t>
  </si>
  <si>
    <t>N397_0.287</t>
  </si>
  <si>
    <t>N605_0.959</t>
  </si>
  <si>
    <t>N234_0.409</t>
  </si>
  <si>
    <t>N429_0.981</t>
  </si>
  <si>
    <t>N277_0.893</t>
  </si>
  <si>
    <t>N247_0.814</t>
  </si>
  <si>
    <t>N468_0.651</t>
  </si>
  <si>
    <t>N673_0.992</t>
  </si>
  <si>
    <t>G5BG62</t>
  </si>
  <si>
    <t>A0A7Y1W2C3</t>
  </si>
  <si>
    <t>V7PCN4</t>
  </si>
  <si>
    <t>A0A3P1ZAX9</t>
  </si>
  <si>
    <t>A0A2V9MKC0</t>
  </si>
  <si>
    <t>A0A7N2LGB5</t>
  </si>
  <si>
    <t>A0A1B8GWQ9</t>
  </si>
  <si>
    <t>A0A0L7R6E6</t>
  </si>
  <si>
    <t>A0A6P3DES1</t>
  </si>
  <si>
    <t>A0A0X3Q962</t>
  </si>
  <si>
    <t>A0A2A4JYT0</t>
  </si>
  <si>
    <t>A0A6J1N3K8</t>
  </si>
  <si>
    <t>A0A7X1E635</t>
  </si>
  <si>
    <t>A0A3B9ZWS3</t>
  </si>
  <si>
    <t>A0A3M1LYB4</t>
  </si>
  <si>
    <t>A0A2N9FIV4</t>
  </si>
  <si>
    <t>A0A101XIG3</t>
  </si>
  <si>
    <t>Expression</t>
  </si>
  <si>
    <t>Solubility</t>
  </si>
  <si>
    <t>Purification</t>
  </si>
  <si>
    <t>Notes</t>
  </si>
  <si>
    <t>A0A2E1VW30</t>
  </si>
  <si>
    <t>pre-Test</t>
  </si>
  <si>
    <t>Don't count these first two because they are FeSOD</t>
  </si>
  <si>
    <t>G8R729</t>
  </si>
  <si>
    <t>A0A7J8I2Q6</t>
  </si>
  <si>
    <t>A0A6C0IG51</t>
  </si>
  <si>
    <t>A0A355WCM2</t>
  </si>
  <si>
    <t>A0A336MDR6</t>
  </si>
  <si>
    <t>A0A1S3B5B1</t>
  </si>
  <si>
    <t>D2K8K6</t>
  </si>
  <si>
    <t>A0A353RG61</t>
  </si>
  <si>
    <t>A0A1W9GC89</t>
  </si>
  <si>
    <t>A0A2A2SHP7</t>
  </si>
  <si>
    <t>A0A494X3M3</t>
  </si>
  <si>
    <t>A0A317HRN1</t>
  </si>
  <si>
    <t>A0A7W5EV23</t>
  </si>
  <si>
    <t>A4BM64</t>
  </si>
  <si>
    <t>A0A0Q8MME5</t>
  </si>
  <si>
    <t>0_A0A0D7B0Z6</t>
  </si>
  <si>
    <t>0_A0A0K0D5V0</t>
  </si>
  <si>
    <t>0_A0A183B4Z1</t>
  </si>
  <si>
    <t>0_A0A183IKQ1</t>
  </si>
  <si>
    <t>0_A0A2K3MJU6</t>
  </si>
  <si>
    <t>0_A0A3P9IBE0</t>
  </si>
  <si>
    <t>0_GAXX02001895.1.p1</t>
  </si>
  <si>
    <t>0_GBGH01012770.1.p1</t>
  </si>
  <si>
    <t>0_GEIB01001647.1.p1</t>
  </si>
  <si>
    <t>0_GGQN02292676.1.p2</t>
  </si>
  <si>
    <t>0_GHCN01028973.1.p3</t>
  </si>
  <si>
    <t>0_GHOU01027309.1.p1</t>
  </si>
  <si>
    <t>0_GIFI01172735.1.p1</t>
  </si>
  <si>
    <t>0_GIKS01816837.1.p1</t>
  </si>
  <si>
    <t>0_HBLR01057870.1.p1</t>
  </si>
  <si>
    <t>0_Q38J79</t>
  </si>
  <si>
    <t>0_Q54TU5</t>
  </si>
  <si>
    <t>0_Q8V9Y1</t>
  </si>
  <si>
    <t>A0A183WV85</t>
  </si>
  <si>
    <t>test</t>
  </si>
  <si>
    <t>A0A6G0X6Z6</t>
  </si>
  <si>
    <t>GBHM01036608.1.p1</t>
  </si>
  <si>
    <t>GCXW01033852.1.p1</t>
  </si>
  <si>
    <t>GEWA01016637.1.p1</t>
  </si>
  <si>
    <t>GFHQ01010002.1.p1</t>
  </si>
  <si>
    <t>GFIR01044819.1.p1</t>
  </si>
  <si>
    <t>GFTI01029594.1.p1</t>
  </si>
  <si>
    <t>GHGM01199072.1.p1</t>
  </si>
  <si>
    <t>GHZH01034904.1.p1</t>
  </si>
  <si>
    <t>GIGU01072745.1.p1</t>
  </si>
  <si>
    <t>GIZK01007861.1.p1</t>
  </si>
  <si>
    <t>GJHT01042157.1.p1</t>
  </si>
  <si>
    <t>N16_0.616</t>
  </si>
  <si>
    <t>N217_0.991</t>
  </si>
  <si>
    <t>N231_0.973</t>
  </si>
  <si>
    <t>N249_0.933</t>
  </si>
  <si>
    <t>N33_0.895</t>
  </si>
  <si>
    <t>N358_0.957</t>
  </si>
  <si>
    <t>N396_0.839</t>
  </si>
  <si>
    <t>N415_0.831</t>
  </si>
  <si>
    <t>N423_0.891</t>
  </si>
  <si>
    <t>N428_0.897</t>
  </si>
  <si>
    <t>N453_0.978</t>
  </si>
  <si>
    <t>N459_0.862</t>
  </si>
  <si>
    <t>N475_0.992</t>
  </si>
  <si>
    <t>N644_0.994</t>
  </si>
  <si>
    <t>N731_0.943</t>
  </si>
  <si>
    <t>N738_0.863</t>
  </si>
  <si>
    <t>N74_0.807</t>
  </si>
  <si>
    <t>N8_0.721</t>
  </si>
  <si>
    <t>low</t>
  </si>
  <si>
    <t>ASR_MDH_001</t>
  </si>
  <si>
    <t>ASR_MDH_027</t>
  </si>
  <si>
    <t>ASR_MDH_275</t>
  </si>
  <si>
    <t>ASR_MDH_310</t>
  </si>
  <si>
    <t>ASR_MDH_327</t>
  </si>
  <si>
    <t>ASR_MDH_409</t>
  </si>
  <si>
    <t>ASR_MDH_426</t>
  </si>
  <si>
    <t>ASR_MDH_441</t>
  </si>
  <si>
    <t>ASR_MDH_445</t>
  </si>
  <si>
    <t>ASR_MDH_500</t>
  </si>
  <si>
    <t>ASR_MDH_510</t>
  </si>
  <si>
    <t>ASR_MDH_639</t>
  </si>
  <si>
    <t>ASR_MDH_660</t>
  </si>
  <si>
    <t>ASR_MDH_739</t>
  </si>
  <si>
    <t>ASR_MDH_751</t>
  </si>
  <si>
    <t>ASR_MDH_773</t>
  </si>
  <si>
    <t>ASR_MDH_815</t>
  </si>
  <si>
    <t>ASR_MDH_898</t>
  </si>
  <si>
    <t>ESM_MSA_MGYP000000112116</t>
  </si>
  <si>
    <t>ESM_MSA_MGYP000431889011</t>
  </si>
  <si>
    <t>ESM_MSA_MGYP000896991413</t>
  </si>
  <si>
    <t>ESM_MSA_MGYP000930738641</t>
  </si>
  <si>
    <t>ESM_MSA_MGYP001005886523</t>
  </si>
  <si>
    <t>ESM_MSA_MGYP001128712931</t>
  </si>
  <si>
    <t>ESM_MSA_MGYP001267754931</t>
  </si>
  <si>
    <t>ESM_MSA_MGYP001334081800</t>
  </si>
  <si>
    <t>ESM_MSA_A0A650CYI3</t>
  </si>
  <si>
    <t>ESM_MSA_A0A6N4R5B1</t>
  </si>
  <si>
    <t>ESM_MSA_A0A7D5Q9D9</t>
  </si>
  <si>
    <t>ESM_MSA_K9TQZ6</t>
  </si>
  <si>
    <t>no visible band</t>
  </si>
  <si>
    <t>ESM_MSA_T0BE41</t>
  </si>
  <si>
    <t>ESM_MSA_A0A522LBY1</t>
  </si>
  <si>
    <t>ESM_MSA_MGYP001201792034</t>
  </si>
  <si>
    <t>ESM_MSA_MGYP000058576137</t>
  </si>
  <si>
    <t>ESM_MSA_MGYP000853134550</t>
  </si>
  <si>
    <t>ESM_MSA_A0A6A8FHP1</t>
  </si>
  <si>
    <t>MGYP000001569257</t>
  </si>
  <si>
    <t>MGYP000212420431</t>
  </si>
  <si>
    <t>MGYP000313961506</t>
  </si>
  <si>
    <t>MGYP000792006256</t>
  </si>
  <si>
    <t>MGYP000834150790</t>
  </si>
  <si>
    <t>MGYP000906329884</t>
  </si>
  <si>
    <t>MGYP001193309960</t>
  </si>
  <si>
    <t>MGYP001358328346</t>
  </si>
  <si>
    <t>MGYP001364328648</t>
  </si>
  <si>
    <t>MGYP001376212606</t>
  </si>
  <si>
    <t>MGYP001421927114</t>
  </si>
  <si>
    <t>A0A1Y2GMR5</t>
  </si>
  <si>
    <t>A0A2I0QLR6</t>
  </si>
  <si>
    <t>A0A2S1LEZ1</t>
  </si>
  <si>
    <t>A0A372IUB3</t>
  </si>
  <si>
    <t>A0A4U7BTC1</t>
  </si>
  <si>
    <t>A0A522M1N6</t>
  </si>
  <si>
    <t>A0A194XJ13</t>
  </si>
  <si>
    <t xml:space="preserve">Expression </t>
  </si>
  <si>
    <t xml:space="preserve">Purification </t>
  </si>
  <si>
    <t>Activity</t>
  </si>
  <si>
    <t>3_GIUN01002271.1.p1</t>
  </si>
  <si>
    <t>ESM-MSA_control</t>
  </si>
  <si>
    <t>5_A0A058ZE05</t>
  </si>
  <si>
    <t>6_HADC01035157.1.p2</t>
  </si>
  <si>
    <t>6_GFLZ01007195.1.p1</t>
  </si>
  <si>
    <t>6_GHIP01004702.1.p1</t>
  </si>
  <si>
    <t>5_A0A2A2L3D8</t>
  </si>
  <si>
    <t>1_IADY01026081.1.p1</t>
  </si>
  <si>
    <t>3_IADY01026081.1.p1</t>
  </si>
  <si>
    <t>3_A0A7S2HM14</t>
  </si>
  <si>
    <t>1_GHRC01000681.1.p2</t>
  </si>
  <si>
    <t>7_GAVE01053058.1.p1</t>
  </si>
  <si>
    <t>2_GACE01050041.1.p1</t>
  </si>
  <si>
    <t>2_A0A2T9YC16</t>
  </si>
  <si>
    <t>7_GGQS01036768.1.p1</t>
  </si>
  <si>
    <t>4_GESL01035828.1.p1</t>
  </si>
  <si>
    <t>2_GBJR01001706.1.p1</t>
  </si>
  <si>
    <t>6_GIQX01031954.1.p1</t>
  </si>
  <si>
    <t>6_GHYN01049370.1.p1</t>
  </si>
  <si>
    <t>0_A0A0R3PEU6</t>
  </si>
  <si>
    <t>ESM-MSA_selected</t>
  </si>
  <si>
    <t>0_A0A5B1QLA9</t>
  </si>
  <si>
    <t>6_GIQZ01005936.1.p2</t>
  </si>
  <si>
    <t>4_GBGH01012770.1.p1</t>
  </si>
  <si>
    <t>1_GFXF01218715.1.p1</t>
  </si>
  <si>
    <t>1_A0A6B2LNB5</t>
  </si>
  <si>
    <t>7_ICPL01053513.1.p1</t>
  </si>
  <si>
    <t>2_GHIF01050426.1.p1</t>
  </si>
  <si>
    <t>4_HBIL01004252.1.p1</t>
  </si>
  <si>
    <t>4_A0A6B9ITU9</t>
  </si>
  <si>
    <t>4_A0A1L8H563</t>
  </si>
  <si>
    <t>4_A0A5B1QLA9</t>
  </si>
  <si>
    <t>4_A0A369GX11</t>
  </si>
  <si>
    <t>3_A0A6P6XNU6</t>
  </si>
  <si>
    <t>4_ICPL01053513.1.p1</t>
  </si>
  <si>
    <t>3_A0A7R8ZJ60</t>
  </si>
  <si>
    <t>2_GHHK01022917.1.p1</t>
  </si>
  <si>
    <t>5_A0A2G5BCW2</t>
  </si>
  <si>
    <t>364539c</t>
  </si>
  <si>
    <t>GAN_control</t>
  </si>
  <si>
    <t>169547c</t>
  </si>
  <si>
    <t>10924b</t>
  </si>
  <si>
    <t>31158b</t>
  </si>
  <si>
    <t>108973c</t>
  </si>
  <si>
    <t>70687c</t>
  </si>
  <si>
    <t>42970c</t>
  </si>
  <si>
    <t>200870c</t>
  </si>
  <si>
    <t>288025c</t>
  </si>
  <si>
    <t>399013c</t>
  </si>
  <si>
    <t>96749b</t>
  </si>
  <si>
    <t>166989c</t>
  </si>
  <si>
    <t>3785b</t>
  </si>
  <si>
    <t>190998c</t>
  </si>
  <si>
    <t>132200c</t>
  </si>
  <si>
    <t>311415c</t>
  </si>
  <si>
    <t>149807b</t>
  </si>
  <si>
    <t>372437c</t>
  </si>
  <si>
    <t>159541c</t>
  </si>
  <si>
    <t>GAN_selected</t>
  </si>
  <si>
    <t>64342b</t>
  </si>
  <si>
    <t>68347c</t>
  </si>
  <si>
    <t>110944b</t>
  </si>
  <si>
    <t>275864c</t>
  </si>
  <si>
    <t>90328c</t>
  </si>
  <si>
    <t>33386c</t>
  </si>
  <si>
    <t>290861c</t>
  </si>
  <si>
    <t>257706c</t>
  </si>
  <si>
    <t>230319c</t>
  </si>
  <si>
    <t>140955c</t>
  </si>
  <si>
    <t>78695b</t>
  </si>
  <si>
    <t>196543c</t>
  </si>
  <si>
    <t>65974b</t>
  </si>
  <si>
    <t>397567c</t>
  </si>
  <si>
    <t>371881c</t>
  </si>
  <si>
    <t>70886c</t>
  </si>
  <si>
    <t>311253c</t>
  </si>
  <si>
    <t>ESM_MSA_2_A0A7C5KIY8</t>
  </si>
  <si>
    <t>ESMMSA_control</t>
  </si>
  <si>
    <t>ESM_MSA_0_A0A523QET4</t>
  </si>
  <si>
    <t>ESM_MSA_2_A0A523VFG2</t>
  </si>
  <si>
    <t>ESM_MSA_0_A0A1X6NJ64</t>
  </si>
  <si>
    <t>ESM_MSA_2_A0A6U0M8Z8</t>
  </si>
  <si>
    <t>ESM_MSA_MGYP000949990269</t>
  </si>
  <si>
    <t>ESM_MSA_2_A0A6G3Z5C1</t>
  </si>
  <si>
    <t>ESM_MSA_0_A0A1Q9NLR4</t>
  </si>
  <si>
    <t>ESM_MSA_1_MGYP001244120842</t>
  </si>
  <si>
    <t>ESM_MSA_2_A0A7C5J7L1</t>
  </si>
  <si>
    <t>ESM_MSA_2_MGYP001102313153</t>
  </si>
  <si>
    <t>ESM_MSA_0_MGYP000722400571</t>
  </si>
  <si>
    <t>ESM_MSA_L1JY01</t>
  </si>
  <si>
    <t>ESM_MSA_0_MGYP001094065905</t>
  </si>
  <si>
    <t>ESM_MSA_0_A0A6L5DH99</t>
  </si>
  <si>
    <t>ESM_MSA_MGYP000535314997</t>
  </si>
  <si>
    <t>ESM_MSA_1_A0A1G1MB80</t>
  </si>
  <si>
    <t>ESM_MSA_0_MGYP000849085683</t>
  </si>
  <si>
    <t>ESM_MSA_1_MGYP001041901219</t>
  </si>
  <si>
    <t>ESMMSA_selected</t>
  </si>
  <si>
    <t>ESM_MSA_2_MGYP000013170773</t>
  </si>
  <si>
    <t>ESM_MSA_1_MGYP001028453573</t>
  </si>
  <si>
    <t>ESM_MSA_2_A0A3N0B322</t>
  </si>
  <si>
    <t>ESM_MSA_2_MGYP001338721372</t>
  </si>
  <si>
    <t>ESM_MSA_A0A1E4ZKC4</t>
  </si>
  <si>
    <t>ESM_MSA_2_MGYP001330097898</t>
  </si>
  <si>
    <t>ESM_MSA_0_A0A3D4Z094</t>
  </si>
  <si>
    <t>ESM_MSA_1_MGYP000013170773</t>
  </si>
  <si>
    <t>ESM_MSA_A0A1F5USL7</t>
  </si>
  <si>
    <t>ESM_MSA_1_A0A212K450</t>
  </si>
  <si>
    <t>ESM_MSA_0_A0A1E4ZKC4</t>
  </si>
  <si>
    <t>ESM_MSA_1_A0A0N0P6W7</t>
  </si>
  <si>
    <t>ESM_MSA_2_A0A7C5QYN0</t>
  </si>
  <si>
    <t>ESM_MSA_0_MGYP000035340732</t>
  </si>
  <si>
    <t>ESM_MSA_1_A0A3D4Z094</t>
  </si>
  <si>
    <t>ESM_MSA_2_F2LX56</t>
  </si>
  <si>
    <t>ESM_MSA_0_MGYP001028453573</t>
  </si>
  <si>
    <t>78414b</t>
  </si>
  <si>
    <t>1518b</t>
  </si>
  <si>
    <t>141011b</t>
  </si>
  <si>
    <t>101959b</t>
  </si>
  <si>
    <t>83486b</t>
  </si>
  <si>
    <t>70315b</t>
  </si>
  <si>
    <t>97719b</t>
  </si>
  <si>
    <t>84163b</t>
  </si>
  <si>
    <t>54158b</t>
  </si>
  <si>
    <t>140445b</t>
  </si>
  <si>
    <t>111369b</t>
  </si>
  <si>
    <t>143502b</t>
  </si>
  <si>
    <t>99532b</t>
  </si>
  <si>
    <t>77572b</t>
  </si>
  <si>
    <t>64817b</t>
  </si>
  <si>
    <t>29419b</t>
  </si>
  <si>
    <t>133011b</t>
  </si>
  <si>
    <t>129645b</t>
  </si>
  <si>
    <t>126189b</t>
  </si>
  <si>
    <t>60278b</t>
  </si>
  <si>
    <t>91535b</t>
  </si>
  <si>
    <t>11537b</t>
  </si>
  <si>
    <t>64389b</t>
  </si>
  <si>
    <t>44516b</t>
  </si>
  <si>
    <t>80422b</t>
  </si>
  <si>
    <t>109055b</t>
  </si>
  <si>
    <t>49722b</t>
  </si>
  <si>
    <t>116821b</t>
  </si>
  <si>
    <t>102442b</t>
  </si>
  <si>
    <t>83911b</t>
  </si>
  <si>
    <t>Family</t>
  </si>
  <si>
    <t>Model</t>
  </si>
  <si>
    <t>Total</t>
  </si>
  <si>
    <t>Expressed*</t>
  </si>
  <si>
    <t>Soluble**</t>
  </si>
  <si>
    <t>Active***</t>
  </si>
  <si>
    <t>Percent active</t>
  </si>
  <si>
    <t>Round1</t>
  </si>
  <si>
    <t>CuSOD</t>
  </si>
  <si>
    <t>MDH</t>
  </si>
  <si>
    <t>Round2</t>
  </si>
  <si>
    <t>pre-test</t>
  </si>
  <si>
    <t>does not count the 2 FeSOD enzymes</t>
  </si>
  <si>
    <t>Not counting the active refolded protein, which would make active = 3</t>
  </si>
  <si>
    <t>Round3</t>
  </si>
  <si>
    <t>GAN-passing</t>
  </si>
  <si>
    <t>GAN-control</t>
  </si>
  <si>
    <t>ESM-MSA-passing</t>
  </si>
  <si>
    <t>ESM-MSA-control</t>
  </si>
  <si>
    <t>Visible band on SDS-PAGE gel of total protein compared with empty vector control</t>
  </si>
  <si>
    <t>Visible band on SDS-PAGE gel of soluble protein compared with empty vector control</t>
  </si>
  <si>
    <t>Significantly different from empty vector control</t>
  </si>
  <si>
    <t>In Batch 1, we used BL21(DE3), T7Shuffle (DE3) and ArcticExpress(DE3) for MDH expression, and BL21(DE3) and ArcticExpress(DE3) for SOD expression. But there’s only slight difference (1 or 2 candidates differs in solubility, but both ended with no activity in either case). We then continue with BL21(DE3) for MDH purification, and ArcticExpress(DE) for SOD expression (both of them have 1-2 more soluble proteins), and set those two strains as priority strains for expression respectively.</t>
  </si>
  <si>
    <t>Then in batch 2 and 3 we did SOD expression in ArcticExpress(DE3) and MDH expression in BL21(DE3). GAN_MDH was double checked with refolding-purification methods.</t>
  </si>
  <si>
    <t xml:space="preserve">MDH assay: An aliquot of proteins (X µl) were mixed with (100-X) µl HEPES buffer (pH 7.4) and 50 µl 2.4 mM NADH. 50 µl 3.2 mM OAA (Oxaloacetic acid) was added into each each just before the assay. Both NADH and OAA were dissolved in HEPES buffer (pH 7.4) beforehand. The absorbance at 340 nm was measured in 96-well format every 40 s by SPECTROstar Nano microplate reader (BMG Labtech, Germany). Each enzyme samples were measures in 3 parallel replicates.  </t>
  </si>
  <si>
    <t xml:space="preserve">SOD assay: Assay was done as described in the protocol of SOD assay kit (Sigma). The absorbance at 340 nm was measured in 96-well format every 40 s by SPECTROstar Nano microplate reader (BMG Labtech, Germany). Each enzyme samples were measures in 3 parallel replicates.  </t>
  </si>
  <si>
    <t>Sample</t>
  </si>
  <si>
    <t>Type</t>
  </si>
  <si>
    <t>Batch No.</t>
  </si>
  <si>
    <t>replicate 1</t>
  </si>
  <si>
    <t>replicate 2</t>
  </si>
  <si>
    <t>replicate 3</t>
  </si>
  <si>
    <t>Average</t>
  </si>
  <si>
    <t>amount</t>
  </si>
  <si>
    <t>unit</t>
  </si>
  <si>
    <t>Average / µl</t>
  </si>
  <si>
    <t>Average / nM</t>
  </si>
  <si>
    <t>SOD</t>
  </si>
  <si>
    <t>Round 1</t>
  </si>
  <si>
    <t>µl</t>
  </si>
  <si>
    <t>E.coli SOD</t>
  </si>
  <si>
    <t>paSOD</t>
  </si>
  <si>
    <t>hSOD</t>
  </si>
  <si>
    <t>NC</t>
  </si>
  <si>
    <t>Round 2</t>
  </si>
  <si>
    <t>E.SOD</t>
  </si>
  <si>
    <t>Round 3</t>
  </si>
  <si>
    <t>hSOD_cd4</t>
  </si>
  <si>
    <t>truncation</t>
  </si>
  <si>
    <t>nM</t>
  </si>
  <si>
    <t>hSOD_nd3</t>
  </si>
  <si>
    <t>pa.SOD</t>
  </si>
  <si>
    <t>hSOD_nd3_cd4</t>
  </si>
  <si>
    <t>pa.SOD_cd4</t>
  </si>
  <si>
    <t>pa.SOD_nd2</t>
  </si>
  <si>
    <t>pa.SOD_nd2_cd4</t>
  </si>
  <si>
    <t>E.SOD_cd3</t>
  </si>
  <si>
    <t>replicate 4</t>
  </si>
  <si>
    <t>measurement time</t>
  </si>
  <si>
    <t>first 5 min</t>
  </si>
  <si>
    <t>MDH4</t>
  </si>
  <si>
    <t>first 15 min</t>
  </si>
  <si>
    <t>--</t>
  </si>
  <si>
    <t>already ended from the measuring timepoint</t>
  </si>
  <si>
    <t>Different amount of enzymes might be used in different assay batch and activity calculation was based on NADH concentration decrease in certain measuring period</t>
  </si>
  <si>
    <t>Activity (5μg/mL)</t>
  </si>
  <si>
    <t>Activity (20 μg/mL)</t>
  </si>
  <si>
    <t>Activity for MDH_round1 taken from column F "Activity" (which is from purified proteins), not from column G "Activity of soluble proteins" (which is from cude)</t>
  </si>
  <si>
    <t>Average / µg</t>
  </si>
  <si>
    <t>notes</t>
  </si>
  <si>
    <t>µg</t>
  </si>
  <si>
    <t>5 µg/mL in a 100 µL reaction</t>
  </si>
  <si>
    <t>first 1.5 minutes</t>
  </si>
  <si>
    <t>Some enzymes were so fast that the reaction finished before the first time point, so rate could not be measured or had to be approximated.</t>
  </si>
  <si>
    <t>Inhibition Efficiency: % (triplicates)</t>
  </si>
  <si>
    <t>NADH consumption rate: µM·s-1 (3 or 4 replicates)</t>
  </si>
  <si>
    <t>MDH4_0.2</t>
  </si>
  <si>
    <t>replicate 5</t>
  </si>
  <si>
    <t>replicate 6</t>
  </si>
  <si>
    <t>p.a.SOD</t>
  </si>
  <si>
    <t>called active</t>
  </si>
  <si>
    <t>average at time 0 set to negative control mean  327.78, for replicates: 1,2,3</t>
  </si>
  <si>
    <t>average at time 0 set to negative control mean  327.78, for replicates: 2</t>
  </si>
  <si>
    <t>average at time 0 set to negative control mean  358.44, for replicates: 1,2,3</t>
  </si>
  <si>
    <t>average at time 0 set to negative control mean  358.44, for replicates: 1,2</t>
  </si>
  <si>
    <t>average at time 0 set to negative control mean  358.44, for replicates: 1</t>
  </si>
  <si>
    <t>MVKAVSVLRGDSKVSGTVHFEQASENPPTTVTYEITGNDPNAKRGFHIHTFGDNTNGCTSAGPHFNPYGKTHGAPSDEWRHVGDLGNIETDAKGNAKGSITDKLIKLIGPNSIIGRTVVVHAGTDDLGKGDNEESLKTGNAGGRPACGVIGISNAAALEHHHHHH*</t>
  </si>
  <si>
    <t>ATGGTTAAGGCCGTTAGCGTGCTGCGCGGCGATAGTAAAGTTTCTGGGACTGTGCATTTTGAACAGGCGTCGGAGAACCCGCCTACGACCGTTACTTATGAAATTACAGGGAATGATCCAAACGCGAAACGGGGTTTTCACATTCATACATTTGGCGATAATACTAATGGTTGCACCAGTGCTGGCCCGCATTTTAATCCTTATGGCAAAACGCATGGCGCTCCTTCAGATGAGTGGCGACATGTTGGTGACTTAGGTAACATTGAAACTGACGCCAAGGGAAACGCCAAGGGGAGTATCACAGACAAGTTAATAAAGCTTATTGGCCCTAACAGCATTATAGGACGCACTGTAGTAGTTCACGCAGGCACCGATGATCTGGGTAAAGGCGACAACGAAGAAAGTTTAAAAACCGGCAACGCCGGTGGGCGCCCTGCATGCGGCGTTATCGGAATATCTAATGCGGCCGCACTCGAGCACCACCACCACCACCACTGA</t>
  </si>
  <si>
    <t>MKKISLIGAGQIGGTLAHHIITSILADDVVLFDVASGTAKGKALDIAQSSPVNGFNVKQLGTNNYKDVKNSDVIIITAGVPRQPGMSRDDLLGINLKIIKQVAEGIKNSSPEAFVICITNPLDVVVAAQQKYSGLPKNKVVGMAGILDTSRFIYFLSQELKIPVSKIKSMVLGGHGDTMVAMLGSTIVDGKNIYDFINDGKISKERLEQIVERTKKGGAEIVKHLEKGSAYYAPAASGVEMAESFLKDLKKQLPCAAYLNGKYGPKDIYAGVPVIIGSDGVEKIVELGLTDEEKKFFDKSINAVKELFDAAKKIDPTAAALEHHHHHH*</t>
  </si>
  <si>
    <t>ATGAAAAAAATTTCATTGATTGGTGCAGGGCAGATCGGGGGCACGCTGGCACATCACATCATCACGTCCATACTTGCTGATGATGTTGTACTGTTTGATGTCGCAAGTGGAACGGCAAAAGGGAAAGCTCTGGACATTGCCCAATCGTCCCCGGTTAATGGTTTTAACGTCAAACAGCTTGGTACAAACAATTATAAAGACGTTAAAAACTCAGATGTGATCATAATCACGGCCGGAGTCCCACGGCAGCCGGGTATGTCACGCGATGATCTGTTGGGGATAAACTTGAAAATCATTAAACAAGTGGCGGAAGGCATAAAAAATTCCTCGCCGGAGGCCTTTGTAATTTGCATTACAAATCCCCTGGATGTTGTCGTTGCAGCACAGCAGAAATATAGTGGTTTGCCTAAAAACAAAGTCGTCGGTATGGCGGGCATATTAGATACGAGCCGATTTATCTATTTTTTATCTCAAGAGCTGAAAATTCCGGTATCAAAAATCAAATCTATGGTTCTCGGCGGTCATGGTGATACCATGGTTGCCATGCTTGGGTCAACGATAGTCGATGGAAAAAATATATATGACTTTATTAATGACGGCAAGATAAGCAAAGAACGCCTCGAACAGATTGTCGAACGCACAAAAAAGGGCGGTGCCGAGATAGTAAAGCACCTGGAAAAAGGTTCTGCTTATTATGCGCCAGCCGCTAGCGGGGTCGAGATGGCGGAGAGTTTTTTGAAAGATCTCAAGAAGCAGCTTCCATGTGCTGCTTATTTAAATGGCAAATATGGCCCGAAAGACATCTATGCTGGCGTACCGGTCATTATTGGAAGCGATGGTGTAGAGAAGATTGTAGAATTAGGACTGACCGACGAAGAGAAAAAGTTCTTCGATAAATCGATCAACGCTGTCAAAGAACTGTTTGATGCGGCCAAGAAGATTGACCCAACCGCGGCCGCACTCGAGCACCACCACCACCACCACTGA</t>
  </si>
  <si>
    <t>MARKQIALIGSGQIGGTLAHLAAMKELGDVVIFDIADGVPQGKALDLSQSSPIDGFDYKLQGADDYEDIKGADVVIVTAGVPRKPGMSRDDLLGINCKVMEAVGAGIKKYAPNAYVIYITNPLDAMVAALQKFSGMPRNMIVGMAGVLDSARFRTFLSEEFGVSVEDVFAFVLGGHGDDMVPLVRYSTVGGVSLPDLVEMGWLTKERLDAIVERTRKGGGEIVALLKTGSAFYAPAASAVAMAEAYLLDKKRILPCAAQLKGQYGYTGMYLGVGVPIGIGGVEVEQEIEFNEAEQEQFTLSVSAVKVLELVCKVIAAALEHHHHHHHHHH*</t>
  </si>
  <si>
    <t>ATGGCGCGCAAACAGATAGCTTTAATTGGGTCTGGCCAGATTGGCGGGACTTTAGCGCATCTGGCTGCCATGAAAGAGCTCGGCGACGTCGTTATTTTTGATATTGCTGATGGCGTCCCACAGGGCAAAGCCCTGGACTTAAGTCAGTCTAGCCCGATTGATGGGTTTGATTATAAGTTGCAGGGTGCAGATGACTACGAAGATATTAAAGGAGCGGATGTGGTTATCGTCACTGCCGGTGTTCCCAGAAAACCGGGGATGTCTCGTGACGATCTGTTAGGGATTAACTGCAAAGTTATGGAGGCAGTGGGGGCAGGGATCAAGAAATATGCTCCCAATGCTTACGTTATTTACATTACCAATCCATTGGACGCCATGGTAGCTGCCCTGCAAAAATTTTCTGGCATGCCGCGTAACATGATTGTTGGCATGGCTGGTGTATTAGACAGCGCCCGCTTTCGAACTTTTCTGAGTGAGGAATTTGGGGTGAGTGTGGAAGATGTGTTTGCCTTCGTTCTTGGCGGACATGGCGATGACATGGTTCCTCTGGTACGGTATTCTACAGTGGGGGGTGTTAGTCTGCCGGACCTGGTTGAAATGGGCTGGTTAACGAAGGAGCGCCTCGATGCCATTGTAGAAAGAACCCGTAAAGGCGGGGGGGAAATAGTGGCTCTGCTGAAAACCGGGTCCGCCTTTTACGCCCCAGCAGCCAGCGCTGTGGCCATGGCAGAGGCCTACCTGTTGGATAAGAAACGCATCTTACCATGTGCAGCCCAGCTCAAAGGGCAATATGGCTATACGGGGATGTATCTGGGAGTCGGTGTCCCGATAGGTATAGGTGGTGTTGAGGTAGAACAAGAGATAGAATTCAATGAAGCAGAACAAGAACAGTTTACGTTGTCAGTAAGCGCGGTGAAAGTCCTGGAACTTGTGTGCAAAGTCATTGCGGCCGCACTCGAGCATCACCATCATCACCACCACCACCACCACTGA</t>
  </si>
  <si>
    <t>MSENAPKRIAVTGAAGQIGYALLFRIAKGEVYGPDQPVILQLLDLEQAQRAVQGVVMELADCAFPLLAGTVVTDDPAVAFADVDAAFLVGSRPRTPGMERTDLLQVNAGIFVTQGRALNEAANRKAKALVVGNPANTNAFITAANAPDIPAENFTCMLRLDHNRALCLLATKGGVGVREINKLVVWGNHSPTMFADWRDAQINGQPLPKVIGDEEWLRDGLIPTVSKRGAAIIAARGASSAASAANAAVDHVRDWINGSEGDWVSMGVPSNGAYDVPEGIMFGVPVISARGSYERVEGLAFTDFSREYSARTAAELIGEREAVRPLIAAALEHHHHHH*</t>
  </si>
  <si>
    <t>ATGTCCGAAAATGCGCCCAAGCGGATCGCTGTAACGGGTGCCGCGGGCCAGATCGGCTATGCTTTATTATTTCGTATAGCCAAAGGTGAAGTCTATGGTCCGGACCAACCTGTAATTCTGCAGCTGCTGGATTTAGAACAGGCCCAACGTGCGGTCCAAGGGGTGGTTATGGAACTTGCTGATTGCGCCTTTCCGTTGCTGGCGGGGACGGTAGTAACAGATGACCCAGCGGTTGCTTTTGCCGACGTAGATGCGGCATTCCTGGTAGGTAGCAGACCTCGCACACCGGGCATGGAGCGCACTGATTTACTGCAGGTGAATGCGGGTATTTTCGTCACCCAGGGGCGCGCTCTCAATGAGGCGGCTAACAGAAAAGCCAAGGCTCTGGTAGTAGGGAATCCGGCAAACACAAACGCATTCATTACAGCTGCGAATGCTCCCGATATCCCGGCTGAAAACTTCACCTGTATGTTGCGCCTGGACCATAATAGAGCTTTGTGCCTGTTGGCAACCAAAGGTGGAGTAGGCGTACGTGAGATTAACAAGCTGGTCGTATGGGGGAACCATTCACCCACCATGTTCGCTGATTGGCGTGATGCCCAGATCAATGGACAGCCGTTACCTAAAGTGATTGGCGATGAAGAGTGGTTACGGGACGGCTTAATTCCGACAGTTAGCAAACGCGGGGCAGCGATTATTGCGGCTCGGGGCGCCAGCTCTGCTGCTTCGGCAGCTAATGCGGCCGTTGACCACGTTAGAGATTGGATTAATGGTTCGGAAGGGGATTGGGTTTCTATGGGTGTACCTAGCAACGGTGCTTATGATGTTCCGGAGGGCATCATGTTTGGGGTACCGGTGATCTCTGCTCGTGGTTCTTATGAGCGCGTAGAGGGCTTAGCTTTTACGGATTTTTCTCGCGAATACTCAGCTCGCACTGCCGCAGAATTAATTGGTGAACGAGAAGCAGTGCGGCCATTAATTGCGGCCGCACTCGAGCACCACCACCACCACCACTGA</t>
  </si>
  <si>
    <t>MAVCVVRGDSSVKGVVVFEQASENSPTRITYEITGNDPNGVRGFHVHEFGDNTSGCTSAGPHFNPFGKGHGAPRDKDRHVGDMGNITTDANGNAQGTMEDSNVSLFGPDTIIGRTVVVHAGTDDLGKGNIEESLKTGHAGPRPACGVILLLIFLKIKFAAALEHHHHHH*</t>
  </si>
  <si>
    <t>ATGGCTGTGTGTGTGGTACGTGGCGACTCTTCCGTCAAGGGCGTTGTCGTATTCGAGCAGGCCAGTGAGAACTCCCCAACTCGTATTACGTATGAAATAACCGGCAACGACCCAAATGGGGTACGCGGTTTTCATGTCCACGAGTTTGGAGATAATACCTCAGGTTGCACGTCTGCGGGTCCTCATTTTAACCCATTTGGAAAAGGCCACGGCGCTCCACGAGATAAAGATCGCCATGTCGGTGACATGGGCAATATTACCACCGATGCCAACGGTAATGCCCAAGGTACCATGGAGGACAGCAATGTTTCACTGTTTGGGCCGGACACCATTATAGGTCGTACAGTAGTTGTGCACGCCGGTACCGATGACCTGGGAAAGGGTAACATCGAGGAAAGTCTGAAGACCGGCCACGCCGGCCCTCGCCCCGCCTGCGGGGTGATCCTGCTGTTAATTTTTCTGAAGATAAAATTTGCGGCCGCACTCGAGCACCACCACCACCACCACTGA</t>
  </si>
  <si>
    <t>MVDMKNMQTGEKIGTVVISQHQYGTIFTPNLFSLPAGAHGFHLHHKASCEAAQKDGAMVPAGSAGGHYDPKKTGKHAEPWDFHGHAGDLPVLYVDKNGMASQPVLAPRLTLKEVKGRSLMIHAGGDNYSDDPKKLGGGGGRLACGVIAAALEHHHHHH*</t>
  </si>
  <si>
    <t>ATGGTCGATATGAAGAACATGCAAACGGGCGAAAAGATCGGAACTGTTGTGATCAGCCAGCACCAGTACGGTACTATTTTCACTCCGAACTTGTTTTCTCTCCCAGCGGGCGCTCATGGCTTCCATCTTCATCATAAAGCAAGTTGTGAAGCAGCGCAAAAAGATGGTGCCATGGTCCCGGCAGGCTCGGCAGGTGGTCACTATGATCCGAAAAAGACGGGCAAACACGCGGAGCCGTGGGATTTTCACGGTCATGCTGGTGACTTACCAGTGCTGTATGTCGATAAAAACGGTATGGCGAGCCAGCCAGTGTTGGCGCCGCGTCTCACATTAAAAGAGGTTAAAGGCCGTAGCCTTATGATCCATGCCGGAGGAGACAACTATTCTGACGATCCGAAAAAGCTGGGAGGCGGAGGGGGTCGTTTAGCGTGTGGTGTCATCGCGGCCGCACTCGAGCACCACCACCACCACCACTGA</t>
  </si>
  <si>
    <t>MISLVPKSEATAEGEIKFTEEDGQISFQAKIEGLEPGEHAIHIHEEADCSAADGASAGGHWNPNGEQHGKWGDELGYHKGDMGNFNADDNGNGEITMTTDQWCAIGCEDGTKANIVGKGVIVHEGTDDFSSQPSGDAGTRVSCGGIAAALEHHHHHH*</t>
  </si>
  <si>
    <t>ATGATAAGCTTGGTGCCTAAAAGCGAAGCGACAGCGGAAGGTGAAATTAAATTTACCGAAGAAGATGGGCAGATTTCCTTCCAAGCCAAGATTGAAGGGTTGGAGCCGGGCGAACATGCTATTCATATACATGAAGAAGCCGACTGTAGTGCGGCGGACGGGGCATCTGCTGGCGGTCATTGGAATCCGAATGGCGAGCAGCACGGAAAATGGGGGGATGAGCTGGGGTACCATAAGGGTGATATGGGTAACTTTAACGCTGATGATAATGGGAACGGTGAGATAACAATGACGACAGATCAGTGGTGTGCGATTGGTTGCGAAGATGGCACCAAAGCCAATATCGTGGGTAAAGGCGTCATCGTCCATGAGGGTACTGACGACTTTTCATCCCAGCCGTCAGGCGATGCAGGTACCCGTGTAAGCTGCGGGGGCATCGCGGCCGCACTCGAGCACCACCACCACCACCACTGA</t>
  </si>
  <si>
    <t>MTQPVRVAVTGAAGNISYSLLFRIAGGEMLGPGQPVVLQLLEIKPALDALKGVVMELEDCAFPLLQGVKISDDPAEAFKDAEVAMLVGARPRGPGMERKDLLTANGGIFRTQGKALNDNASDSVKVLVVGNPANTNALIAATNAPDLKPGRFTAMTRLDHNRALAQLAEKAGVKVSQITGITIWGNHSVTQYPDLSRATVAGEAALKVIDDSWYKETFIPTVQQRGAAIIKARGMSSAASAASAAIEHMHGWSLGTAEGNWISMAVPSDGSYGVPEGLIFSFPCTVKDGEFEIVQGLQIDEWSRNKIELTTQELMEERDGVNHLFAAALEHHHHHH*</t>
  </si>
  <si>
    <t>ATGACACAGCCTGTCAGAGTGGCTGTTACAGGTGCGGCCGGCAACATTAGTTATAGCTTGCTGTTTCGCATTGCCGGGGGTGAAATGCTTGGCCCTGGTCAGCCTGTCGTCCTGCAGCTGCTTGAAATTAAGCCTGCCTTGGACGCATTGAAGGGCGTGGTCATGGAACTTGAGGATTGCGCCTTCCCGCTCCTTCAAGGTGTGAAGATCTCAGATGATCCGGCCGAAGCTTTTAAGGACGCAGAGGTTGCAATGTTAGTAGGCGCGCGTCCCCGCGGGCCCGGGATGGAACGGAAAGATCTTCTGACGGCAAATGGTGGAATCTTTCGAACCCAGGGCAAGGCGCTCAACGATAACGCAAGTGATTCTGTAAAAGTGTTAGTGGTGGGTAATCCTGCGAATACAAATGCCCTCATTGCGGCTACAAATGCACCCGATTTAAAACCGGGTAGATTTACCGCGATGACGCGGTTAGACCATAATCGTGCACTTGCACAGCTGGCGGAGAAAGCGGGTGTGAAAGTATCCCAGATCACCGGTATCACCATCTGGGGTAACCACTCTGTTACGCAGTATCCTGATCTGTCGAGAGCGACCGTGGCGGGCGAGGCGGCACTCAAAGTGATTGATGATAGCTGGTACAAGGAGACATTCATTCCGACAGTACAACAGCGTGGTGCCGCGATAATAAAGGCGCGTGGAATGAGTTCCGCAGCATCGGCTGCGTCAGCGGCGATTGAGCATATGCACGGTTGGTCACTTGGAACCGCAGAAGGCAATTGGATTTCAATGGCGGTTCCGTCCGACGGAAGCTACGGAGTTCCAGAAGGATTGATTTTCTCTTTTCCGTGTACAGTAAAGGATGGGGAATTCGAGATCGTTCAAGGATTACAAATAGACGAGTGGAGTCGCAATAAAATAGAGCTGACGACGCAGGAACTGATGGAAGAAAGAGATGGTGTCAATCATTTATTTGCGGCCGCACTCGAGCACCACCACCACCACCACTGA</t>
  </si>
  <si>
    <t>MKITVVGAGAVGATCADNIARKKLVDEIVLLDIKEGFAEGKAIDLMQTASLMTFDTRITGETNDYALTKGSDVIIITSGIPRKPGMTREELIGVNARIVSNVANNLLKYSPNAIIVVISNPMDTMTYLTFKATGLPKNQIIGMGGVLDSSRFKYHISKAMDISPNDIHGVVLGGHGDSTMIPLTRCATYNGVEINNYLTDQQLKTVADDTMTGGAALTSLLGTSAWYAPGAAGAQLVEAIIRDEKRLFPCCVYLHGEYGQKDICLGVPVIIGKNGWEKILDYPLDAEERASFASSADAVRNMNKVLVTAAALEHHHHHH*</t>
  </si>
  <si>
    <t>ATGAAAATAACCGTTGTCGGTGCAGGTGCCGTTGGAGCCACCTGCGCTGATAATATCGCTAGAAAGAAGCTTGTCGATGAGATCGTCTTGTTGGACATTAAAGAAGGCTTTGCAGAAGGAAAGGCCATCGATCTGATGCAGACCGCATCCCTCATGACTTTTGACACCAGAATCACCGGCGAAACAAATGATTACGCATTAACCAAAGGTTCTGATGTAATCATTATCACGAGCGGGATCCCTCGCAAACCCGGTATGACGCGTGAGGAACTTATAGGAGTGAATGCCCGCATTGTATCGAATGTGGCAAATAATTTACTCAAATATTCACCGAATGCTATAATCGTTGTGATCTCCAACCCGATGGACACCATGACGTACCTGACCTTTAAAGCAACTGGTCTGCCAAAAAATCAGATTATCGGAATGGGAGGAGTCCTGGACAGCTCCCGCTTTAAGTATCACATCTCTAAAGCCATGGATATATCTCCTAATGACATACATGGTGTAGTTCTGGGCGGACACGGTGATAGTACGATGATACCCCTGACGCGCTGCGCCACATATAACGGTGTCGAGATTAACAATTATCTTACAGATCAACAGTTAAAAACCGTGGCAGATGACACCATGACAGGAGGCGCAGCCTTGACTAGCCTCCTGGGTACGAGCGCTTGGTACGCCCCTGGCGCAGCTGGTGCACAGCTCGTAGAAGCCATTATCCGTGACGAAAAACGCCTGTTCCCATGCTGTGTATACTTGCATGGGGAGTATGGTCAAAAGGACATTTGCCTTGGGGTCCCGGTTATCATTGGGAAGAATGGCTGGGAGAAAATTTTGGACTATCCGCTCGACGCTGAAGAGCGCGCAAGTTTTGCCTCTTCTGCAGACGCAGTACGTAATATGAATAAGGTTCTCGTTACAGCGGCCGCACTCGAGCACCACCACCACCACCACTGA</t>
  </si>
  <si>
    <t>MRIPVRIAVTGAAGQISYALLFRIANGDMLGKEHPIILHLLDIPQAQPTLQGVAMELEDCAFPMLHQIVITDDPKRAFHDADLVLLVGSKPRSKGMERYELIRVNAGTFADQGKVLNDFAQHHVKVLVIGNPANTNAMILMHNAPDISSRNFSSMMRLDHNRAISMVAMKLSRPITSVKKMIVWGNHSSTQYPDLYHATVDGSSITTILRDHKWVEKEFIPTVQKRGTAVIEARNLSSAATAANAAIGHIHDWIFGTHHDDWVTMAVVSDGSYGVPRGIVHGFPVTCHQGDYKIITDLTISTNSRRYMLANYHELLQERDQVEHLLAAALEHHHHHH*</t>
  </si>
  <si>
    <t>ATGCGGATCCCCGTGCGTATTGCTGTCACGGGAGCCGCGGGACAGATTTCATATGCTCTGCTTTTTCGTATTGCCAATGGCGACATGCTGGGCAAAGAGCATCCGATTATTTTACATCTCCTGGATATACCGCAGGCCCAACCCACGCTTCAAGGTGTTGCCATGGAACTGGAGGATTGTGCATTTCCGATGCTCCACCAGATCGTGATTACTGACGATCCTAAACGTGCATTCCATGATGCCGATCTCGTCCTGCTGGTGGGCTCGAAGCCGCGTTCAAAGGGTATGGAGAGATATGAACTGATCCGTGTTAACGCGGGCACCTTCGCAGACCAAGGTAAAGTATTAAATGATTTCGCGCAACATCACGTCAAAGTTCTTGTTATTGGGAACCCTGCAAACACCAATGCGATGATACTCATGCATAACGCACCGGATATCTCTTCGCGTAACTTCAGCAGTATGATGAGACTCGATCACAATCGTGCGATTAGCATGGTAGCAATGAAATTGTCTAGACCTATCACATCAGTTAAGAAGATGATCGTATGGGGCAACCACTCCTCAACTCAATACCCTGATTTATATCATGCAACGGTGGACGGTTCTAGCATTACAACAATTCTGCGCGATCATAAATGGGTAGAAAAGGAATTCATTCCCACTGTTCAGAAACGCGGCACCGCGGTTATTGAGGCCCGCAACCTCTCTTCAGCGGCGACGGCCGCTAATGCCGCAATCGGTCACATCCATGATTGGATCTTTGGAACTCACCATGATGATTGGGTGACAATGGCAGTTGTTTCTGATGGGTCTTATGGGGTTCCGCGCGGAATAGTCCATGGCTTTCCGGTTACTTGCCATCAAGGAGATTATAAAATTATAACCGATTTAACCATTTCTACCAATTCACGTCGCTATATGTTGGCTAATTATCACGAGCTTTTACAAGAGCGCGATCAGGTGGAACATTTACTTGCGGCCGCACTCGAGCACCACCACCACCACCACTGA</t>
  </si>
  <si>
    <t>MRNKVTVIGAGNVGATTAQRICELGWADVVLVDVVEGLPQGKALDLLESGPVIGSDASITGANGYEATAGSDVVVITAGIARRPGMSRDDLLLKNMKITGAVTEQVVKHAPDCIIIIVTNPLDAMVQWVLETSGFPRERVFGMAGILDSARFRAFVAQELDVSVEDVHAYVLGGHGDEMVPLVRYTNVAGIPVTELIDAERVEALVQRTRQGGGEIVGLLKQGSAFYAPSAAITQMAEAILLDKQRILPAWAYLEGEYGINGLCVGVPVKIGANGLEEIIEILDDDEKAALQASAASVQELVDLKKSKAEGAAALEHHHHHH*</t>
  </si>
  <si>
    <t>ATGCGCAATAAAGTGACAGTTATCGGAGCTGGCAATGTCGGGGCCACCACGGCACAACGCATATGTGAACTCGGATGGGCTGATGTTGTCCTCGTGGACGTAGTCGAAGGCCTGCCTCAAGGGAAAGCCTTGGATCTGCTTGAATCAGGACCGGTTATTGGGAGTGACGCGAGCATAACTGGTGCCAATGGGTATGAAGCAACAGCCGGAAGTGATGTTGTTGTCATCACGGCGGGTATTGCCAGACGCCCAGGGATGTCCCGAGATGATCTGTTGCTGAAGAATATGAAAATAACCGGCGCAGTTACAGAGCAAGTGGTCAAACACGCCCCCGATTGTATAATCATTATTGTGACGAATCCTCTGGATGCGATGGTGCAGTGGGTATTAGAAACTTCCGGATTCCCACGGGAACGCGTCTTTGGGATGGCGGGAATTTTAGACTCAGCGCGTTTTCGCGCATTTGTGGCACAAGAATTAGATGTATCCGTAGAAGATGTGCATGCCTATGTACTGGGCGGCCACGGTGACGAGATGGTTCCGTTGGTGCGCTACACCAATGTCGCAGGGATCCCGGTAACGGAATTAATTGATGCCGAAAGAGTGGAAGCCTTGGTTCAGAGAACTCGGCAAGGTGGGGGGGAAATAGTTGGGTTGCTGAAGCAGGGCTCAGCATTCTATGCACCTAGTGCTGCTATCACCCAGATGGCAGAAGCGATACTGCTGGACAAGCAGCGCATACTGCCCGCTTGGGCTTACTTAGAAGGCGAATACGGTATTAATGGCCTTTGTGTGGGGGTGCCAGTTAAAATTGGTGCAAATGGGCTTGAGGAGATTATTGAGATATTGGACGATGACGAAAAAGCAGCATTGCAAGCGAGTGCCGCGAGTGTTCAGGAGCTGGTGGACCTTAAAAAGAGCAAAGCAGAAGGTGCGGCCGCACTCGAGCACCACCACCACCACCACTGA</t>
  </si>
  <si>
    <t>MQHFSTSRFSFPKVAILGASGGIGQPLALLLKNNPAVSELALYDIKHTPGVAADLSHIDTHAKVTAYTGPEELEAALKDADVVLIPAGVPRKPGMTRDDLFNTNASIVHDIAKACARNCPEAWIAIITNPVNSTVPIASEILKAHGVYNPKRIFGVTTLDVVRANTFIAEAKGLDVTKVKHPVIGGHSGVTIIPVISQVNPNVAFPPEEREWLSKRIQNAGTEVVEAKAGDGSATLSMAYAGAKFTTSILEAMNGNEGVVECAYVESEETDAKYFATPILLGTNGVEKNLGIGKLIDYEYDLLDKAIPELKKNIKKGKDFVAAALEHHHHHH*</t>
  </si>
  <si>
    <t>ATGCAACACTTTTCTACCAGCCGCTTTTCCTTTCCTAAGGTTGCCATACTGGGAGCAAGCGGAGGCATCGGTCAACCCTTGGCACTGTTGCTGAAAAACAACCCTGCGGTTAGCGAATTGGCTCTGTATGACATCAAGCACACACCAGGTGTAGCCGCGGATCTGAGCCATATAGATACCCATGCCAAGGTGACTGCGTATACCGGGCCGGAAGAACTTGAAGCGGCTTTAAAAGACGCAGACGTTGTGCTGATTCCAGCGGGAGTCCCTCGTAAACCAGGTATGACACGTGACGACCTGTTCAATACGAATGCAAGCATTGTGCATGACATTGCCAAAGCCTGTGCACGGAACTGTCCTGAAGCATGGATCGCAATAATTACAAACCCCGTCAATAGCACCGTGCCAATTGCGTCCGAGATACTGAAAGCTCACGGCGTGTACAATCCCAAGCGCATATTTGGTGTCACAACATTAGATGTGGTAAGAGCAAATACATTTATTGCAGAAGCTAAAGGTTTAGACGTTACAAAAGTGAAGCACCCGGTCATAGGCGGACATAGCGGCGTCACCATTATACCCGTGATATCTCAAGTTAACCCGAATGTCGCGTTTCCCCCTGAGGAGCGTGAGTGGTTATCAAAGCGCATTCAAAATGCCGGCACGGAGGTCGTTGAGGCCAAAGCGGGCGATGGCAGTGCAACATTAAGTATGGCTTACGCGGGGGCGAAGTTTACAACCTCAATACTGGAGGCCATGAACGGAAACGAAGGGGTGGTTGAATGTGCGTATGTAGAATCCGAAGAAACCGATGCTAAATACTTCGCAACACCCATTCTTTTAGGTACAAATGGAGTTGAAAAAAATTTGGGCATCGGCAAACTGATAGACTACGAATACGATCTTCTGGATAAAGCGATTCCGGAATTAAAAAAAAATATAAAAAAGGGTAAGGATTTTGTTGCGGCCGCACTCGAGCACCACCACCACCACCACTGA</t>
  </si>
  <si>
    <t>MSEPVHVVVTGAAGQIAYSLLYSIGKGDVFGQDQPIILVLLDITPMMGVLDGVVMELWDYALPLVREVVATDDEAVAFKDISAAFLVGAMPRKEGMERKDLLAANVKIFKVQGKALDKVAKKTVKVLVVGNPANTNALIWSKYAPSIPKENFSAMTRLDQNRAQAQIASRLKVTVEHVKNVIIWGNHSSTQYPDVNHAKAYVVGGNVPVYDAVKDDAWLRGDFITTVQKRGAAVIAARKLSSAMSAAKAATDHLRDWWWGTKAGQFVSMGVFSDGSYGTPKDVIYSFPVTIANKKWKIVQGLSIDDFAREKMDATAAELVEEKDAVTDFLAAALEHHHHHH*</t>
  </si>
  <si>
    <t>ATGTCTGAACCGGTTCACGTGGTAGTGACTGGAGCAGCCGGACAGATCGCGTACTCGTTATTGTATTCTATAGGTAAAGGTGATGTATTCGGCCAAGACCAGCCGATAATCCTGGTACTTCTGGATATTACCCCGATGATGGGGGTGCTGGACGGTGTTGTTATGGAACTGTGGGATTATGCACTGCCCCTTGTGCGTGAAGTCGTGGCGACGGACGATGAAGCTGTTGCGTTTAAGGATATAAGCGCAGCTTTCCTTGTAGGAGCCATGCCTCGTAAAGAAGGCATGGAACGGAAAGATCTGCTTGCCGCGAATGTAAAAATTTTCAAAGTTCAGGGGAAAGCGCTGGATAAAGTCGCCAAGAAAACCGTGAAGGTGCTGGTAGTGGGCAATCCAGCGAATACCAATGCGCTGATCTGGAGTAAGTATGCACCCTCGATTCCAAAAGAGAACTTCTCAGCCATGACCCGCCTGGACCAAAATAGAGCACAGGCCCAAATTGCCAGTAGATTAAAAGTAACGGTTGAACATGTCAAAAACGTTATTATCTGGGGGAATCATTCTTCCACGCAATATCCGGACGTTAATCATGCAAAAGCGTATGTGGTTGGTGGCAATGTTCCGGTGTACGATGCTGTTAAAGACGATGCATGGTTGAGAGGGGATTTTATCACCACAGTGCAGAAACGCGGCGCAGCCGTAATAGCGGCTCGTAAGCTGTCTTCAGCGATGAGTGCGGCCAAAGCAGCAACTGATCATCTTCGTGACTGGTGGTGGGGTACGAAAGCGGGTCAATTCGTTTCCATGGGGGTTTTCTCAGATGGTTCTTACGGAACCCCAAAAGATGTTATCTACTCCTTTCCGGTCACCATAGCCAACAAGAAATGGAAAATTGTTCAGGGTCTTTCCATCGATGATTTCGCTCGTGAAAAAATGGACGCAACTGCAGCGGAACTGGTCGAGGAAAAGGACGCCGTTACGGACTTTTTAGCGGCCGCACTCGAGCACCACCACCACCACCACTGA</t>
  </si>
  <si>
    <t>MVVKAVCVLKSNNVQGNTIFYTECADGPTKVTGSLTGLKPGLHGFHVHALGDTTNGCLSTGPHFNPAGKEHGAPEDVVRHAGDLGNVTVGEDGTVNFSLTDSQIPLTGTNSIIGRAVVVHADPDDLGKGGHELSKTTGNAGGRCACGVIGLQGAAALEHHHHHH*</t>
  </si>
  <si>
    <t>ATGGTAGTCAAGGCAGTCTGTGTATTGAAAAGTAATAACGTGCAGGGTAACACAATTTTCTATACCGAATGCGCGGATGGTCCGACCAAAGTTACAGGATCGCTGACCGGGCTGAAACCTGGTCTGCATGGGTTCCATGTTCATGCGCTTGGTGATACAACCAACGGCTGTTTATCGACAGGTCCGCATTTTAATCCGGCAGGTAAGGAACATGGTGCCCCGGAAGATGTTGTTCGCCATGCAGGAGATCTCGGTAATGTTACCGTCGGAGAAGACGGTACCGTGAATTTTTCACTCACTGACAGCCAAATTCCGCTTACCGGTACAAACTCCATTATCGGAAGAGCAGTGGTTGTTCATGCAGATCCTGACGATTTAGGCAAGGGCGGGCACGAACTGTCCAAGACAACAGGTAACGCCGGTGGTAGATGCGCATGCGGCGTAATAGGCTTACAGGGAGCGGCCGCACTCGAGCACCACCACCACCACCACTGA</t>
  </si>
  <si>
    <t>MIPLEAKGGSKATGSVTFNEEEGKVTISATLTGLNPGEHAIHLHEKADCSAPDGTSTGGHWNPTFSAHGKWGDAQGYHKGDIGNFEANAAGEGAITLTTDEWCIGCGDATTDILGKGIIVHEDTDDFKSQPTGDAGGRVSCGGIAAALEHHHHHH*</t>
  </si>
  <si>
    <t>ATGATTCCTCTTGAAGCAAAAGGGGGAAGTAAAGCTACAGGAAGCGTTACGTTCAATGAAGAAGAAGGGAAGGTGACAATAAGCGCAACCCTGACTGGACTGAACCCCGGCGAGCATGCTATCCATTTGCATGAAAAAGCCGACTGTAGTGCCCCCGATGGCACTTCAACTGGTGGCCACTGGAATCCGACTTTTTCAGCCCATGGCAAATGGGGTGACGCGCAAGGGTATCACAAGGGTGATATTGGCAACTTTGAGGCCAACGCGGCGGGCGAAGGTGCTATTACTCTGACGACAGATGAATGGTGTATTGGTTGTGGTGATGCTACTACAGATATTTTAGGTAAAGGAATCATAGTACATGAAGACACAGATGATTTCAAATCTCAACCTACCGGCGATGCGGGGGGACGTGTTAGCTGTGGAGGTATAGCGGCCGCACTCGAGCACCACCACCACCACCACTGA</t>
  </si>
  <si>
    <t>MNAVNEQGVGESVGTVTIEESAYGLVFKPRLKGLPPGIHGFHIHEKGSCEAAMQDGKMVAADAAGGHYDPQNTGKHGNPWGEGHLGDLPSLYVNSDGSANKPVLAPRIKAISQIKGKALMVHAGGDNHSDNPQPLGGGGARVACGVIAAALEHHHHHH*</t>
  </si>
  <si>
    <t>ATGAACGCCGTCAATGAACAGGGCGTGGGTGAGTCGGTTGGGACCGTGACCATCGAAGAATCTGCGTATGGCCTTGTATTCAAACCACGTCTGAAGGGGTTACCTCCTGGCATACATGGTTTTCATATACATGAAAAAGGTAGCTGCGAAGCAGCGATGCAGGATGGCAAAATGGTTGCGGCAGACGCAGCAGGAGGGCACTATGACCCCCAGAATACGGGCAAACATGGCAATCCCTGGGGCGAGGGGCATCTGGGCGATCTGCCGTCTCTGTATGTGAATTCTGATGGCAGCGCGAATAAACCCGTCTTAGCGCCGCGCATTAAAGCGATTAGCCAGATTAAAGGTAAAGCATTAATGGTACACGCTGGCGGCGATAATCACTCTGACAATCCCCAACCGCTTGGTGGCGGGGGTGCGCGCGTAGCATGTGGAGTTATCGCGGCCGCACTCGAGCACCACCACCACCACCACTGA</t>
  </si>
  <si>
    <t>MNLPPVRVTVTGAAGQIGYSLLFRIASGQMFGPDVPVRFRLLEIPTGTKAAEGTAMELDDCVFPLLLGMEVFDDPRDAFKGTNVALLVGSRPRKPGMERSDLIDANGGIFRPQGAAINEFAADDVRVLVVGNPANTNALIAQSNAPDVPRERFSAMTRLDHNRAVAQLAERAGVPVSDVRALCIWGNHSSTQFPDVFHAEIAGQPSAEIIEDVDWYLDEFIPTVAQRGAAIIAARGASSAASAANAIIDSVRDWVLGTDEGDWVSAGVASDGSYDVPTGLIASFPVTSSDGTWQIVQGMEITDFSKERIDASVAELIEERDAVATAAALEHHHHHH*</t>
  </si>
  <si>
    <t>ATGAACTTGCCGCCCGTCCGTGTTACGGTCACCGGTGCCGCCGGCCAGATTGGTTACTCCCTGCTCTTTCGCATTGCCTCTGGTCAGATGTTCGGTCCAGATGTTCCGGTACGTTTTCGCCTGCTCGAAATACCGACTGGAACGAAAGCAGCCGAAGGTACAGCAATGGAACTGGACGACTGTGTATTCCCGCTGCTGCTGGGCATGGAGGTGTTCGATGATCCGCGTGACGCCTTTAAGGGTACCAATGTTGCTCTGCTGGTTGGCTCGAGACCGCGTAAGCCGGGTATGGAGCGCAGCGATCTTATCGACGCGAATGGGGGCATATTTCGCCCGCAGGGAGCTGCCATTAACGAATTTGCCGCCGACGATGTTCGGGTACTGGTAGTTGGAAATCCAGCAAACACCAACGCGTTAATAGCGCAGAGTAATGCCCCGGACGTGCCACGTGAGCGGTTCAGTGCCATGACACGGCTGGATCACAACCGTGCCGTTGCTCAGTTAGCTGAGAGAGCTGGCGTACCCGTGTCCGATGTACGAGCACTTTGTATTTGGGGAAATCACTCGAGCACGCAGTTTCCTGACGTATTTCATGCAGAAATTGCAGGCCAGCCTAGTGCAGAAATAATTGAAGATGTCGATTGGTATTTGGACGAATTCATCCCTACCGTTGCCCAGCGGGGAGCAGCCATTATAGCTGCCCGCGGCGCTTCTAGCGCTGCCAGCGCAGCAAATGCCATTATAGACAGTGTACGAGACTGGGTGTTGGGGACCGACGAAGGGGACTGGGTTTCAGCGGGCGTCGCGTCCGATGGTTCCTATGACGTGCCAACCGGACTTATAGCCTCTTTCCCCGTGACTTCTTCCGATGGCACTTGGCAGATTGTCCAGGGAATGGAAATTACCGATTTTAGTAAAGAACGTATAGACGCAAGCGTTGCAGAGCTTATTGAGGAACGAGATGCTGTGGCTACGGCGGCCGCACTCGAGCACCACCACCACCACCACTGA</t>
  </si>
  <si>
    <t>MSMMVDKITVVGAGNVGATVAQRLAERELADQVVMVDIVDGIPQGKGLDMWEAAPIEGFDTRLIGTNRYKATEDSQIVVITAGIARKPGMSRDDLVNTNAGIVKSVSEQIKKASPDSILIMVSNPLDVMTHVAYKTTGFPRERVIGMAGVLDTARYRSFLAQALGVSVKDIQALVLGGHGDTMVPLISYSTVSGIPVTQFIDPARLDAIVDRTRKGGGEIVNLLKTGSAYYAPSAAAAEMVEAIVKDKKRVLPCAAYLEGEYGISGIFIGVPCKLGRNGVEQILEIELTADEKAALKQSAESVRETMEVVTEAAALEHHHHHH*</t>
  </si>
  <si>
    <t>ATGTCGATGATGGTGGATAAAATTACGGTCGTGGGGGCAGGTAACGTCGGAGCGACTGTTGCCCAGCGCCTTGCGGAGCGGGAACTGGCAGACCAAGTCGTCATGGTTGATATTGTAGATGGCATTCCCCAAGGAAAAGGCCTTGATATGTGGGAAGCCGCGCCGATTGAGGGCTTCGATACCCGCCTGATCGGAACCAACCGTTATAAAGCAACGGAGGACAGCCAGATTGTCGTGATTACTGCAGGCATCGCACGTAAGCCAGGAATGAGCCGTGACGACCTGGTAAATACAAACGCAGGTATTGTCAAGTCCGTCTCGGAACAGATCAAAAAAGCTAGTCCGGACAGCATCTTAATCATGGTTTCGAATCCGTTGGATGTTATGACCCACGTGGCGTATAAGACTACAGGCTTTCCAAGAGAGCGCGTTATCGGTATGGCCGGAGTTCTGGACACTGCAAGATATAGAAGTTTTCTGGCTCAGGCACTGGGGGTATCTGTAAAGGATATTCAGGCTCTGGTGCTGGGGGGGCATGGAGACACTATGGTGCCACTGATTTCATATTCTACTGTCAGCGGGATTCCGGTCACCCAGTTTATAGATCCCGCGCGTTTGGATGCTATTGTAGACAGAACACGCAAGGGTGGTGGTGAGATTGTTAACCTGTTAAAGACTGGTTCCGCCTACTACGCTCCCTCTGCTGCAGCCGCAGAGATGGTCGAGGCAATTGTTAAAGATAAAAAACGTGTACTGCCTTGTGCGGCGTATCTGGAAGGAGAGTACGGGATTTCTGGGATCTTTATCGGCGTGCCTTGTAAATTAGGTAGAAATGGCGTCGAACAAATTCTGGAAATTGAACTGACTGCAGATGAGAAAGCTGCACTGAAACAGTCTGCGGAGTCTGTGCGTGAAACTATGGAAGTAGTGACGGAAGCGGCCGCACTCGAGCACCACCACCACCACCACTGA</t>
  </si>
  <si>
    <t>MVKAVAVLTGSEGVKGTVSFSQEGNGPTTVTGSLSGLKPGLHGFHVHALGDTTNGCMSTGAHFNPSGKEHGAPEDENRHAGDLGNVTAGEDGTATFSIVDNQIPLTGPNSIIGRAVVVHADPDDLGKGGHELSKSTGNAGGRVACGVIGLQGAAALEHHHHHH*</t>
  </si>
  <si>
    <t>ATGGTGAAAGCGGTGGCCGTACTGACTGGATCTGAAGGCGTAAAGGGAACGGTGAGCTTCTCCCAAGAAGGAAATGGCCCTACTACCGTCACGGGATCACTGTCGGGTCTTAAACCGGGCCTGCACGGATTTCATGTCCACGCTTTGGGAGATACAACGAACGGCTGTATGTCAACCGGCGCGCATTTTAATCCTAGTGGTAAAGAGCACGGAGCACCGGAAGACGAAAACCGGCATGCTGGCGATCTGGGCAATGTTACAGCTGGCGAGGATGGCACTGCAACATTTTCCATAGTCGATAACCAAATCCCGCTCACAGGACCCAATTCTATTATAGGCCGTGCCGTCGTTGTGCATGCAGACCCTGATGACCTGGGAAAGGGGGGACATGAACTCTCGAAGTCTACTGGCAACGCCGGAGGGCGGGTAGCCTGCGGTGTGATTGGTCTTCAGGGGGCGGCCGCACTCGAGCACCACCACCACCACCACTGA</t>
  </si>
  <si>
    <t>MVWKAVCVLNGEWVKGVIHFTQNCPNAPVVISGEFTGLTPGKHGFHVHEYGDNTNGCTSAGAHYNPFNKEHGAPNDSVRHVGDLGNIEANEEGVAKVKMSDNMMSLTGPNSIIGRTLVVHADEDDLGKGGHELSKTTGNAGERVACGVIGIAKWAAALEHHHHHH*</t>
  </si>
  <si>
    <t>ATGGTCTGGAAGGCCGTGTGTGTGCTCAACGGAGAATGGGTCAAAGGTGTTATTCACTTTACGCAAAACTGCCCGAATGCGCCGGTGGTCATATCCGGGGAGTTTACCGGGTTAACTCCAGGGAAGCATGGCTTTCATGTACATGAATATGGAGATAACACGAATGGCTGCACCTCCGCGGGAGCTCATTACAACCCTTTTAACAAAGAACATGGTGCTCCGAATGATAGCGTTAGACATGTGGGAGACCTTGGCAACATAGAAGCTAACGAAGAGGGTGTTGCAAAAGTTAAGATGTCGGATAATATGATGAGCTTGACAGGGCCAAATTCTATTATTGGGCGAACACTGGTCGTGCACGCCGATGAGGATGATCTGGGCAAAGGCGGCCATGAACTCAGTAAAACCACTGGTAATGCAGGAGAAAGAGTGGCCTGCGGCGTTATTGGCATTGCCAAATGGGCGGCCGCACTCGAGCACCACCACCACCACCACTGA</t>
  </si>
  <si>
    <t>MVQIYNQSGDKVGTAKFAQEAKGVKVSIKAEGFTPGTHGVHVHETGQCKAPDFSSSGKHLNPNNKKHGILNPEGPHNGDLPNIVADKSGMIKMNMVAPKVALKEGKDMTLLRKDGASLIITEKQDDGMVQPAGNSGKRMACGVIVKEASETKKEAAALEHHHHHH*</t>
  </si>
  <si>
    <t>ATGGTACAAATATATAATCAGTCTGGAGACAAAGTTGGTACAGCGAAATTTGCCCAGGAGGCAAAAGGTGTAAAAGTTAGCATTAAAGCAGAGGGATTTACGCCGGGCACCCACGGCGTTCATGTTCATGAAACGGGTCAGTGTAAAGCACCAGACTTTAGTAGTTCCGGAAAACATCTTAACCCCAATAATAAAAAGCATGGCATCTTGAATCCTGAAGGACCGCATAACGGCGACTTACCCAATATTGTAGCTGACAAGAGTGGTATGATTAAAATGAATATGGTGGCCCCGAAAGTGGCTCTGAAGGAAGGAAAGGACATGACCCTGCTGCGGAAAGACGGTGCTTCATTAATAATCACCGAGAAGCAAGATGATGGTATGGTTCAGCCCGCCGGCAATAGTGGTAAACGAATGGCCTGTGGTGTTATTGTGAAAGAAGCCTCGGAAACTAAAAAAGAAGCGGCCGCACTCGAGCACCACCACCACCACCACTGA</t>
  </si>
  <si>
    <t>MASPVRVAVTGAAGQIGYSLLFRIASGAMFGADQPVLLHLLEIPAALGALDGVGMELEDCAFPLLSEVFKADDPAKAFGDVNFALLVGAMPRKAGMEREDLLKANGGIFKVQGKRLNEAAAREIRVLVVGNPANTNALIASKNAPSIDPKRFTAMTRLDHNRALSQLTHKVGVPSNQVTKMIVWGNHSATQYPDLYNATVNGENALKLVTDHAWLKNEFVPTVAKRGAAIIKARGASSAASAANAAIDHIRDWAMGSPEGDWVSMAVPSDGSYGVPEGLIYSFPVTSQGGGWKIVDGLDIDEYARKKIDASVAELVAERDAVRDLAAALEHHHHHH*</t>
  </si>
  <si>
    <t>ATGGCTTCTCCAGTTAGAGTGGCCGTGACGGGAGCCGCGGGCCAGATTGGCTATAGCCTCCTGTTCCGCATTGCTTCGGGAGCCATGTTTGGTGCGGATCAACCCGTGTTGTTACATTTATTAGAAATTCCGGCAGCGTTAGGTGCCTTAGATGGTGTGGGGATGGAACTTGAAGATTGCGCATTCCCATTGTTAAGCGAAGTCTTTAAAGCAGATGATCCTGCTAAGGCGTTTGGTGATGTTAACTTTGCTCTCCTGGTTGGTGCGATGCCGCGCAAAGCCGGAATGGAACGGGAAGATTTACTGAAAGCCAACGGCGGCATCTTTAAAGTGCAGGGTAAACGGCTGAACGAGGCAGCAGCACGCGAAATAAGAGTGCTGGTTGTAGGAAACCCGGCCAATACTAATGCGCTCATAGCATCTAAGAATGCTCCGAGCATCGACCCGAAACGATTTACGGCGATGACGCGGCTGGATCATAATAGAGCTCTGTCTCAATTAACTCACAAGGTCGGGGTACCGAGCAATCAGGTGACCAAAATGATTGTCTGGGGGAACCACTCGGCAACTCAGTATCCGGATCTGTATAATGCGACTGTCAACGGCGAAAATGCTCTTAAGCTGGTTACCGATCATGCCTGGTTGAAAAATGAATTCGTACCTACAGTAGCTAAGCGAGGTGCCGCAATTATAAAAGCGCGTGGAGCTTCGTCGGCGGCAAGCGCGGCGAATGCCGCTATTGATCATATTCGCGATTGGGCTATGGGAAGTCCGGAAGGTGATTGGGTAAGCATGGCCGTGCCGAGCGACGGTAGCTATGGGGTTCCTGAAGGCCTGATTTATAGCTTTCCAGTTACTTCCCAGGGGGGCGGGTGGAAAATCGTGGATGGGCTGGATATAGATGAATACGCCCGCAAGAAAATTGATGCGAGTGTGGCGGAACTTGTGGCCGAGCGAGATGCTGTACGCGATTTAGCGGCCGCACTCGAGCACCACCACCACCACCACTGA</t>
  </si>
  <si>
    <t>MVKAPVRVAITGAAGQIGYALLPRIASGEMLGKDQPVILQLLEIPDEKAQNALKGVIMELEDCAFPTLQGMSATGDPMAAFKDVDIAILVGSHPRGQGMERRDLLSFNGQIFTAQGKALDDVASRDVKVLVVGNPANTNAFIAMKSAPDLPSKNFTEMLRLDHNRAWSMIAAKTRCAVARIERLVVWGNHSSTMYADYRFAYIDGDSVLKMINDEVWNRDVFLPTVGKRGAAVIEARGLSSAASAANAAIDHVRDWMLGTKGRWVTMGIPSQGSYDIPKGVMFGVPVSWENGEYTIVEGLPIDEFSQEWIAKTLAELIDEQDGVKDLLAAALEHHHHHH*</t>
  </si>
  <si>
    <t>ATGGTGAAAGCCCCGGTGCGTGTAGCCATTACAGGTGCAGCCGGTCAGATTGGTTATGCTCTGTTGCCACGAATAGCAAGCGGCGAGATGTTAGGGAAAGATCAACCCGTTATTCTGCAGCTCCTTGAGATTCCGGACGAAAAGGCTCAGAATGCGCTGAAAGGCGTGATTATGGAATTGGAGGATTGTGCCTTCCCAACACTGCAGGGCATGTCAGCTACCGGAGACCCCATGGCGGCCTTTAAAGATGTTGACATCGCGATTTTAGTTGGCTCTCATCCACGCGGTCAAGGGATGGAACGCCGGGATCTCTTGTCCTTTAATGGTCAAATATTTACCGCTCAGGGTAAGGCATTGGACGACGTAGCGTCACGTGATGTGAAAGTTTTAGTTGTGGGGAACCCCGCTAATACGAATGCCTTTATTGCGATGAAAAGTGCACCTGATCTGCCTTCCAAAAACTTCACCGAAATGCTGCGCCTTGATCATAATAGAGCATGGTCTATGATAGCCGCAAAAACCAGATGCGCTGTAGCGCGCATTGAACGGCTGGTGGTCTGGGGTAACCATTCATCCACTATGTATGCTGATTATCGTTTTGCTTACATTGATGGTGATTCCGTTCTGAAAATGATTAATGATGAGGTTTGGAATCGTGATGTTTTCCTGCCTACCGTAGGTAAACGAGGCGCTGCAGTTATTGAAGCTCGTGGTTTGAGTTCGGCGGCGAGTGCTGCAAACGCGGCAATTGATCATGTGCGCGACTGGATGCTGGGAACAAAAGGACGCTGGGTGACCATGGGTATCCCGAGCCAAGGAAGTTACGACATTCCGAAGGGAGTTATGTTTGGGGTTCCTGTGTCTTGGGAGAACGGCGAATATACAATTGTGGAAGGCCTTCCTATTGACGAGTTCAGTCAGGAATGGATCGCGAAAACTTTAGCCGAATTAATTGATGAACAAGATGGCGTAAAAGATCTGTTAGCGGCCGCACTCGAGCACCACCACCACCACCACTGA</t>
  </si>
  <si>
    <t>MSKPPIRVAVTGAAGQIGYSLLFRIASGEMFGKDQPVILQLLEIPDEKAQKALMMVMMELEDCAFPLCAEMVAHSVPKQAFKDADLAYLRGASPRGPGMERKELLPENAQIFIGQGKALNDVASRNVRVLVVGNPCNTNALIAMKSAPDLPPENFWAMLRLDHNRALSQLAAKTGVKVAELKKMAVWGNHSVTMYPDYRFATINGEKVPAWINDEDWLRDVFLPTVGKRGAAVIEARGLSSAASAANAAIDHIRDWVLGTNEKWVTMGIPSDGSYGVPEDIVYGFPVWWANGEYEIVQGLEIDAFSREKMDRTVKELQEERDLVANLLAAALEHHHHHH*</t>
  </si>
  <si>
    <t>ATGTCAAAACCGCCCATTAGAGTGGCCGTTACCGGCGCTGCGGGGCAAATCGGTTATTCCCTGCTCTTCCGGATTGCAAGTGGTGAAATGTTTGGGAAAGATCAGCCAGTGATCTTGCAACTGCTGGAGATACCAGATGAAAAAGCACAAAAAGCCCTGATGATGGTTATGATGGAACTGGAGGATTGCGCGTTCCCGCTCTGCGCAGAGATGGTCGCACACTCAGTTCCCAAACAGGCTTTCAAGGATGCGGATCTTGCTTACTTGCGCGGGGCGTCTCCGCGGGGTCCGGGCATGGAACGTAAGGAGCTGCTCCCTGAGAACGCACAAATATTCATTGGTCAGGGTAAGGCATTAAATGATGTTGCGTCCCGTAACGTCAGAGTTTTAGTTGTCGGGAACCCTTGTAATACGAATGCGTTGATTGCAATGAAGTCTGCACCAGACCTGCCACCGGAGAATTTTTGGGCCATGCTGCGCCTGGATCACAACCGTGCGTTGTCTCAGCTGGCGGCTAAAACCGGCGTGAAAGTTGCCGAACTGAAGAAAATGGCCGTCTGGGGCAATCACTCTGTGACGATGTATCCTGACTACCGTTTCGCAACTATAAACGGAGAAAAAGTTCCCGCGTGGATTAACGACGAGGACTGGCTGCGCGATGTCTTTTTACCCACCGTGGGCAAACGAGGCGCAGCCGTGATCGAGGCCAGAGGCCTCTCCTCCGCTGCAAGCGCAGCCAACGCGGCTATTGATCATATCCGTGACTGGGTGCTTGGTACCAACGAGAAGTGGGTCACAATGGGTATTCCGTCGGATGGATCTTATGGCGTACCTGAAGACATTGTTTATGGTTTTCCCGTTTGGTGGGCTAACGGCGAGTATGAAATTGTTCAAGGATTGGAGATTGACGCATTTAGCAGAGAGAAGATGGATCGTACCGTGAAAGAGTTACAGGAGGAGCGCGATCTTGTCGCGAACCTGTTAGCGGCCGCACTCGAGCACCACCACCACCACCACTGA</t>
  </si>
  <si>
    <t>MVEWKQLDSGKTVGYVVVSQSDYGVVFTPHLNGLPAGMHGFHIHTNGSCDPSTKNGKTILGGAAGDHWDPENTGKHGYPWNDDNHYGDLPALYVDTNGWASTPVLAPQLKLSDVEGRALMVHAGGDNHSDSPSKLGGGGARIVCGVIAAALEHHHHHH*</t>
  </si>
  <si>
    <t>ATGGTAGAATGGAAACAGCTGGATAGTGGCAAAACTGTGGGCTACGTGGTGGTGAGCCAGTCCGATTATGGTGTAGTCTTTACGCCGCATTTAAACGGTTTGCCTGCCGGTATGCATGGGTTTCATATACATACAAACGGTAGTTGCGATCCAAGCACTAAGAACGGAAAAACTATCTTAGGCGGAGCGGCAGGTGATCACTGGGATCCAGAGAACACAGGGAAACATGGATATCCTTGGAATGATGACAACCATTACGGCGATTTACCGGCACTCTACGTCGATACAAACGGTTGGGCGTCGACGCCGGTCCTGGCTCCGCAACTGAAGCTTTCTGATGTCGAGGGGCGCGCTCTTATGGTTCACGCTGGAGGCGATAATCATTCCGATAGCCCGTCTAAGTTGGGAGGGGGTGGTGCCAGAATCGTATGTGGTGTCATTGCGGCCGCACTCGAGCACCACCACCACCACCACTGA</t>
  </si>
  <si>
    <t>MLARNKISIVGAGNVGATAAHWAVARELGDIVLVDVVEGVPQGKALDLAQSAPVEGYDSCIVGTNEYKDTAGSDVVIITAGLPRKPGMTRDDLLYTNTDIVGSVTEQVARHSPNSVLIVVSNPLDAMAHLAREVSGFPPHRVMGMAGVLDSARFRAFVAEELNVSVEDVHAFVLGGHGDDMVPLPRYTTVAGIPVEQLIPKERIDAIVQRTRKGGGEIVNYLKTGSAFYAPSTAAVQMVEAILKDKKRILPCAAYLNGQYGITGLFVGVPVKIGRGGVEQVVEISLTAEERAAFQKSVAAVRELVDKLDLAAALEHHHHHH*</t>
  </si>
  <si>
    <t>ATGTTAGCACGGAACAAAATCTCGATCGTTGGAGCGGGAAATGTTGGAGCGACGGCCGCTCATTGGGCCGTCGCCCGCGAGCTCGGTGACATAGTCCTGGTCGATGTAGTTGAGGGTGTACCTCAGGGCAAGGCCCTGGATCTTGCACAGTCAGCTCCAGTGGAAGGGTATGATTCATGTATAGTCGGAACGAACGAATATAAGGACACAGCCGGTTCGGATGTGGTGATAATCACCGCCGGCCTGCCACGTAAACCTGGGATGACCCGCGATGATCTGCTGTATACCAACACGGATATAGTAGGAAGCGTTACGGAGCAAGTAGCCCGCCATAGCCCTAACTCTGTGCTGATAGTAGTTTCCAACCCACTGGATGCAATGGCCCATCTGGCTCGTGAAGTTTCAGGCTTTCCACCGCATAGAGTTATGGGTATGGCCGGGGTACTTGATAGTGCACGTTTTCGCGCGTTCGTTGCTGAAGAGCTTAACGTCTCAGTGGAGGATGTCCACGCGTTTGTGCTTGGCGGCCACGGTGATGATATGGTGCCGTTACCTCGCTACACTACCGTTGCAGGTATTCCCGTAGAGCAACTTATTCCGAAAGAACGTATAGACGCCATCGTACAGCGGACGCGCAAGGGAGGCGGGGAAATTGTTAACTATCTGAAGACAGGGTCGGCATTTTACGCTCCGTCTACCGCGGCTGTTCAAATGGTGGAGGCCATACTTAAAGATAAGAAACGGATATTACCCTGTGCAGCCTACCTGAACGGCCAGTACGGCATCACGGGTCTTTTCGTCGGAGTACCCGTAAAGATTGGTAGAGGGGGAGTGGAACAGGTGGTGGAGATCTCCCTGACCGCTGAAGAAAGAGCTGCGTTCCAAAAAAGCGTAGCGGCCGTGCGAGAATTAGTAGATAAACTTGATCTCGCGGCCGCACTCGAGCACCACCACCACCACCACTGA</t>
  </si>
  <si>
    <t>MAELEPTKGNATSGEVRFTQQGDRVRVSGEVQGLQPGSEHGFHIHEKGDCSSGDGMSAGGHFNPTNTPHGWHAGADHHTGDLPSLRADAQGVARFNFDSRTISIGSGTQDIIGRWLIVHRDPDDYTTQPTGNAGARLACAVIAAALEHHHHHH*</t>
  </si>
  <si>
    <t>ATGGCAGAACTGGAGCCAACTAAAGGTAATGCTACCTCGGGCGAGGTACGTTTTACACAGCAGGGCGACCGCGTGCGGGTCTCAGGAGAAGTGCAGGGGCTGCAACCGGGTTCCGAACATGGCTTTCATATTCACGAGAAGGGGGATTGTTCGAGTGGGGATGGTATGTCAGCAGGGGGTCACTTCAATCCGACAAACACACCGCACGGATGGCATGCTGGCGCAGACCATCATACAGGCGACTTGCCCAGTCTGCGAGCCGATGCCCAAGGTGTCGCGCGATTTAATTTTGACTCCCGTACAATCAGCATCGGTTCGGGCACCCAAGATATAATAGGTCGTTGGCTGATAGTGCACCGCGACCCTGACGACTACACTACTCAACCGACCGGCAATGCTGGTGCGCGTCTGGCCTGCGCGGTCATCGCGGCCGCACTCGAGCACCACCACCACCACCACTGA</t>
  </si>
  <si>
    <t>MTANLKDAQNRLIGVATFSELENRLVRIHVSAKGLPPGRHGIHIHEVGNCTAPTFVSAGGHYNPLGREHGIENPKGPHAGDLPNLIVEEDGTAALDVVTNLATLSSTADSLFQANGTSLVIHALPDDQKSNPSGNSGDRIACGVIAAALEHHHHHH*</t>
  </si>
  <si>
    <t>ATGACGGCCAATCTGAAAGATGCACAGAATCGATTGATTGGCGTGGCCACCTTTTCGGAGCTCGAGAATCGCTTAGTAAGAATTCACGTTTCAGCGAAGGGATTACCGCCGGGTCGTCACGGCATACATATACATGAAGTTGGCAATTGCACAGCTCCAACGTTCGTAAGTGCAGGAGGCCACTATAATCCACTGGGCCGTGAGCACGGCATCGAAAATCCGAAAGGACCGCATGCCGGCGATCTGCCAAATCTGATTGTAGAAGAGGATGGGACAGCAGCCTTAGATGTGGTTACTAATCTGGCGACATTAAGTTCTACAGCAGATTCTTTATTTCAGGCAAATGGAACGAGTTTGGTGATTCATGCCCTGCCAGATGATCAGAAGTCAAACCCATCCGGAAATAGCGGAGATCGCATTGCCTGCGGTGTTATTGCGGCCGCACTCGAGCACCACCACCACCACCACTGA</t>
  </si>
  <si>
    <t>MTIEGGPLAPGLKGVVYFREVKGGTEVRVEVIGLPRYKPAANDAQPVGPHGFHIHVNGSCKTGDPSNPFESAGDHWNPTNQPHGNHAGDFPVLFSNNGYARMSFFTNKFKVQDVVDRAVMIHESPDDYRSQPSGKAGKRLACGVIAAALEHHHHHH*</t>
  </si>
  <si>
    <t>ATGACCATTGAAGGTGGTCCGTTGGCCCCAGGTCTCAAGGGAGTCGTGTACTTTCGCGAAGTGAAGGGTGGTACGGAGGTCCGTGTTGAAGTGATAGGCTTGCCCCGCTATAAACCGGCGGCAAATGATGCACAGCCAGTCGGCCCGCACGGCTTCCACATCCACGTAAATGGTAGTTGCAAAACCGGCGACCCGAGTAATCCTTTCGAAAGCGCCGGCGATCACTGGAACCCTACCAACCAACCTCATGGGAACCATGCCGGTGACTTTCCAGTTCTGTTCTCTAATAACGGATATGCAAGAATGAGCTTTTTCACAAATAAATTCAAGGTTCAGGACGTGGTGGACCGTGCCGTGATGATTCATGAATCTCCCGATGATTATAGATCTCAGCCGTCGGGCAAAGCCGGTAAACGGCTGGCATGTGGGGTAATAGCGGCCGCACTCGAGCACCACCACCACCACCACTGA</t>
  </si>
  <si>
    <t>MARKNIALVGAGMIGGALAHLAGMKELGDIIMFDVSEGVPQGKVLDLAQASPVEGYDGKLIGSNDYSGIKGADVIIVTAGVPRKPGMSRDDLLGINAGIIKSVGAGIKKACPKAFVIVITNPLDAMVGVMRQVTGLPENRVVGMAGVLDSARFRLFLSQEFGVSVADVNAMVLGGHGDTMVPMVRYSTVAGIPLPDLIKKGWTTQTRIDQIIQRTRDGGAEIVGLLKTGSAFYAPASSAIQMAESYLKDKKKVIACAALLKGEYGKNGLYIGVPAIIGAGGVEKVIEISLNADEKKEFDHSIASVDALVKQVYPTNPDLKKYSRAAAALEHHHHHH*</t>
  </si>
  <si>
    <t>ATGGCAAGAAAAAATATTGCCCTGGTAGGGGCCGGTATGATTGGCGGTGCGTTGGCTCACCTCGCAGGCATGAAAGAGCTCGGAGATATCATAATGTTTGACGTTTCGGAAGGCGTTCCACAGGGCAAAGTCCTGGATCTGGCACAGGCATCACCGGTTGAGGGCTATGACGGTAAGTTAATCGGGTCTAACGACTATTCCGGAATCAAAGGTGCTGACGTGATCATCGTTACTGCCGGCGTGCCGCGTAAACCGGGAATGAGTCGGGATGACCTTTTAGGGATTAACGCCGGTATTATAAAGAGTGTTGGAGCAGGAATTAAAAAGGCGTGCCCGAAGGCCTTCGTAATTGTTATTACGAATCCTTTGGATGCTATGGTTGGTGTAATGCGTCAGGTTACCGGTCTGCCGGAAAATCGGGTCGTCGGCATGGCAGGTGTGCTGGATTCTGCACGCTTTAGACTGTTTTTGTCTCAAGAGTTTGGCGTTAGCGTGGCCGACGTAAACGCTATGGTCCTGGGGGGACATGGTGATACTATGGTCCCGATGGTCCGGTACTCGACTGTAGCGGGGATTCCATTACCTGATTTGATAAAGAAAGGTTGGACCACGCAAACTCGTATTGATCAGATTATTCAACGTACACGTGACGGTGGTGCAGAAATAGTGGGCCTGTTAAAGACCGGTAGTGCCTTTTACGCGCCTGCTTCTTCCGCCATCCAGATGGCAGAGAGCTATCTGAAGGATAAAAAAAAAGTTATTGCTTGTGCCGCGTTGCTTAAAGGAGAATATGGCAAAAATGGACTGTACATTGGCGTCCCTGCCATTATTGGTGCTGGGGGCGTCGAAAAAGTAATCGAAATATCACTGAATGCGGATGAGAAAAAAGAATTTGACCATTCAATTGCTAGTGTTGATGCGCTGGTGAAACAGGTTTATCCTACAAACCCAGATCTGAAGAAGTATAGTCGCGCGGCGGCCGCACTCGAGCACCACCACCACCACCACTGA</t>
  </si>
  <si>
    <t>MQNLSYNWFRTNKVAVWGASGGIGQPLSLLLKQDPLITELNLYDVVNTPGVAADLSHVETPAKVKGFWGPGQLEAALKGCDVVVIPAGVPRKPGMTRDDLFNTNASIVRDLAYAWAEVAPKALVGIISNPVNSTVPIASEVLKKAGVYDPKRIFGVSTLDVVRANTFIGEAAGLDPYSVNVPVIGGHAGITIIPLVSQCKPKIFFEEDYLKALTARIQEAGDEVVKAKAGAGSATLSMMAGGARFAFNLLKALKGEPNVVECCYVESVVTAAKFFSTPLFLGPNGIEKNLGLGKLTDFEKELLEKAPYDLCDNIKKGEDFVAAALEHHHHHH*</t>
  </si>
  <si>
    <t>ATGCAAAACCTTTCCTATAACTGGTTTCGTACTAACAAAGTAGCCGTCTGGGGTGCATCTGGAGGCATAGGTCAGCCCTTATCTCTGCTGTTAAAACAAGACCCGCTTATTACAGAATTAAACCTTTACGACGTTGTCAATACACCCGGTGTAGCTGCCGATTTGTCTCACGTTGAAACGCCTGCCAAAGTCAAAGGTTTCTGGGGACCTGGCCAGCTGGAAGCAGCGCTGAAGGGTTGTGACGTGGTTGTTATCCCAGCAGGCGTGCCGCGCAAGCCGGGAATGACCCGGGATGATCTCTTTAACACTAATGCCTCGATTGTGCGCGATTTAGCCTATGCTTGGGCGGAAGTTGCCCCCAAGGCGTTGGTGGGAATCATATCGAATCCAGTTAACTCAACTGTTCCGATCGCTAGTGAAGTCCTGAAAAAAGCGGGGGTATATGACCCTAAGCGAATTTTTGGCGTGAGCACCCTTGATGTGGTCCGGGCCAACACGTTTATTGGGGAGGCCGCCGGCCTGGATCCCTATTCGGTGAATGTACCGGTTATCGGGGGCCATGCGGGGATTACGATAATCCCGTTAGTTTCGCAATGTAAACCGAAGATCTTTTTCGAGGAGGATTATCTCAAGGCTTTGACGGCGCGTATTCAGGAAGCCGGCGATGAAGTGGTGAAAGCTAAAGCAGGAGCAGGCTCGGCCACGTTGTCCATGATGGCAGGTGGTGCACGCTTTGCCTTTAATCTGCTGAAGGCCCTGAAAGGTGAACCGAATGTAGTCGAATGTTGCTATGTGGAGAGTGTTGTCACCGCAGCAAAATTTTTCTCAACACCATTATTTTTAGGGCCGAACGGTATTGAAAAGAATCTGGGCCTGGGCAAATTGACCGATTTCGAAAAGGAATTATTGGAAAAAGCTCCTTATGATTTATGCGACAATATCAAAAAAGGGGAGGATTTTGTAGCGGCCGCACTCGAGCACCACCACCACCACCACTGA</t>
  </si>
  <si>
    <t>MSASPLKVAVTGAAGQIGYSLLFRLASGSLLGPDRPIELRLLEIEPALKALEGVVMELDDCAFPLLSKVEIGADPNKIFDGVNLALLVGARPRGPGMERSDLLEANGAIFTAQGKALNSVAASDIRVGVTGNPANTNALIAMTNAPDIPKERFSALTRLDHNRAISQLSKKLDVPVTEIKKMTIWGNHSATQYPDIFHAEIGGRNAAEAVGDQQWIANDFIPTVAKRGAAIIDARGSSSAASAASATIDAARDWLLGTAKGDWVSMAVHSDGSYDVPEGLISSFPVTTKNGDYSIVQGLEIDEFSRGRIDKSTAELIDERAAVTELGLIAAALEHHHHHH*</t>
  </si>
  <si>
    <t>ATGTCGGCCTCACCCCTTAAAGTTGCCGTAACCGGTGCGGCTGGTCAGATAGGCTATAGCTTGCTGTTCCGTCTGGCAAGTGGTTCACTTCTGGGACCGGATCGTCCCATAGAACTTCGTCTGCTGGAAATAGAGCCGGCCCTGAAAGCACTCGAAGGCGTAGTGATGGAACTCGATGATTGCGCCTTTCCGCTGTTGTCCAAAGTAGAGATAGGCGCCGATCCTAATAAAATCTTTGATGGTGTAAATCTGGCTCTGTTAGTTGGCGCACGGCCAAGAGGGCCCGGAATGGAACGTAGTGATTTATTAGAGGCCAATGGGGCAATATTTACGGCCCAGGGGAAAGCGCTGAATTCTGTCGCGGCGAGTGACATCCGTGTAGGGGTAACGGGCAACCCGGCAAACACCAACGCACTGATAGCAATGACTAATGCACCTGACATCCCCAAAGAGCGTTTCAGTGCGCTCACGCGCCTTGATCATAACCGCGCTATTTCTCAGCTTTCGAAAAAATTGGATGTTCCAGTGACCGAAATTAAGAAAATGACGATTTGGGGGAACCACTCAGCTACTCAGTACCCAGACATTTTTCATGCGGAAATCGGTGGCCGGAATGCGGCAGAGGCCGTGGGCGACCAACAGTGGATTGCCAACGACTTCATACCGACCGTGGCAAAACGCGGTGCGGCTATTATCGATGCACGCGGCTCAAGCTCCGCAGCGAGTGCCGCTTCCGCCACTATCGATGCGGCCCGTGACTGGTTATTGGGTACCGCCAAAGGAGACTGGGTGTCAATGGCCGTGCATTCGGATGGGTCATATGACGTACCAGAAGGTCTGATAAGTTCTTTCCCAGTTACTACGAAGAATGGGGATTATAGTATTGTCCAGGGATTGGAGATTGACGAATTTAGCCGCGGTCGCATCGATAAATCAACCGCCGAACTGATTGATGAGCGTGCGGCGGTAACGGAACTGGGCTTAATCGCGGCCGCACTCGAGCACCACCACCACCACCACTGA</t>
  </si>
  <si>
    <t>MKAPVRVAVTGAAGQIGYSLLFRIANGDMFGKDQPVWLQLLEIPAAMKALEGVVMELQDCAFPLLAGVEATDDPRAAFDGVNIAMLVGARPRSKGMERKDLLEANAAIFTVQGRALNDVAARDVRVLVVGNPANTNAYIAMKNAPDVPPSQFTAMMRLDHNRALSQLAQKAGSSVADIRKVAIWGNHSATQYPDLFHAEIGGRSAYEVINDEAYVQDWFIPTVQQRGSAVIEARGLSSAASAANAAVDHVRDWVLGTRQGDWVSMGVPSDGSYGVPKGIIYGMPVTCKNGRWSIVQGLELSDFDQKRIEASYAELLEEKDAIEHLIAAALEHHHHHH*</t>
  </si>
  <si>
    <t>ATGAAAGCGCCCGTCCGGGTAGCAGTGACGGGCGCTGCAGGACAGATTGGATATTCCCTTTTATTTCGTATAGCCAACGGAGACATGTTCGGCAAGGATCAGCCTGTGTGGCTGCAGCTGCTGGAGATACCTGCAGCAATGAAAGCCCTGGAGGGTGTTGTTATGGAACTGCAGGATTGCGCATTCCCCTTGTTGGCCGGTGTTGAAGCAACTGACGATCCTCGTGCTGCGTTTGATGGTGTTAATATTGCCATGCTCGTGGGTGCCCGTCCGCGTAGCAAAGGTATGGAGCGCAAAGACCTGCTCGAGGCCAACGCGGCCATCTTTACTGTACAAGGCAGAGCACTGAATGATGTTGCGGCCAGAGACGTCCGTGTTCTTGTGGTAGGGAACCCAGCCAATACGAATGCTTATATCGCCATGAAAAACGCGCCTGATGTACCACCGAGTCAGTTTACAGCCATGATGCGCTTAGATCATAACCGTGCACTTTCACAGCTTGCACAGAAGGCGGGTTCTTCGGTTGCTGACATACGAAAAGTAGCTATATGGGGTAATCACAGTGCAACTCAGTATCCTGATCTGTTTCACGCTGAAATAGGTGGGCGTTCCGCATATGAAGTAATTAACGATGAGGCGTATGTGCAAGATTGGTTCATTCCGACAGTACAACAACGCGGCTCTGCAGTAATTGAGGCACGTGGGTTGTCGTCAGCGGCGTCCGCTGCCAATGCTGCCGTAGACCACGTCAGAGACTGGGTCCTGGGCACGCGTCAGGGTGACTGGGTTTCGATGGGTGTGCCCTCAGATGGTAGTTACGGCGTGCCGAAGGGCATCATATACGGCATGCCTGTTACCTGCAAGAATGGTCGTTGGAGTATTGTTCAGGGTCTGGAGCTGTCAGACTTTGATCAGAAACGTATTGAGGCGTCCTACGCCGAGTTACTTGAAGAGAAAGATGCGATCGAGCATCTGATTGCGGCCGCACTCGAGCACCACCACCACCACCACTGA</t>
  </si>
  <si>
    <t>MSKVTVVGAGNVGATCANVLAFNEVADQIVMLDVKEGISEGKALDMMQTATLLGFDSRVVGCTSDYAKTAGSDVVVITSGIPRKPGMTREELIGVNAGIVKSVSENILKYSPDAILVVVSNPMDTMTYLTLKASGLPKNRIIGMGGALDSSRFKYYLSQALNANANEVDGVVIGGHGDTTMIPLTRFASYKGRPVADILDKETLAKVVADTMVGGATLTGLLGTSAWYAPGAAAAYLVESILHDQKKVFPCCVALEGEYGQKDICIGVPVVLGKNGWEEIIDFKLNAEEQALFEKSAEAVRATNNVLKEIGVLAAALEHHHHHH*</t>
  </si>
  <si>
    <t>ATGTCCAAAGTAACAGTTGTCGGCGCGGGTAATGTCGGAGCCACTTGCGCAAATGTGCTGGCGTTTAACGAGGTTGCCGATCAGATCGTCATGTTAGATGTTAAGGAAGGCATTAGTGAAGGCAAAGCGTTGGACATGATGCAAACCGCGACGTTGCTGGGCTTTGACAGCCGAGTCGTAGGGTGCACATCGGATTATGCGAAAACGGCAGGATCAGACGTAGTGGTCATCACATCGGGGATCCCACGTAAACCTGGCATGACTCGTGAGGAACTGATCGGTGTAAACGCGGGCATTGTGAAGTCTGTTAGTGAGAACATTTTGAAGTACTCCCCCGATGCCATATTGGTGGTTGTTAGCAATCCGATGGACACTATGACATACCTGACGCTGAAGGCGAGCGGCCTGCCGAAGAACCGGATCATTGGTATGGGCGGGGCCCTTGATTCGTCACGTTTTAAATACTATCTGTCGCAGGCACTTAATGCAAATGCCAATGAAGTTGACGGTGTGGTAATTGGTGGACACGGGGACACCACTATGATCCCTCTGACGCGTTTTGCAAGTTATAAAGGTCGCCCGGTAGCAGACATCCTGGACAAAGAGACACTGGCGAAAGTAGTGGCTGACACGATGGTAGGTGGCGCAACTTTAACTGGGTTGCTCGGTACATCAGCATGGTATGCCCCTGGTGCTGCGGCGGCGTACTTAGTAGAATCCATTTTGCACGATCAAAAAAAAGTCTTTCCGTGTTGCGTCGCACTTGAGGGTGAATATGGACAGAAAGACATCTGTATCGGCGTTCCCGTGGTACTGGGTAAAAACGGCTGGGAAGAGATTATTGATTTTAAATTAAACGCCGAAGAACAGGCTCTGTTCGAGAAAAGCGCAGAAGCCGTGCGTGCGACAAATAATGTCCTGAAAGAGATCGGCGTGTTAGCGGCCGCACTCGAGCACCACCACCACCACCACTGA</t>
  </si>
  <si>
    <t>MSKISLIGAGQIGGTLAHLIGLKELVNEVVLFDVASGVAKGKALDIAQSSSVDGFNVKFSGTDNYEDIKDSDVIIITAGVPRKPGMSRDDLLGINLKIIKQVAEGIKQNSPDAFVICITNPLDVMVMAFQKFSGLPENKVVGMAGILDSSRFKLFLSLEFNIPVKEIEAMVMGGHGDTMVPLPRFTKVSGKPLLDLVKEGKISAEKLEEINQRTRDGGAEIVKYLEKGSAYYAPAASGVEMASAYLKDEKKLLPCAAYLNGEYGVSNVYAGVPVIIGKNGVEKIEEIDLDKKEKKEFINSIDAVKKLWDAASKIDTDLKKAAALEHHHHHH*</t>
  </si>
  <si>
    <t>ATGTCGAAAATCTCCCTGATCGGCGCGGGCCAGATCGGCGGCACATTGGCACACTTGATCGGCTTAAAAGAACTGGTGAATGAAGTTGTTCTTTTCGACGTGGCCAGCGGCGTTGCAAAAGGCAAGGCTCTGGATATCGCTCAGTCGTCATCAGTGGATGGATTTAATGTCAAATTTAGTGGAACAGATAATTATGAGGATATTAAGGACTCAGATGTGATCATTATTACTGCCGGGGTACCGCGCAAACCCGGTATGTCGCGGGATGACCTTTTAGGCATAAATCTGAAAATCATTAAACAGGTCGCGGAAGGGATTAAACAAAATTCCCCGGATGCATTTGTAATATGTATTACAAACCCTTTAGACGTAATGGTTATGGCATTCCAGAAATTTTCTGGGCTGCCTGAGAACAAAGTTGTTGGTATGGCGGGCATTCTGGACTCATCACGATTTAAACTCTTTCTTAGCCTGGAATTCAATATTCCCGTCAAAGAGATTGAGGCGATGGTTATGGGCGGACACGGTGATACAATGGTCCCTCTGCCTCGCTTTACCAAGGTTAGCGGGAAGCCTTTATTAGATTTAGTTAAGGAAGGGAAAATTTCTGCTGAAAAGTTGGAAGAAATTAACCAGCGGACACGTGACGGGGGTGCGGAGATTGTGAAATATCTGGAGAAAGGTAGTGCCTATTATGCACCTGCCGCAAGCGGAGTGGAAATGGCCTCTGCATATTTAAAAGATGAAAAAAAGTTGCTCCCTTGTGCCGCGTATCTCAATGGGGAATACGGCGTATCCAATGTATATGCGGGTGTGCCTGTTATCATTGGTAAAAATGGCGTTGAAAAGATCGAAGAAATTGATCTGGATAAGAAAGAAAAAAAGGAGTTCATTAATAGCATAGATGCGGTTAAAAAATTGTGGGATGCAGCCTCTAAGATTGACACCGATCTGAAGAAGGCGGCCGCACTCGAGCACCACCACCACCACCACTGA</t>
  </si>
  <si>
    <t>MRSKVTVVGAGNVGATTAQRICQKELADVVLVDVVEDVPQGKALDLSQSGPVQGYDAKVTGTNSYEDTAGSDVIIVTAGVARRPGMSRDDLLLKNCKITASVTEQVVRYSPDSVIIMVTNPLDAMVQAAWEVSGFPTNRVVGMAGVLDSARFRTFIAQELDVSVEDVTAFVLGGHGDDMVPLVRYTTVAGIPITQLMDQEWIDALVQRTRDGGAEIVKYLKDGSAYYAPSASIVEMAESILLDKKRILPCAAYLEGEYGIDGIYVGVPVKLGKEGLEQIIEIDLTEEEQEALKRSAEAVQALVEVLNRAKAEYAAALEHHHHHH*</t>
  </si>
  <si>
    <t>ATGCGCAGTAAGGTCACTGTTGTAGGCGCCGGCAATGTAGGCGCTACTACTGCCCAGCGTATTTGTCAAAAAGAGTTAGCGGATGTTGTTCTGGTCGACGTGGTTGAAGACGTTCCGCAGGGAAAAGCTTTGGACTTGTCACAAAGTGGTCCCGTTCAGGGCTACGATGCAAAAGTAACGGGGACAAATAGTTATGAAGACACCGCGGGGAGCGATGTTATTATCGTTACCGCCGGTGTGGCACGCCGTCCCGGTATGAGTCGGGATGATCTGTTGCTGAAAAACTGTAAAATAACGGCCAGTGTGACGGAGCAGGTAGTTCGTTACTCACCTGATAGCGTTATCATAATGGTTACAAATCCACTTGACGCAATGGTACAAGCTGCCTGGGAAGTTTCGGGTTTTCCCACGAATCGCGTAGTAGGCATGGCAGGAGTACTCGACAGCGCCCGTTTTCGGACGTTTATTGCCCAAGAACTGGACGTATCTGTCGAGGATGTAACAGCCTTTGTTTTAGGCGGTCATGGTGACGATATGGTGCCATTAGTTCGTTATACCACCGTCGCCGGCATTCCTATAACCCAGCTGATGGATCAGGAGTGGATCGACGCGTTAGTCCAAAGAACACGTGACGGTGGTGCGGAAATTGTTAAATACCTTAAGGATGGCAGCGCCTATTATGCGCCCTCTGCATCGATCGTAGAAATGGCGGAAAGTATCCTCCTCGATAAAAAACGGATACTCCCTTGTGCTGCGTATCTGGAGGGGGAGTATGGAATTGATGGCATCTATGTGGGTGTGCCGGTAAAGCTCGGTAAAGAAGGACTGGAGCAGATTATTGAAATTGATCTGACGGAGGAAGAGCAAGAAGCGCTCAAGCGCAGTGCAGAGGCAGTACAGGCCTTAGTAGAAGTCCTTAATCGTGCTAAAGCCGAATACGCGGCCGCACTCGAGCACCACCACCACCACCACTGA</t>
  </si>
  <si>
    <t>MTQSPVKIAITGAAGQIGYALLFSIASGDIFGPDTEVELQLLQIEPALPALEGVVMELEDCAFPQLKSITVSDDVNAGMADIEWALLVGAIPRKEGMERSDLLKINGGIFAAQGQAINDHAARDVRILVVGNPCNTNCLIAMSNAPDVPNERFYAMTMLDHLRARSQLAQKAEVDVTDVTKMVIWGNHSATQFPDFCHAKIAGKSAPEVIKDQDWVQNDFITTVQKRGAEVIKARGASSAGSAAHAIVSSIHNLVNDTPAGECFSLAVCAKGEFGVDEGLMFSYPTRVQHGQLEVVEGMAHDGFAKEKLHITLDELRKERAAVLELAAALEHHHHHH*</t>
  </si>
  <si>
    <t>ATGACCCAATCTCCGGTTAAAATTGCTATTACCGGCGCGGCAGGGCAAATCGGGTACGCACTTCTTTTTAGCATCGCTAGTGGTGATATTTTTGGACCAGATACGGAAGTAGAACTGCAGCTGTTGCAAATCGAGCCCGCGCTCCCTGCCTTAGAAGGGGTTGTTATGGAATTAGAGGACTGTGCTTTCCCGCAGCTCAAATCTATTACGGTGAGTGATGATGTCAATGCCGGTATGGCAGATATCGAATGGGCGCTTTTAGTTGGCGCGATTCCACGGAAGGAAGGTATGGAACGCTCAGATCTTTTAAAAATCAATGGTGGTATCTTCGCAGCCCAGGGACAGGCCATTAACGATCATGCAGCACGTGATGTCCGCATCCTGGTAGTTGGTAACCCCTGTAACACGAACTGCCTGATTGCAATGAGTAACGCCCCAGATGTCCCCAACGAGAGATTTTATGCCATGACCATGCTGGATCACCTGCGGGCCCGTAGTCAATTAGCACAAAAAGCCGAGGTTGATGTTACAGATGTCACGAAAATGGTGATATGGGGTAACCACAGCGCAACGCAGTTCCCGGATTTCTGTCATGCTAAAATCGCAGGCAAAAGTGCACCCGAAGTTATAAAAGATCAAGATTGGGTCCAAAATGATTTTATTACCACTGTGCAAAAACGGGGAGCAGAGGTGATTAAAGCTCGAGGGGCGTCTTCCGCGGGAAGTGCAGCGCACGCGATTGTTTCCAGTATTCATAATTTAGTTAATGATACGCCGGCGGGCGAATGTTTCAGTCTGGCGGTATGCGCTAAAGGAGAGTTTGGCGTAGATGAGGGCCTTATGTTCAGTTACCCGACGAGAGTTCAGCACGGTCAACTTGAAGTTGTTGAAGGGATGGCTCATGATGGATTCGCCAAAGAAAAATTGCACATCACTCTCGATGAGCTTCGCAAGGAACGTGCAGCAGTCCTGGAGCTCGCGGCCGCACTCGAGCACCACCACCACCACCACTGA</t>
  </si>
  <si>
    <t>MRIKMGPLYPELNGVAYFISEPGGTRVSVEVTGLPPYDPDTDEQYPIGPHGLHVHKFGTCKVGDPNDPFEAAGGHYAPDAEHGPHHAGDIPVLFSNNGQARMTVFTADYAVDDVVGRAVVIHDVPDDYESQPAGDAGHRLACGVIAAALEHHHHHH*</t>
  </si>
  <si>
    <t>ATGCGAATTAAAATGGGGCCGTTATATCCGGAATTGAATGGAGTTGCATATTTTATTAGCGAACCAGGCGGTACAAGAGTAAGCGTCGAAGTTACCGGTTTGCCGCCTTATGATCCTGATACCGATGAGCAGTACCCTATTGGCCCCCATGGTCTTCACGTGCACAAATTCGGTACCTGTAAAGTAGGAGACCCGAATGACCCTTTCGAGGCGGCTGGGGGACACTACGCACCAGATGCTGAGCATGGCCCGCATCATGCCGGTGATATCCCCGTTCTTTTCAGTAATAATGGCCAGGCTCGTATGACTGTTTTCACTGCTGATTATGCCGTGGATGACGTTGTTGGCCGCGCAGTAGTGATTCACGACGTGCCGGATGATTATGAGAGTCAACCTGCGGGCGATGCGGGCCATCGCTTAGCATGTGGCGTCATTGCGGCCGCACTCGAGCACCACCACCACCACCACTGA</t>
  </si>
  <si>
    <t>MGGTLAHLLGEKELGDVVLVDIAEGVPQGKGLDIAEASPVYPVDRKVQGSNDYSAIFDSNVVIVTAGIPRKPGMSRDDDIGVNAGIIKWVGEGILKYAPEAFVIVVTNPLDAMVAVMQAVTGMPNKKIFGMAGVLDSARYRYFLVEEFGVSVYDVTVYVLGGHGDTMVPLVRYSTNAGIPLPDLVEMGWWTQDELDEIVQRTAKGGGEIVSLCGNGSAFYAPASSAIAMAESYLQDKRRVLPCAAQLNGGHGWDGMYIGVPVVIGRDGVEKNVEIKLSQEENEMFRHSVGAVEDLLFAAKEVVAQLGAAALEHHHHHH*</t>
  </si>
  <si>
    <t>ATGGGTGGAACTCTTGCGCATCTGCTGGGTGAGAAAGAACTGGGTGATGTCGTCCTGGTTGATATAGCCGAGGGTGTGCCACAGGGTAAAGGTCTGGACATAGCGGAAGCGTCCCCGGTATATCCAGTTGATCGCAAAGTACAAGGGTCAAATGATTATAGTGCGATTTTCGATAGCAACGTTGTTATCGTGACGGCAGGGATACCGCGAAAACCTGGTATGTCGCGGGATGATGACATTGGAGTTAATGCGGGAATTATTAAATGGGTGGGTGAAGGGATTCTGAAGTACGCGCCGGAGGCCTTTGTGATCGTTGTCACCAACCCGTTGGACGCCATGGTTGCTGTTATGCAAGCCGTGACTGGAATGCCTAACAAGAAAATCTTTGGTATGGCTGGCGTTCTGGACAGTGCTCGCTATCGCTATTTCCTGGTCGAAGAGTTTGGTGTTAGCGTCTACGACGTCACGGTATATGTCTTAGGCGGACATGGTGACACGATGGTACCGTTGGTTCGCTATAGCACTAATGCGGGAATTCCTTTACCCGATTTAGTTGAAATGGGATGGTGGACGCAAGATGAACTTGATGAGATTGTACAGCGAACAGCCAAAGGCGGTGGTGAAATTGTCAGTTTATGCGGTAATGGATCCGCTTTTTACGCCCCCGCCTCGTCCGCAATCGCTATGGCTGAATCGTACCTTCAGGATAAAAGACGGGTGTTGCCATGCGCGGCACAACTGAACGGTGGTCACGGCTGGGATGGTATGTACATCGGGGTGCCGGTTGTCATCGGCCGTGATGGTGTGGAGAAGAATGTCGAGATTAAACTGAGCCAGGAAGAGAACGAGATGTTCAGACACTCGGTAGGGGCCGTCGAGGACTTATTGTTCGCTGCCAAAGAAGTTGTGGCCCAGTTAGGCGCGGCCGCACTCGAGCACCACCACCACCACCACTGA</t>
  </si>
  <si>
    <t>MEYLTNEKLTIVGAAGMIGSNMAQTAMMMRLTPNICLYDPYAPALEGVAEELHHCGFEGVNCTFTSDIKEALTGAKYVVSSGGAARKAGMTREDLLKGNAAIAAQFGKDVRRYCPDVKHVVVIFNPADITGLITLLYSGLKPSQVSTLAALDSTRLQSELAKHFKIPASDVENCRTYGGHGEQMAVFASTAKVVGKKLTDIIGTPELEHTQWEAIKQKVIQGGKHIIDLRGRSSFQSWAYVSIEMIAAAMGGEPFRWPAGRYVSNGKFDHIMMAMETEITKDGVHYKEVKGTPAEYAELEESYEHLCKLRDEVIGMGILPAINKWKGLNPNIKAAALEHHHHHH*</t>
  </si>
  <si>
    <t>ATGGAGTACCTGACGAACGAGAAACTGACAATAGTAGGGGCGGCGGGTATGATCGGAAGTAACATGGCGCAGACAGCCATGATGATGCGCCTCACACCTAATATCTGTTTATATGATCCGTACGCTCCAGCGTTAGAAGGGGTAGCCGAAGAATTACACCATTGTGGCTTTGAAGGGGTCAACTGTACTTTCACTAGTGACATTAAAGAAGCTCTGACCGGGGCGAAATATGTGGTTAGTTCAGGCGGGGCTGCCAGAAAAGCAGGCATGACTCGTGAAGATTTATTAAAGGGTAATGCGGCCATCGCGGCACAGTTCGGTAAGGATGTTCGCAGATATTGTCCTGACGTCAAGCACGTGGTCGTGATATTTAACCCGGCAGACATTACTGGATTGATCACATTATTATATTCCGGGCTGAAACCAAGCCAAGTGTCTACTTTGGCGGCACTGGATTCAACGAGACTTCAGTCGGAACTGGCAAAGCATTTTAAAATTCCTGCGTCAGACGTGGAGAATTGCAGAACCTACGGGGGCCACGGAGAACAAATGGCCGTTTTTGCTAGTACAGCGAAAGTAGTGGGTAAAAAACTTACTGATATTATAGGTACACCGGAACTGGAACATACCCAGTGGGAGGCAATTAAACAGAAAGTTATTCAAGGTGGCAAGCATATAATTGATTTACGTGGACGCAGCAGCTTTCAGTCCTGGGCTTATGTATCGATTGAAATGATTGCAGCTGCTATGGGCGGCGAACCTTTTCGTTGGCCCGCCGGTCGCTATGTATCAAATGGAAAGTTTGACCATATAATGATGGCTATGGAGACAGAAATAACAAAAGATGGTGTACATTATAAGGAAGTGAAAGGCACTCCAGCGGAATACGCGGAATTAGAGGAAAGCTATGAGCATTTATGCAAGCTGCGAGATGAAGTTATCGGTATGGGGATTCTGCCGGCCATTAACAAATGGAAAGGATTAAACCCGAACATTAAGGCGGCCGCACTCGAGCACCACCACCACCACCACTGA</t>
  </si>
  <si>
    <t>MKVSVIGAGNVGATCADVIAHGEFVNEVVLLDIKEGLAEGKALDIWYTAPISLYSTRTVGVTNDYARTANSDVVVITSGLPRKPGMSRDDLISINANIVKSVTENVIQHSPNAVIIVVSNPLDVMTYCAYLAAKYPAKKVFGMAGILDTARYRAFLAEELGCSPKDIQAVLMGGHGDTMVPLPRYTTVAGIPVTELIAADKLDAIVDRTKKGGGEIVNLMGTSAWYAPGAAAAQMAEAILRDEKRIFPCCAKLQGEYGLKDIYLGVPVKLGRNGIEQIIELQLNNDEMDLLNSSAKAVKEVMNVFDRMGAAAAALEHHHHHH*</t>
  </si>
  <si>
    <t>ATGAAAGTGAGCGTTATTGGCGCCGGCAATGTAGGCGCGACCTGCGCTGATGTAATCGCTCACGGCGAATTCGTGAATGAAGTTGTTTTACTGGACATAAAGGAAGGACTTGCCGAAGGTAAGGCTCTGGACATTTGGTATACCGCTCCAATCAGTCTTTATAGTACACGGACTGTAGGTGTCACCAATGACTATGCCCGGACGGCAAACAGCGACGTAGTGGTTATTACCAGTGGATTGCCCCGCAAACCAGGTATGTCGCGGGATGACTTGATTAGTATAAATGCTAACATTGTCAAGTCCGTTACCGAGAACGTCATACAGCATTCACCTAATGCTGTAATTATTGTCGTCTCGAACCCTCTGGACGTGATGACGTATTGCGCTTATCTTGCAGCTAAGTATCCCGCCAAGAAGGTCTTCGGAATGGCGGGCATATTAGACACGGCACGTTACCGTGCTTTTCTTGCGGAGGAGCTTGGCTGCTCTCCCAAGGATATTCAAGCGGTGTTGATGGGAGGCCACGGGGACACGATGGTACCATTACCGAGATATACTACGGTAGCGGGAATTCCCGTCACCGAATTGATCGCGGCTGATAAGTTAGATGCCATTGTTGATAGAACGAAAAAAGGAGGAGGGGAAATTGTCAATCTTATGGGTACCTCTGCTTGGTATGCCCCAGGCGCTGCCGCTGCACAAATGGCAGAAGCTATCCTGCGCGATGAAAAACGGATATTTCCCTGTTGCGCCAAGCTGCAAGGTGAGTATGGCTTAAAAGACATATACCTGGGTGTTCCTGTTAAGTTGGGGAGAAACGGCATAGAACAGATAATTGAACTGCAATTAAATAACGACGAGATGGATCTGTTGAACTCATCAGCCAAGGCGGTAAAAGAGGTGATGAACGTGTTTGACCGTATGGGAGCAGCTGCGGCCGCACTCGAGCACCACCACCACCACCACTGA</t>
  </si>
  <si>
    <t>MPTAPVKVAVTGAAGQIGYSLLFRIASGALLGPDRPVRLRMLEITPALKAASGVAMELEDCAFPLLAGVDLTDDPRRAFDGADIALLVGSRPRTKGMERSDLLEANGAIFKPQGKAINAGAADDVRVLVVGNPANTNALIASSNAPDIPDDRFTALTRLDHNRALSQVAKKTGVPVSAVRRLAIWGNHSATQYPDLFHARINGQPAQDAIADQAWVEDDFISTVQKRGAAIIEARGASSAASAANAAIDHCHDWMLGTPQNDWVSAAVVSDGSYGVPEGLMSSFPVTVSGGEWSIVQGLEVDEFSRARIDASAAELVEEREAVAELAAALEHHHHHH*</t>
  </si>
  <si>
    <t>ATGCCAACAGCTCCTGTTAAGGTTGCTGTTACGGGCGCTGCGGGCCAGATTGGTTACTCTCTTCTGTTTCGAATTGCAAGCGGAGCCCTGCTGGGTCCCGATCGTCCAGTAAGACTGAGAATGCTCGAAATTACCCCGGCTCTGAAGGCGGCATCCGGGGTTGCTATGGAGCTGGAGGACTGCGCATTCCCGCTGTTAGCCGGCGTTGACCTTACCGATGACCCACGGCGAGCATTTGATGGAGCCGACATCGCCCTGCTGGTGGGGAGTAGACCACGTACGAAAGGTATGGAGCGGTCCGACCTTCTCGAAGCTAATGGGGCGATCTTTAAACCCCAGGGCAAGGCTATTAACGCTGGTGCAGCTGACGACGTGCGTGTTCTGGTGGTGGGTAATCCTGCAAACACCAACGCATTGATTGCTAGTAGTAACGCTCCGGATATCCCAGATGACCGTTTTACAGCGTTAACAAGATTAGATCACAATCGTGCTCTGAGCCAGGTAGCAAAGAAGACAGGCGTACCGGTATCAGCAGTTAGACGGTTAGCTATATGGGGGAATCATAGTGCTACGCAGTATCCTGATTTGTTCCATGCGCGCATAAACGGTCAGCCCGCACAAGACGCCATTGCGGATCAAGCGTGGGTGGAGGATGATTTTATTTCCACTGTGCAAAAAAGAGGTGCGGCAATCATCGAAGCACGTGGAGCATCTAGTGCGGCCTCAGCTGCGAATGCAGCAATAGACCACTGTCATGATTGGATGCTCGGTACTCCGCAAAACGATTGGGTTTCCGCAGCGGTAGTGTCGGATGGTAGCTACGGTGTTCCCGAGGGTTTAATGAGTTCATTCCCCGTAACAGTATCGGGCGGAGAATGGTCAATTGTTCAAGGTCTGGAGGTGGATGAATTCTCCCGTGCTCGCATAGATGCAAGTGCTGCTGAGCTTGTGGAAGAACGTGAAGCGGTAGCCGAACTGGCGGCCGCACTCGAGCACCACCACCACCACCACTGA</t>
  </si>
  <si>
    <t>MQLNPANGAKAVGTVSVSESKYGLVFTPNLAGLSPGIHGFHIHENASCAPREKDGKVTEALGAGGHWDPKETKKHGYPWQQGAHIGDLPALNVNHDGTAKYPVLAPRLKKLSQIKGRSLMVHATGDNHSDHPEPLGGGKGRMACGVIAAALEHHHHHH*</t>
  </si>
  <si>
    <t>ATGCAACTTAACCCTGCTAATGGCGCCAAAGCAGTTGGCACCGTATCCGTCAGTGAAAGCAAATACGGACTGGTTTTCACACCTAATTTAGCAGGATTAAGCCCCGGCATTCATGGATTTCATATTCATGAAAACGCCAGCTGTGCGCCTAGAGAAAAGGATGGGAAGGTCACAGAGGCGCTGGGCGCAGGAGGCCACTGGGACCCAAAGGAAACCAAAAAACACGGGTACCCGTGGCAGCAGGGGGCGCATATTGGAGATCTGCCCGCCCTGAACGTGAATCACGATGGTACGGCTAAATACCCTGTTCTGGCGCCTCGGCTGAAGAAGCTCTCGCAGATTAAAGGTCGTTCATTAATGGTACACGCAACCGGTGATAACCATTCTGATCATCCGGAACCACTGGGGGGCGGAAAAGGTCGCATGGCGTGTGGCGTGATTGCGGCCGCACTCGAGCACCACCACCACCACCACTGA</t>
  </si>
  <si>
    <t>MVEMYNPNGDSLGYVKLSEQWEGVMLKLNAKGLPPGEHAIHIHEQGKCEPPDFKSAGNHFNPEDKEHGLLHPKGSHAGDLPNLIVERDGKVKAELMAPDVTIKEDTKNIVTKEGTSIVITEGPDDGMTQPAGDSGARIACGEIVQEKENGKNKAAALEHHHHHH*</t>
  </si>
  <si>
    <t>ATGGTAGAAATGTACAATCCCAATGGAGACTCCCTGGGCTATGTTAAATTGTCAGAACAGTGGGAAGGTGTGATGCTCAAACTGAATGCCAAAGGCCTGCCACCTGGAGAGCATGCGATTCATATTCATGAGCAGGGCAAGTGCGAGCCCCCGGATTTTAAGTCCGCAGGCAACCATTTTAATCCGGAAGATAAAGAACACGGTTTACTGCATCCTAAGGGAAGCCATGCTGGGGATCTGCCTAACTTGATCGTAGAACGCGATGGCAAGGTTAAGGCAGAGTTAATGGCCCCGGATGTTACAATCAAAGAAGATACCAAAAATATTGTGACCAAAGAAGGAACTTCTATTGTCATTACGGAAGGCCCGGATGATGGGATGACACAGCCAGCGGGCGATTCAGGGGCACGGATCGCTTGTGGTGAAATTGTACAGGAAAAGGAGAATGGTAAGAATAAGGCGGCCGCACTCGAGCACCACCACCACCACCACTGA</t>
  </si>
  <si>
    <t>MARKITVVGSGNVGATAAHWIAEKELGDVVLIDIVEGMPQGKALDLAQSLPVQGFDCKVVGTNDYKTTEDSDIVVITAGLARKPGMSRDDLLEKNQEIVKGVTEAVVKYSPQAIIIVVTNPLDAMVQVCYKSSGLPRERVIGMAGVLDSARFRTFLAMELGVSVEDVQAMVLGGHGDSMVPMPSYTNVAGIPITQLVPKERIEALVERTKRGGAEIVGLLKTGSAYYAPAAAVSQMVEAIVKDKNRVLPCAAFVEGEYGIDGLYAGVPVKLGRGGIEEVIELPLNAEERAAFEKSANAVKALVEAIKAAALEHHHHHH*</t>
  </si>
  <si>
    <t>ATGGCGCGCAAAATAACAGTAGTTGGCTCGGGAAATGTGGGCGCCACGGCAGCCCATTGGATTGCCGAGAAGGAACTCGGGGATGTTGTTCTGATAGACATTGTTGAGGGGATGCCGCAGGGTAAAGCGTTAGATCTTGCTCAGAGTCTTCCAGTGCAGGGCTTCGATTGCAAAGTTGTTGGAACTAACGATTATAAGACCACCGAAGATTCTGATATAGTTGTAATTACCGCAGGGTTGGCTCGCAAACCGGGGATGAGCCGGGATGATCTGTTAGAAAAGAATCAGGAGATAGTTAAAGGTGTCACGGAGGCAGTAGTGAAATATAGTCCTCAGGCCATTATTATTGTTGTTACGAACCCTCTGGACGCCATGGTCCAAGTCTGTTATAAATCCAGCGGCTTACCACGTGAGCGCGTCATCGGAATGGCTGGTGTGTTGGATAGCGCTAGATTTAGAACATTTCTCGCTATGGAGCTTGGTGTATCGGTTGAAGATGTACAAGCAATGGTGCTTGGCGGCCATGGAGATAGTATGGTTCCGATGCCCAGTTATACGAATGTGGCAGGTATTCCGATAACACAGCTGGTTCCCAAAGAGCGTATTGAAGCGCTCGTAGAAAGAACCAAACGTGGTGGTGCAGAGATAGTCGGGCTCCTGAAAACAGGCAGCGCTTATTACGCCCCGGCTGCCGCTGTTTCGCAGATGGTTGAAGCAATCGTGAAGGATAAAAATCGTGTGCTGCCTTGTGCAGCTTTCGTTGAGGGTGAATACGGCATTGACGGGCTTTATGCCGGTGTGCCAGTAAAATTAGGCCGTGGAGGCATTGAGGAAGTGATTGAGCTCCCTCTGAACGCTGAGGAACGGGCAGCGTTCGAAAAAAGTGCGAATGCAGTCAAAGCGCTCGTAGAGGCCATTAAAGCGGCCGCACTCGAGCACCACCACCACCACCACTGA</t>
  </si>
  <si>
    <t>MNQVTEDGVGEAVGTVSVTETEYGLLFTPDLSNLAPGVHGFHVHANPSCEPGEKDGKKGAGLAAGGHYDPQATGQHSGPNGDGHLGDLPALDVNEDGSSSSAVLAPRLKTIADIRGHSVMVHANGDNFSDHPEKLGGGGARLACGVIAAALEHHHHHH*</t>
  </si>
  <si>
    <t>ATGAACCAAGTTACAGAGGACGGGGTGGGTGAGGCCGTAGGCACAGTTTCAGTCACTGAGACAGAATACGGACTGTTATTTACGCCCGATTTGAGCAATCTTGCACCTGGCGTACACGGGTTCCACGTGCATGCAAATCCCAGTTGTGAGCCAGGCGAAAAGGATGGAAAGAAGGGTGCAGGCTTGGCTGCGGGAGGTCACTACGACCCTCAGGCAACAGGGCAGCATAGCGGTCCCAACGGTGACGGGCATTTAGGAGACCTGCCAGCTTTGGATGTTAACGAGGACGGGTCGAGTTCGTCAGCGGTGCTGGCACCGCGCTTGAAGACCATCGCCGATATTCGCGGTCACTCTGTCATGGTACATGCCAATGGGGACAACTTCAGCGATCATCCCGAGAAGCTTGGTGGAGGGGGAGCCCGCCTGGCCTGCGGTGTTATTGCGGCCGCACTCGAGCACCACCACCACCACCACTGA</t>
  </si>
  <si>
    <t>MSSNRVKVAITGAAGQIGYALLFRIASGQMFGADTPVELQLLEVEPAIPALKGVVMELDDCAFPLLNNMVPTNDINDGFKDVNWAILVGAVPRKVGMERQDLLEINAGIFTEQGRAINDNAAHDVRTLVIGNPCNTNSLIAQQNAPDVPKDRFFAMTRLDENRARTQIAAKAGVDVTAVSNMTIWGNHSSTQYPDFYNAKINGKPVTEVITDQVWLESEFIPVVQQRGAQIIEARGASSAASAANAIIMSIYNLTHGTPDADGFSVAHPSTGEYDIDEGLMFGYPCRFKDGELEVISGIEHNDFAQEKVTMTLEELKEERQGVKELAAALEHHHHHH*</t>
  </si>
  <si>
    <t>ATGTCTAGCAATCGTGTTAAGGTTGCGATTACGGGCGCCGCAGGTCAGATTGGCTATGCGCTTTTATTCAGAATTGCCTCAGGGCAAATGTTTGGTGCAGACACCCCGGTTGAACTGCAATTGCTGGAGGTAGAACCTGCGATTCCCGCTCTTAAGGGCGTCGTGATGGAGTTAGATGACTGCGCATTCCCTCTGTTGAACAACATGGTGCCTACAAACGACATTAATGACGGTTTTAAAGATGTGAATTGGGCTATATTGGTGGGGGCGGTGCCACGCAAAGTGGGTATGGAACGTCAAGATTTGCTGGAAATTAATGCTGGGATTTTTACTGAACAAGGTCGTGCAATTAATGATAATGCCGCTCATGATGTACGTACCCTCGTGATTGGGAATCCATGCAATACAAACTCGCTCATTGCTCAGCAGAATGCTCCTGACGTTCCAAAAGATCGTTTTTTCGCTATGACGCGCCTGGACGAGAATCGTGCCCGTACACAGATTGCTGCAAAAGCCGGTGTTGACGTCACCGCAGTCAGCAACATGACTATTTGGGGTAATCATTCAAGCACTCAATATCCCGATTTCTATAATGCTAAAATAAATGGCAAACCGGTTACAGAAGTGATTACTGACCAGGTTTGGCTGGAATCGGAATTTATCCCTGTGGTTCAGCAACGGGGCGCACAGATCATCGAAGCCAGAGGGGCATCGTCTGCAGCATCTGCCGCTAATGCAATTATTATGTCTATCTATAATCTTACACACGGAACCCCCGATGCCGATGGTTTTTCAGTTGCACACCCAAGTACCGGTGAGTACGATATAGATGAAGGGCTTATGTTCGGTTACCCTTGCCGATTCAAAGATGGTGAGTTAGAAGTTATCTCAGGGATTGAGCATAACGATTTTGCACAGGAAAAAGTTACTATGACACTGGAGGAATTAAAAGAAGAGCGGCAAGGTGTCAAAGAACTGGCGGCCGCACTCGAGCACCACCACCACCACCACTGA</t>
  </si>
  <si>
    <t>MARSKIALVGGGNIGGTLAHLAGLKELGDIVIFDIVKGLPAGKALDLVQAAPVRGFDAKIEGSNSYEAVKGADVVLVTAGVARKPGMSRDDLLTINAQTMVDVGKAIKKYAPNAFVLCITNPLDAMVWTLRNVTGLPSQKVCGMAGVLDSARFRYFLARELKVSVEDITAMVLGGHGDTMVPLTRYSTVAGIPLPHLVKMGMISQNKLDAIVQRTRNGGAEIVQLLKTGSAFYAPAVAAVQMAEAYLKDRKRVLPCAVKLSGEYGVSNIFVGVPVILGARGVEKVIELKLSKDEKKAFLNSVRAVTGLVKESDKVFESGAGAAAALEHHHHHH*</t>
  </si>
  <si>
    <t>ATGGCCCGCTCTAAAATAGCATTAGTGGGGGGTGGCAATATCGGCGGAACTCTCGCACACTTGGCTGGCCTTAAAGAGCTGGGAGATATCGTAATATTCGATATTGTGAAAGGCCTGCCTGCCGGTAAAGCGCTGGACCTCGTTCAGGCCGCGCCGGTCCGCGGTTTTGATGCAAAAATCGAAGGTTCAAACTCTTATGAGGCTGTTAAGGGTGCCGACGTAGTTCTGGTAACAGCGGGTGTGGCACGGAAACCTGGGATGTCTCGCGATGACCTGTTGACTATCAATGCACAGACAATGGTTGACGTTGGTAAAGCTATAAAAAAGTACGCTCCGAATGCGTTTGTCCTGTGTATCACCAATCCCTTAGACGCCATGGTTTGGACCCTGCGAAACGTCACAGGACTGCCGTCGCAAAAGGTTTGTGGAATGGCTGGGGTGCTGGATTCGGCCCGCTTCCGCTATTTTCTTGCTCGTGAGCTGAAGGTCTCCGTAGAAGATATCACAGCCATGGTGCTTGGTGGCCATGGTGATACCATGGTGCCGCTGACACGTTACAGCACAGTTGCCGGTATACCTCTGCCTCACCTGGTTAAAATGGGCATGATTAGCCAGAATAAACTGGACGCGATTGTACAGCGAACCAGAAATGGTGGCGCCGAAATCGTTCAGCTTCTTAAAACTGGCTCTGCCTTTTACGCCCCTGCAGTGGCAGCAGTACAGATGGCTGAAGCTTATTTGAAAGACCGAAAACGTGTCTTGCCGTGCGCAGTAAAGTTGTCGGGCGAATATGGGGTCTCTAACATTTTTGTTGGCGTTCCCGTGATTCTGGGTGCGCGCGGAGTTGAGAAAGTTATCGAACTGAAATTATCTAAGGATGAAAAAAAAGCGTTTCTGAACAGCGTTCGAGCTGTCACAGGCTTGGTAAAAGAGTCAGATAAAGTGTTCGAAAGCGGCGCCGGGGCGGCGGCCGCACTCGAGCACCACCACCACCACCACTGA</t>
  </si>
  <si>
    <t>MVKAVCVLRGDKKVSGTVHFEQEGESPTTVTGELTGLADGLHGFHVHELGDNTNGCGCAGAHFNPDGCTHGAPTDAKGERHIGDLGNVEALGNSNKVGITTSMISKLGENWVLGRRVVIHADLDDLGKGGHELSKSKGNAGARSACGVIGIAKNAAALEHHHHHH*</t>
  </si>
  <si>
    <t>ATGGTGAAGGCCGTTTGCGTACTTCGCGGGGACAAAAAAGTTAGCGGAACTGTACACTTTGAACAGGAGGGAGAGAGCCCTACGACCGTGACGGGAGAGCTGACTGGGCTCGCAGATGGGCTGCATGGTTTCCATGTTCATGAACTGGGCGATAATACTAACGGGTGCGGATGCGCGGGTGCGCACTTCAACCCAGATGGGTGTACACATGGTGCCCCGACCGATGCTAAAGGCGAGCGTCATATAGGTGATCTGGGTAATGTCGAAGCGCTCGGTAACTCAAACAAAGTAGGAATTACCACTTCCATGATCTCGAAGCTGGGGGAAAACTGGGTCCTCGGCCGGCGTGTCGTGATCCATGCGGATCTCGATGATCTTGGAAAAGGTGGGCATGAATTATCCAAAAGTAAAGGTAACGCAGGAGCACGTTCCGCTTGCGGCGTCATCGGTATAGCCAAAAATGCGGCCGCACTCGAGCACCACCACCACCACCACTGA</t>
  </si>
  <si>
    <t>MEIQGGPLAPDVKGVVIFVDVVNGTEVVVDVQNLPPFQPARNNKDAIGPHGFHIHENGNCAVGDPDNPFTAAGEHWNPTDQPHGNHAGDFPVIFSNKGFARMIFYTNKFTVNQIVGKAVIIHENPDDYRTQPAGGAGKRLACGIINPVLRATYKWAAALEHHHHHH*</t>
  </si>
  <si>
    <t>ATGGAGATCCAAGGTGGGCCTCTGGCTCCTGATGTGAAGGGTGTCGTGATATTTGTTGACGTTGTAAATGGAACCGAGGTAGTCGTTGACGTCCAAAACCTGCCACCGTTCCAGCCGGCGCGAAATAATAAAGATGCGATTGGTCCACATGGGTTTCATATTCATGAGAATGGAAATTGTGCCGTCGGAGATCCCGATAACCCTTTTACGGCGGCTGGAGAACACTGGAATCCTACCGACCAGCCCCATGGGAACCATGCAGGGGATTTCCCCGTAATTTTTAGTAATAAAGGATTTGCGCGCATGATATTTTACACAAATAAATTCACGGTGAATCAAATTGTCGGGAAGGCTGTGATTATACATGAGAATCCCGATGATTATCGTACTCAACCGGCCGGTGGTGCCGGGAAGCGCCTGGCGTGTGGTATTATCAACCCTGTACTGCGTGCAACATATAAATGGGCGGCCGCACTCGAGCACCACCACCACCACCACTGA</t>
  </si>
  <si>
    <t>MARPKISIVGAGHVGATTAFEAARLGLGDIVLLDIPPADGMPKGKALDMQEAAPIEGYASAVVGTNSYEATEDSDVVIITAGMARKPGMSRDDLLAKNAGIVKDVTEQVAKKSPNAVLIVISNPLDAMVWVAYKASGFPVNRVVGMAGVLDTARYRTFLASELGVSVDDVHAMLLGGHGDPMVPLVRYTSVGGIPLPDLISQDRLDAIVERTRSGGAEIVGLLKTGSAFYAPSASMIQMAEAILRDRKRILPCAAYCNPEYGNNGYFVGVPVKLGANGVEQIVEVALTAAALEHHHHHH*</t>
  </si>
  <si>
    <t>ATGGCAAGACCGAAAATCTCCATAGTGGGTGCAGGTCATGTTGGCGCCACCACCGCGTTCGAGGCGGCGCGCTTAGGTCTCGGCGACATAGTCCTGCTTGATATTCCGCCTGCAGATGGTATGCCTAAAGGTAAAGCACTTGACATGCAGGAGGCTGCCCCAATCGAAGGCTATGCGTCCGCGGTTGTGGGTACCAATTCTTATGAGGCAACAGAAGACAGCGATGTTGTAATAATCACGGCCGGCATGGCACGGAAACCGGGTATGAGTCGCGATGACCTTCTGGCCAAAAACGCGGGCATCGTCAAGGATGTTACCGAACAGGTTGCCAAGAAAAGTCCGAATGCAGTTTTAATCGTGATATCCAATCCGCTGGATGCGATGGTCTGGGTGGCTTATAAGGCCTCCGGTTTCCCTGTAAATCGTGTTGTGGGAATGGCCGGGGTATTAGACACCGCCCGCTATCGTACGTTCCTGGCTAGTGAGTTGGGAGTAAGTGTTGACGACGTTCATGCGATGCTGCTGGGGGGTCATGGGGACCCTATGGTTCCGTTAGTTCGGTACACTTCGGTTGGAGGTATTCCACTGCCTGATCTGATCAGTCAAGATAGACTGGATGCGATAGTCGAGCGGACACGCAGCGGTGGCGCTGAAATCGTTGGACTCCTGAAGACGGGTAGTGCGTTCTATGCACCATCAGCCTCAATGATCCAGATGGCTGAAGCGATACTGCGGGATCGCAAGCGTATACTGCCGTGTGCGGCGTATTGTAATCCTGAGTACGGAAATAATGGTTACTTTGTAGGTGTGCCGGTCAAGCTCGGTGCAAACGGCGTCGAGCAAATTGTGGAAGTTGCGCTGACCGCGGCCGCACTCGAGCACCACCACCACCACCACTGA</t>
  </si>
  <si>
    <t>MFYLESKSGANATGMAIFKEEDGEVSMMAVFEGLTPGTHAIHLHEKADCSAEDGSSAGGHWNPTFEPHGKWGDAHGYHKGDIGNFTADANGNGNISLKTNEWCIGCGDAKKDILGKAIIVHAKADDFETQPTGDAGGRVSCGGIAAALEHHHHHH*</t>
  </si>
  <si>
    <t>ATGTTTTATTTAGAATCTAAAAGTGGAGCGAACGCAACCGGGATGGCGATCTTTAAAGAAGAAGATGGGGAGGTTTCGATGATGGCTGTTTTTGAGGGCCTCACGCCGGGAACTCATGCCATTCACTTACATGAGAAAGCCGATTGCAGCGCCGAAGATGGTTCGTCAGCGGGCGGCCACTGGAACCCGACTTTTGAACCGCATGGCAAATGGGGAGATGCACATGGTTACCATAAGGGCGATATAGGTAACTTTACAGCTGACGCTAACGGAAACGGCAATATTAGCCTGAAGACTAACGAATGGTGTATTGGCTGTGGCGATGCGAAAAAGGATATTCTGGGAAAAGCCATCATTGTACATGCTAAAGCGGATGATTTCGAAACACAGCCTACAGGCGATGCTGGAGGACGAGTTTCGTGCGGAGGCATAGCGGCCGCACTCGAGCACCACCACCACCACCACTGA</t>
  </si>
  <si>
    <t>MSIQGGPLAPNIQGFVYFTNVPGGTWVVVEVWGLPPYYEAERENQPVGPHGFHIHEHGTCWIGDPDDPFEATGEHWNPTNQPHGNHAGDFPVLFSNHGRAYMAFFTDRFKVSDVIGKTVIIHQNPDDYRTQPSGNSGKRLACGVIAAALEHHHHHH*</t>
  </si>
  <si>
    <t>ATGTCTATTCAAGGGGGACCTCTGGCCCCCAATATTCAGGGGTTCGTGTACTTCACCAATGTTCCGGGTGGTACCTGGGTCGTGGTGGAGGTTTGGGGGCTCCCACCGTATTACGAGGCAGAGCGGGAGAATCAGCCGGTTGGACCACACGGATTCCACATTCATGAACACGGCACGTGCTGGATAGGGGATCCAGATGATCCGTTCGAGGCTACGGGCGAACATTGGAACCCGACGAATCAGCCGCATGGTAACCATGCCGGAGACTTTCCAGTGTTATTTTCTAACCACGGTCGCGCATACATGGCATTTTTTACGGACCGCTTCAAAGTGTCCGATGTTATCGGTAAAACGGTGATTATTCATCAAAATCCGGATGACTATCGTACCCAGCCTAGTGGCAATTCAGGCAAAAGATTAGCGTGCGGCGTTATAGCGGCCGCACTCGAGCACCACCACCACCACCACTGA</t>
  </si>
  <si>
    <t>MASISVAACQSTRVAVIGAGNVGSTLAQRVAERNLADVVLLDIIAGIPQGIALDLMEAQGIEGHNSSIIGTNDYEDTADSDVVVITAGLPRKPGMSRDDLLQTNAQIVLEATKQAITYSPQAIFIIITNPLDVMTYLAYKVSDLPPHRVMGMAGILDSARFQAFIAMELGISTSDVSAMVLGGHGDLMVPIMRYSTVGGIPVTELMDPATIERLVDRTRNGGAEIVNLLQTGGAYYAPASAAATMVEAILHNQARLLPIAAYLEGQYGINDIFLGVPCRLGCNGVESILELNLTDDEHQALHTSAASVRQNLDVALSMCAAALEHHHHHH*</t>
  </si>
  <si>
    <t>ATGGCGTCGATTTCAGTGGCTGCATGCCAGTCCACCCGAGTGGCAGTAATCGGTGCAGGAAACGTCGGCAGTACGCTGGCCCAGCGTGTAGCCGAACGTAACTTAGCGGACGTCGTCTTGTTAGATATCATCGCAGGTATTCCCCAGGGGATTGCTCTTGATCTGATGGAAGCTCAGGGTATCGAAGGCCACAATTCGAGTATAATAGGTACCAATGACTACGAGGATACTGCGGATAGTGACGTAGTGGTCATTACCGCAGGTCTTCCACGCAAACCGGGGATGAGCCGCGATGACCTTCTGCAAACCAATGCTCAAATCGTTTTAGAAGCGACTAAGCAGGCCATAACTTATTCTCCACAGGCAATCTTTATTATCATTACGAATCCCCTTGACGTCATGACCTATCTGGCGTATAAAGTTTCGGATCTGCCTCCACATCGTGTAATGGGAATGGCTGGCATACTGGACTCCGCACGTTTTCAGGCGTTCATCGCTATGGAATTAGGGATCTCTACCAGTGACGTATCTGCCATGGTGCTGGGCGGTCATGGGGACCTGATGGTTCCCATAATGCGTTACTCGACGGTTGGGGGCATTCCGGTGACTGAACTGATGGACCCGGCCACAATCGAACGTCTGGTCGATCGGACTAGAAATGGCGGAGCAGAAATCGTTAATCTGTTACAGACGGGGGGAGCGTATTATGCTCCTGCCTCAGCGGCGGCGACTATGGTTGAAGCAATTTTACATAACCAGGCCCGTCTCCTCCCGATTGCAGCCTATCTCGAAGGTCAGTATGGTATCAACGATATCTTCTTGGGCGTCCCATGCCGTCTGGGGTGCAATGGAGTGGAGTCAATCCTTGAATTAAACCTCACAGATGATGAACACCAGGCTCTTCATACATCCGCCGCCAGTGTGAGACAGAATCTGGATGTTGCACTTAGCATGTGCGCGGCCGCACTCGAGCACCACCACCACCACCACTGA</t>
  </si>
  <si>
    <t>MKLVTDQGIGKSIGEITVAETPYGLLFTPDVHGLAPGIHGFHLHTIASCAAGVKDGKPVPALAAGGHLDPENTLKHLGPYDDKGHLGDLPGLYVGSDGNATAPLLAPRVKALMDLKGHSLMIHKGGDNYADQPAPLGGGGARFACGVIAAALEHHHHHH*</t>
  </si>
  <si>
    <t>ATGAAACTGGTGACGGATCAGGGTATCGGCAAAAGTATAGGCGAAATTACCGTGGCGGAAACCCCGTATGGCCTTTTATTTACCCCAGACGTCCACGGTCTTGCACCGGGGATTCATGGCTTCCACTTACATACTATCGCATCATGTGCAGCGGGCGTAAAAGATGGTAAACCTGTCCCGGCTCTGGCCGCTGGTGGGCATTTAGATCCTGAAAACACGCTGAAACACTTAGGTCCATATGACGATAAGGGCCATCTGGGCGATTTACCGGGTTTGTACGTCGGCTCTGATGGCAATGCCACAGCGCCCCTTCTCGCGCCCCGAGTTAAGGCTTTAATGGACCTGAAAGGGCATAGTTTAATGATCCATAAGGGTGGCGATAATTATGCCGACCAGCCTGCTCCGCTGGGTGGTGGCGGTGCTCGCTTTGCTTGTGGTGTCATTGCGGCCGCACTCGAGCACCACCACCACCACCACTGA</t>
  </si>
  <si>
    <t>MRMDMYNANGDRVGTATLNEQPDGVQIKLKVEGLEPGFHGIHVHEKPKCEGPDFKTAGNHLDPEGEEHGLMHPQGPHLGDMPNIEADSTGLVNAEFMLSGATLLEGKNSILKGEGTSLVRTEDQDDGVSQPSGNSGARIVCGHIAEDDKNNSEKAAALEHHHHHH*</t>
  </si>
  <si>
    <t>ATGCGTATGGATATGTATAATGCTAATGGAGATAGAGTTGGAACGGCAACTCTTAATGAGCAACCGGATGGTGTGCAAATTAAGCTGAAAGTGGAGGGCCTTGAACCGGGGTTTCATGGTATTCATGTTCATGAGAAGCCGAAATGTGAAGGACCCGATTTTAAAACTGCTGGGAATCACCTTGACCCAGAAGGTGAGGAGCATGGTCTGATGCATCCTCAGGGCCCTCATCTTGGTGATATGCCGAACATTGAAGCAGATTCTACCGGACTGGTGAATGCAGAGTTCATGCTGTCTGGCGCAACCCTGCTGGAGGGTAAAAATAGTATTCTGAAAGGTGAAGGTACCTCTCTGGTCCGAACCGAAGATCAGGATGATGGAGTCTCTCAGCCGAGCGGTAATAGTGGGGCAAGAATAGTCTGTGGCCATATTGCTGAAGACGATAAGAATAACTCCGAGAAAGCGGCCGCACTCGAGCACCACCACCACCACCACTGA</t>
  </si>
  <si>
    <t>MAVIDADSTSNANGTVTFTEEGSTVKMEALLSGLTPGKHAIHIHENADCSAADGTSSGGHWNPTNDPHGKWGAESGYHKGDIGNFSADDNGKGTVTITTNEWCIGCGDADKDIGGKALIVHQGTDDFTTQPTGDAGARIACGSIAAALEHHHHHH*</t>
  </si>
  <si>
    <t>ATGGCTGTCATCGATGCCGATAGCACTTCAAATGCCAACGGCACCGTAACCTTCACTGAAGAAGGCTCTACAGTAAAAATGGAAGCCCTTCTCTCAGGCCTGACTCCGGGCAAACATGCAATCCACATACATGAAAATGCTGACTGTTCCGCTGCCGACGGTACGTCAAGTGGCGGCCATTGGAATCCAACCAACGACCCGCATGGGAAATGGGGCGCCGAGTCTGGCTATCATAAAGGTGATATTGGCAATTTTTCAGCAGATGACAATGGTAAAGGTACAGTGACCATTACAACAAATGAATGGTGTATTGGTTGTGGGGATGCCGATAAAGACATTGGTGGTAAAGCACTGATCGTCCATCAGGGGACCGATGACTTTACGACCCAACCCACAGGCGATGCTGGGGCCCGTATTGCGTGTGGATCGATCGCGGCCGCACTCGAGCACCACCACCACCACCACTGA</t>
  </si>
  <si>
    <t>MWAMLRTPTGADAGRATAKEVAGGIRFTVDATNLPPGTHGVHVHTVGRCDGPDFESAGGHWNPTATKHGTMNPQGPHKGDMPNLVIGPGWRGSTGWTIPGATFASLLDADGAAYVIHAMPDDLKTDPSGDSGGRIACGIFAAALEHHHHHH*</t>
  </si>
  <si>
    <t>ATGTGGGCCATGTTGCGAACCCCAACTGGTGCTGATGCAGGTCGCGCGACGGCAAAAGAAGTGGCGGGGGGGATTCGGTTTACCGTAGACGCAACCAATTTACCACCCGGAACGCACGGAGTGCATGTTCATACCGTAGGCCGTTGTGACGGACCGGACTTCGAGAGCGCCGGTGGTCACTGGAACCCCACTGCAACGAAACATGGCACCATGAATCCACAAGGTCCGCACAAAGGGGACATGCCGAACTTAGTCATCGGGCCGGGATGGCGGGGAAGTACTGGGTGGACGATTCCGGGCGCAACATTCGCCAGCTTATTAGATGCAGATGGCGCGGCATATGTTATTCACGCTATGCCGGATGATCTTAAGACAGATCCTTCAGGAGACAGCGGCGGCAGAATCGCCTGCGGAATATTTGCGGCCGCACTCGAGCACCACCACCACCACCACTGA</t>
  </si>
  <si>
    <t>MDLSSSSTMGRAKITIVGAGNVGATTAHWAAAAELGKDIVLLDIPQTAGMPQGKALDIMQSTPILGFDSTVIGTTDYADTKGSDIVVITAGIPRKPGMSRDDLLATNSKIIRMVCQQVRDISPNCVVIVVSNPLDAMVHLTSRVSGFPRNRVIGQAGVLDTARYRTFIAQELGVSVEDITALLMGGHGDTMVPMPSCTTVGGIPVTRLIPRDRLDEIMDRARKGGAEIVSLLKTGSAYYAPSAATTQMIESIIADEKKLLPCAAFCQAEYGVGGFYVGVPAFLGKGGVEKILELELNEAEKAAFNKSVEGVKALVAAMAKLPAAALEHHHHHH*</t>
  </si>
  <si>
    <t>ATGGATCTCAGTAGCAGTAGCACCATGGGGAGAGCTAAAATAACTATTGTAGGCGCCGGCAACGTGGGTGCAACCACCGCACACTGGGCTGCTGCTGCAGAGCTGGGCAAAGACATAGTACTGCTGGATATACCGCAGACCGCCGGTATGCCGCAAGGCAAGGCGCTGGATATTATGCAAAGTACGCCTATTCTCGGTTTCGACAGCACAGTCATTGGAACTACCGATTACGCAGACACTAAAGGCTCCGACATTGTTGTAATCACAGCCGGAATTCCTCGTAAACCGGGTATGTCGAGAGATGACCTTCTGGCGACAAATAGTAAAATAATCCGGATGGTTTGTCAGCAAGTTCGCGACATCTCCCCTAACTGTGTGGTAATTGTTGTTTCCAATCCTCTCGACGCTATGGTGCACCTGACAAGTCGCGTTAGTGGGTTCCCGCGTAATCGGGTAATCGGGCAGGCGGGAGTTTTGGACACTGCAAGATATCGTACGTTTATTGCGCAAGAACTGGGGGTCAGTGTAGAAGATATTACCGCGTTGTTAATGGGTGGCCATGGGGATACAATGGTACCTATGCCGTCCTGCACCACAGTCGGCGGAATTCCAGTTACAAGACTCATTCCAAGAGATCGACTGGACGAGATCATGGACCGTGCGCGAAAAGGTGGCGCAGAAATTGTTAGCCTTCTGAAAACCGGTAGCGCTTATTATGCCCCATCCGCAGCTACCACCCAAATGATCGAGAGCATCATCGCAGATGAAAAAAAGTTATTGCCGTGCGCGGCATTTTGCCAAGCTGAGTACGGCGTTGGGGGTTTTTATGTGGGCGTTCCCGCCTTCCTGGGTAAAGGCGGTGTAGAAAAAATATTGGAACTCGAGTTAAATGAAGCCGAAAAGGCGGCATTCAATAAGTCTGTGGAAGGTGTTAAGGCTTTAGTTGCCGCAATGGCTAAGCTGCCGGCGGCCGCACTCGAGCACCACCACCACCACCACTGA</t>
  </si>
  <si>
    <t>MGFKRNKISIIGAGFTGATTAYMLAEKELGDVVLVDIPELENPTKGKALDMLEAAPIQGFDTRVKGTSDYEDIKDSDLVIITAGLPRKPGMSRDDLVSTNAGIMRCVAEQVFKYAPDAYVLVLTNPVDAMTYVAYKVTGFPKHRVVGQSGVLDTARFRTFVAEELNISVEDVSGFVLGGHGDDMVPLVRFSYAGGIPLESLMSPARLEAIVDRTRKGGGEIVNLLGNGSAYYAPAASIIEMAEAIIKDQRRILPSIAYLEGEYGYSDIFMGVPTILGANGIESIIELQLTDGEKAALDRSAAAVRKVVEALAAALEHHHHHH*</t>
  </si>
  <si>
    <t>ATGGGCTTTAAACGAAATAAGATATCGATTATTGGTGCAGGCTTCACAGGGGCCACCACTGCGTATATGCTCGCGGAGAAAGAATTGGGCGACGTAGTGCTTGTTGATATCCCGGAATTGGAAAACCCAACTAAAGGCAAGGCTCTGGATATGCTGGAAGCAGCTCCCATTCAGGGGTTTGACACGCGTGTAAAAGGTACTAGCGATTATGAAGATATTAAGGATTCGGATCTTGTGATAATCACTGCAGGTCTCCCGCGCAAGCCTGGCATGAGCCGCGATGATCTGGTAAGTACAAACGCTGGGATTATGCGATGCGTGGCGGAACAGGTGTTCAAATATGCGCCTGACGCCTATGTTCTGGTTTTAACTAACCCGGTGGATGCCATGACGTATGTCGCTTACAAGGTGACAGGATTTCCCAAACACCGTGTGGTAGGTCAGTCTGGTGTGCTGGATACGGCTCGTTTTAGAACCTTCGTCGCTGAAGAGTTAAATATCAGCGTGGAAGATGTTAGCGGATTTGTGCTTGGTGGCCATGGCGATGATATGGTCCCCTTGGTGCGTTTTAGCTACGCAGGTGGCATACCCTTAGAGTCTCTCATGTCTCCAGCACGTTTGGAAGCCATCGTAGATCGTACGCGTAAAGGCGGCGGCGAGATAGTTAATCTCCTTGGAAATGGAAGTGCTTACTATGCTCCGGCAGCAAGCATAATAGAAATGGCCGAAGCAATTATCAAAGACCAACGCCGCATACTGCCGTCAATTGCCTACCTGGAAGGTGAATATGGTTATTCTGACATTTTTATGGGCGTACCGACTATTTTGGGAGCAAATGGAATAGAATCGATCATTGAACTGCAGCTGACCGATGGGGAGAAGGCTGCTTTAGACCGCTCTGCCGCGGCAGTTAGAAAAGTCGTAGAAGCATTGGCGGCCGCACTCGAGCACCACCACCACCACCACTGA</t>
  </si>
  <si>
    <t>MGRKKIALIGSGNIGGTLAHLAGLKELGDIVLYDIIEGLPQGKSLDLSQASPVERYDSNMGPAKDYSAIEGADVIIVSAGVPRKPGMSRDDLVGINLKIIKSVGEGIKKHCPDAFVIVVTNPLDAMVWVLKKETGYPAQKVVGMAGVLDSARFRYFLAEEMGVSVEDVTAMVLGGHGDTMVPLAKYSTVAGIPLPDLVKMQWTTKDKLQQIVQRTRDGGAEIVNLLGTGSAFYAPASAAVEMAESYLKDKKRIMPCAAYMDGEYGEHGLYIGVPVIIGGGGVEKVVELNLTAEEKKAFQKSAESVRALVKACKAAAALEHHHHHH*</t>
  </si>
  <si>
    <t>ATGGGTCGCAAAAAAATCGCATTGATCGGCAGCGGAAATATTGGCGGAACGCTCGCTCATTTGGCTGGGCTGAAGGAGCTGGGAGATATAGTTTTATATGATATCATCGAAGGTCTGCCGCAGGGAAAATCGTTGGACTTGTCTCAAGCCAGTCCAGTCGAACGTTATGATTCCAATATGGGTCCTGCGAAAGACTATAGTGCGATTGAAGGCGCGGATGTGATTATTGTATCGGCAGGGGTGCCTCGCAAACCGGGGATGTCTCGTGATGACTTGGTAGGCATTAATCTGAAAATTATTAAATCGGTTGGAGAAGGCATTAAGAAACACTGCCCTGACGCCTTTGTGATTGTGGTGACCAATCCGCTCGACGCCATGGTTTGGGTGCTTAAAAAAGAGACAGGTTATCCTGCTCAAAAAGTGGTGGGCATGGCCGGAGTACTTGATTCAGCGCGGTTTCGTTACTTTTTAGCGGAGGAAATGGGTGTCTCCGTGGAAGATGTGACAGCAATGGTACTTGGAGGCCACGGCGATACCATGGTACCTCTGGCAAAATATTCCACCGTTGCGGGCATCCCTTTACCGGACCTGGTTAAAATGCAGTGGACGACCAAAGATAAACTGCAGCAAATAGTGCAGCGCACACGAGACGGGGGTGCTGAGATAGTGAACCTGCTCGGAACCGGGTCAGCGTTCTATGCGCCGGCGTCCGCTGCGGTAGAAATGGCAGAGTCCTATCTCAAAGATAAAAAACGTATCATGCCTTGTGCAGCGTACATGGATGGAGAGTATGGCGAGCATGGGTTATATATCGGCGTGCCTGTTATTATCGGAGGTGGGGGCGTCGAAAAGGTTGTTGAACTGAACCTTACTGCTGAAGAAAAAAAGGCTTTTCAGAAAAGTGCTGAATCGGTTCGGGCACTGGTAAAGGCATGTAAAGCAGCGGCCGCACTCGAGCACCACCACCACCACCACTGA</t>
  </si>
  <si>
    <t>MKVTVVGAGNVGATCADVLAQKDLADEVVLIDIKENDAEGKSADDWEWAPIVLGDSRTKGFTNSYSKTSGSDVVVITSGVPRKPGMSRDDLISINAGIVKSVSEQVVKYSPDAVIIVVSNPLDVMVQRAFWTTGIPSKRVFGMAGVLDTARYRSFLSEALNVSPKDIQAVLMGGHGDTMVPLPRYTTVSGIPVTELIEADKLDAIIDRTKKGGGEIVNLMGTSAWYAPGCAAVQMVESIVRDQKRIFPVCAHLNGEYGVKGIFLGVPVKLGRAGIQSIIELQLNDDEKALLKGSAKAVKDVMAVQDGMAAALEHHHHHH*</t>
  </si>
  <si>
    <t>ATGAAAGTCACCGTTGTGGGAGCCGGTAACGTTGGTGCTACTTGCGCTGATGTGCTGGCGCAGAAAGATTTAGCAGATGAAGTTGTCCTGATCGACATTAAGGAAAATGACGCTGAGGGTAAGTCTGCCGACGATTGGGAATGGGCGCCGATTGTGCTCGGAGATTCCCGTACCAAAGGATTTACGAATAGTTACTCGAAAACATCGGGGAGCGATGTTGTTGTTATTACCTCTGGAGTTCCTCGTAAACCAGGGATGAGCCGTGACGATCTGATTAGCATTAACGCGGGAATTGTAAAAAGCGTCTCAGAACAGGTAGTTAAATACAGCCCCGACGCTGTCATTATTGTAGTTTCTAATCCACTGGATGTCATGGTTCAACGAGCCTTCTGGACCACTGGCATTCCGAGCAAAAGAGTGTTTGGTATGGCCGGAGTGCTCGATACCGCACGGTACCGCTCCTTTCTGTCAGAAGCCCTGAACGTTAGCCCTAAAGATATTCAGGCAGTTTTGATGGGCGGACATGGTGACACGATGGTGCCACTTCCGCGTTATACGACAGTTTCTGGTATACCTGTTACAGAACTGATAGAAGCCGATAAACTTGATGCGATTATCGATAGAACCAAAAAGGGTGGTGGAGAAATCGTCAACCTGATGGGGACATCGGCTTGGTACGCGCCTGGTTGTGCAGCAGTCCAGATGGTAGAATCAATCGTTCGTGATCAAAAACGTATTTTCCCGGTTTGTGCTCACTTAAACGGTGAATATGGAGTCAAAGGGATTTTTTTGGGTGTCCCTGTAAAGCTGGGAAGAGCCGGGATACAGTCCATCATTGAATTACAACTTAATGACGATGAAAAAGCTCTGCTGAAAGGGAGCGCCAAAGCCGTCAAAGATGTTATGGCTGTTCAGGACGGAATGGCGGCCGCACTCGAGCACCACCACCACCACCACTGA</t>
  </si>
  <si>
    <t>MKVAVLGAAGGIGQALSLLLKLNQPAGSELCLYDLAPVTPGVAVDLSQIPTAVTVRGYGRDDLTPALEGADVVLVPAGVPRKPGMDRADLFNVNAGVIYNLVDKVAEWCPNAWIGIITNPVNTTVAIAAEILKQNGVYDKRKLFGVTTLDVIRAETFIAELLGLKVEEVVVPVIGGHSGTTILPLLSQVEGAEFTWDEIETLTRRIRNAGTEVVEAKAGGGSATLSMGTAAWRFYLSVVKGLQGETVVAYCYVEGDGPELCFFASPVRLGKNGVKKIIPLPDLNEFEQAALDDMIETTPRDWDLKVEFAAAALEHHHHHH*</t>
  </si>
  <si>
    <t>ATGAAAGTAGCAGTGTTGGGTGCGGCCGGAGGCATTGGACAGGCCTTATCGTTGCTTCTTAAATTGAACCAGCCGGCAGGAAGTGAACTGTGTCTGTATGACTTAGCTCCTGTTACGCCAGGTGTCGCAGTGGACCTGAGCCAGATTCCAACTGCCGTAACGGTTCGCGGCTACGGTCGTGACGATCTGACGCCCGCGCTGGAAGGTGCAGACGTTGTTCTCGTGCCTGCCGGGGTGCCGCGCAAGCCGGGTATGGATCGCGCCGATCTCTTTAACGTGAACGCGGGTGTGATCTATAACTTGGTAGATAAAGTTGCTGAATGGTGTCCCAATGCCTGGATTGGCATAATCACGAATCCGGTTAATACAACTGTCGCCATTGCTGCGGAAATTTTGAAACAAAACGGAGTTTATGATAAACGGAAACTGTTCGGGGTTACGACCCTGGATGTTATTCGAGCAGAAACTTTTATAGCCGAACTGCTTGGTCTTAAAGTTGAAGAGGTCGTAGTTCCTGTCATAGGTGGCCATTCTGGAACGACCATATTGCCGCTCCTGTCTCAGGTAGAAGGCGCAGAGTTCACTTGGGACGAAATTGAAACGTTGACCCGCCGTATCCGGAATGCAGGCACTGAGGTCGTTGAGGCGAAAGCGGGCGGAGGTTCTGCCACGTTATCCATGGGGACAGCTGCCTGGCGCTTCTACCTTTCAGTAGTCAAAGGTCTTCAAGGAGAGACTGTAGTGGCGTATTGCTATGTTGAGGGTGATGGTCCTGAACTGTGTTTTTTTGCGTCACCCGTTAGATTAGGAAAAAATGGTGTCAAGAAAATTATCCCGCTTCCGGATCTGAACGAATTCGAACAGGCGGCACTGGATGATATGATTGAAACCACACCACGCGATTGGGACCTCAAGGTGGAATTTGCCGCGGCCGCACTCGAGCACCACCACCACCACCACTGA</t>
  </si>
  <si>
    <t>MSLKGGTLKPQLDGQVTFTEATGGTWIEVRVKGLPPYKPPKGQQDPIGPHGFHIHQFGNCKVGNPQDPFQVAGGHWNPTNQPHGNHAGDFPVLFSNDGYAKMLFFTDRFKAQDVIGKSIVIHENPDDYRTQPAGNSGKRLACGVIAAALEHHHHHH*</t>
  </si>
  <si>
    <t>ATGTCTCTCAAAGGCGGCACCTTAAAGCCTCAATTAGATGGTCAAGTGACTTTTACCGAAGCTACAGGCGGTACATGGATTGAGGTGCGTGTCAAAGGTTTACCGCCGTATAAACCGCCCAAAGGGCAGCAGGATCCGATTGGTCCGCACGGTTTTCATATCCATCAGTTCGGCAACTGCAAGGTCGGGAATCCACAGGACCCGTTCCAGGTCGCTGGCGGGCACTGGAACCCTACAAACCAGCCGCACGGTAACCACGCCGGCGATTTTCCTGTCCTGTTCTCAAATGATGGTTACGCCAAGATGCTTTTTTTTACTGATAGATTTAAAGCACAAGATGTCATCGGGAAAAGCATTGTTATTCATGAAAACCCAGACGACTATCGTACACAGCCTGCTGGGAATTCCGGTAAGCGTCTTGCTTGCGGAGTCATTGCGGCCGCACTCGAGCACCACCACCACCACCACTGA</t>
  </si>
  <si>
    <t>MARCVAVINGDGIKGSLSLWQAQEEAPTSIEGQIKGLTPGKHGCHIHVYGDFSEGCLSAGGIFNPFGCNHGAPDDKERYVGDLGNIEVGDDGVATVNIEDRLVKLIGPHSIIGRSMVVKSNEDDLGWGGNEDSLITGNAGPRLACGVVGIASNAAALEHHHHHH*</t>
  </si>
  <si>
    <t>ATGGCGCGGTGCGTTGCAGTAATAAACGGCGACGGAATAAAGGGTTCTCTTTCACTGTGGCAGGCCCAAGAAGAAGCTCCCACTTCAATCGAAGGACAGATTAAAGGACTGACCCCGGGAAAGCATGGCTGCCATATCCACGTGTATGGGGATTTCTCTGAAGGTTGTCTGTCAGCCGGTGGTATCTTCAACCCTTTTGGCTGTAACCATGGGGCACCAGATGATAAAGAACGTTATGTTGGTGATTTAGGTAACATTGAAGTGGGGGACGACGGGGTCGCAACCGTAAATATAGAGGATAGACTGGTGAAATTAATTGGACCCCATAGTATTATCGGGCGCTCTATGGTGGTCAAAAGCAATGAAGACGATTTGGGTTGGGGCGGTAACGAAGATAGTCTTATCACGGGAAATGCTGGTCCGCGCCTGGCGTGTGGGGTGGTTGGCATTGCGTCGAACGCGGCCGCACTCGAGCACCACCACCACCACCACTGA</t>
  </si>
  <si>
    <t>MAKKAVCVLKGTGEVTGTVYFDQEGEGAAVKVTGEITGLTFGKHGFHVHAFGDNTNGCISAGPHFNPYNKTHGGPTDAVRHVGDLGNVIADANSVAKIDIEDKMVTLSGPHSIIGRTMVIHEKKDDLGKGGNEESLKTGNAGGRLACGVIGITNAAALEHHHHHH*</t>
  </si>
  <si>
    <t>ATGGCCAAAAAAGCAGTTTGTGTGTTAAAAGGTACTGGAGAGGTCACGGGTACTGTTTATTTTGATCAGGAGGGTGAGGGTGCGGCGGTCAAAGTTACGGGTGAAATTACCGGGTTGACCTTTGGCAAACATGGCTTCCACGTACATGCGTTCGGCGATAACACCAATGGCTGTATTTCCGCGGGACCACACTTCAATCCTTATAATAAAACACATGGGGGTCCAACCGACGCCGTGAGACATGTGGGCGATCTGGGGAATGTTATTGCCGATGCCAATTCTGTGGCTAAAATTGATATTGAAGACAAGATGGTTACCCTGTCTGGCCCACATAGCATCATCGGTCGTACCATGGTCATACATGAGAAAAAAGACGATTTGGGTAAAGGCGGCAATGAAGAAAGCCTCAAAACAGGCAATGCCGGCGGTCGGTTAGCCTGTGGCGTGATTGGCATCACCAATGCGGCCGCACTCGAGCACCACCACCACCACCACTGA</t>
  </si>
  <si>
    <t>MAKAPITVAVTGAAGQIGYSLLFRIASGAVFGPEQPVILNLIELEPAMPTLEGVVMELDDCAFPLLKSVSPTASLDEGFRGVNWALLVGSVPRKAGMERADLLGINGKIFIGQGRAIEKNAAEDVRILVVGNPCNTNCLIAMDNAPGIPVDRHFAMTRLDENRAKTQLARKAGVDVTQVTNMAIWGNHSSTQFPDFYNAKIKGKSATEAITDREWLKGTFICTVQQRGAAVIKARGASSAASAANAVVDSVRALISPTPADDFHSVALCSDGSYGVDEGLITSFPIRSNGKRWEIVQGVTLDDFSQAKITASVSELKSEKDMVRDLLAAALEHHHHHH*</t>
  </si>
  <si>
    <t>ATGGCTAAAGCACCGATTACAGTGGCGGTGACCGGTGCGGCCGGGCAAATCGGTTACTCCTTGCTGTTTCGGATTGCCTCTGGCGCCGTTTTTGGGCCCGAACAGCCTGTGATTCTGAACCTGATTGAGCTGGAACCGGCGATGCCGACCCTTGAAGGCGTGGTGATGGAACTGGACGACTGTGCCTTTCCACTGTTAAAAAGTGTTTCCCCCACTGCCTCTCTGGACGAGGGATTTCGCGGTGTAAACTGGGCCCTTTTAGTGGGCTCTGTCCCACGCAAAGCGGGTATGGAACGGGCCGACTTACTGGGTATTAATGGTAAAATTTTTATCGGACAGGGTCGCGCCATCGAAAAAAATGCAGCAGAAGACGTACGCATACTGGTTGTAGGTAACCCGTGCAATACGAATTGTTTAATCGCCATGGATAATGCGCCGGGCATCCCCGTAGATCGGCATTTTGCAATGACACGCCTTGATGAAAACCGCGCTAAAACCCAACTGGCACGTAAAGCTGGAGTGGATGTAACACAGGTTACGAATATGGCAATCTGGGGCAATCATAGCAGTACGCAATTTCCCGATTTCTACAATGCAAAAATTAAAGGCAAGAGCGCGACCGAGGCAATCACAGATCGTGAATGGCTGAAGGGGACGTTCATCTGCACGGTTCAGCAACGGGGCGCCGCCGTGATCAAAGCCCGCGGCGCTTCTTCTGCGGCAAGCGCGGCAAATGCAGTTGTTGATAGCGTGCGTGCACTGATTTCACCGACTCCGGCTGATGACTTCCACTCTGTTGCCTTGTGTTCGGACGGATCATACGGTGTAGATGAAGGATTAATTACCTCATTTCCTATCCGCAGCAACGGTAAGCGCTGGGAAATTGTTCAGGGAGTCACTTTGGATGACTTCTCCCAAGCCAAAATCACTGCATCTGTATCTGAACTGAAATCGGAGAAAGACATGGTGAGAGATTTGTTAGCGGCCGCACTCGAGCACCACCACCACCACCACTGA</t>
  </si>
  <si>
    <t>MARNKVALIGAGQIGGTLAHLAGLKELGDIVLFDVANGVPQGKALDLAQAAPAEGYDAQLKGSNDCAEIKGADIVMVTAGAARKPGMSRDDLLEINKNVMKQVGEGIKKYAPDAFVIVVTNPLDAMVWTMKKASGLAPEKVVGMAGVLDSARFRYFLAEEFNVSVEDVSAFVLGGHGDTMVPLVRYSSVSGIPLPDLVKMGWTTQSKLDSIVKRTRDGGSEIVGLLKTGSAFYAPASAALAMVESFLKDKKRILPCAAYLKGEYGVKDIYVGVPTVIGAKGVEKIIEIDLNKTEKENFEKSVNAIKKTIEFAKAAALEHHHHHH*</t>
  </si>
  <si>
    <t>ATGGCCCGTAATAAAGTTGCACTTATAGGAGCAGGTCAAATCGGCGGGACCCTCGCTCATCTGGCGGGTTTAAAAGAGCTGGGAGATATAGTACTGTTTGACGTTGCCAATGGAGTGCCGCAGGGCAAAGCATTAGATCTGGCCCAAGCGGCACCTGCGGAGGGTTACGACGCGCAGTTGAAGGGTTCTAATGATTGTGCAGAAATAAAAGGTGCTGACATTGTGATGGTGACCGCCGGGGCCGCGAGAAAACCGGGGATGTCGAGAGACGACCTGTTAGAGATAAATAAAAATGTCATGAAGCAGGTTGGAGAGGGGATCAAAAAATACGCCCCGGACGCCTTCGTAATTGTTGTTACTAACCCGCTGGACGCGATGGTTTGGACTATGAAGAAGGCGAGTGGACTGGCACCTGAAAAAGTTGTAGGGATGGCGGGGGTATTAGATAGCGCCAGATTCCGTTACTTCTTAGCGGAAGAATTTAATGTTTCCGTTGAGGACGTGTCTGCTTTCGTTCTGGGGGGCCATGGGGATACAATGGTGCCTCTGGTGCGTTATTCATCAGTCAGCGGCATCCCCCTGCCGGATCTGGTGAAAATGGGATGGACTACCCAATCGAAGCTGGATTCGATAGTAAAACGGACCAGAGATGGAGGTAGTGAGATAGTCGGGCTGTTGAAAACCGGTTCAGCCTTCTATGCACCCGCATCTGCTGCCCTGGCGATGGTCGAATCTTTCTTGAAAGATAAAAAACGTATTCTCCCTTGCGCGGCATATCTGAAGGGAGAGTATGGTGTGAAGGATATTTATGTTGGGGTGCCAACTGTGATTGGCGCCAAAGGGGTCGAGAAAATAATTGAAATCGATCTTAACAAAACTGAAAAGGAAAATTTCGAGAAATCTGTGAATGCGATTAAAAAGACCATCGAGTTCGCAAAAGCGGCCGCACTCGAGCACCACCACCACCACCACTGA</t>
  </si>
  <si>
    <t>MRSKVTVVGAGNVGATTAQRICQLGWADVVLVDVVEDLPQGKALDLLESGPVIGSDAKITGSNGYEESAGSDVVVITAGVARRPGMSRDDLLLKNMRITSSVTEEVVKHSPNCIIIAVTNPLDAMVQWVYETSGFPRNRVFGMAGVLDSARFRTFVAQELDVSVEDITAFVLGGHGDEMVPLVRYTTVAGIPVTELIDPDKVEALVQRTRDGGGEIVALLKQGSAYYAPSAAITQMAEAILLDKKRILPAWAYLEGEYGINGLFVGVPVKLGAQGLEQIIEIKLTEDEQAALQASAASVQELVGVLKKSKAEGAAALEHHHHHH*</t>
  </si>
  <si>
    <t>ATGCGCAGTAAAGTAACGGTGGTGGGGGCAGGTAATGTAGGTGCAACGACGGCGCAGAGAATCTGTCAGCTGGGCTGGGCGGATGTTGTGCTGGTAGATGTTGTAGAAGATCTTCCGCAAGGGAAAGCTCTCGATCTGCTTGAATCGGGTCCTGTTATTGGTTCCGATGCTAAAATTACTGGTAGCAACGGCTATGAAGAGTCCGCGGGCTCAGACGTAGTAGTTATAACCGCAGGTGTGGCGCGCCGTCCGGGCATGTCGCGCGATGACCTGCTGCTCAAAAATATGCGGATAACGAGTTCGGTTACCGAAGAGGTGGTTAAACATTCACCGAATTGCATTATTATTGCAGTGACGAATCCACTGGACGCTATGGTTCAGTGGGTTTATGAAACGAGTGGGTTTCCACGGAATCGCGTTTTCGGCATGGCAGGAGTGTTAGATAGCGCTCGCTTTCGCACCTTTGTAGCACAAGAACTGGACGTGAGTGTAGAGGACATTACAGCGTTTGTGCTGGGTGGCCATGGAGATGAAATGGTTCCCCTGGTAAGATATACTACCGTGGCCGGGATACCCGTGACAGAGCTCATTGACCCTGATAAAGTGGAGGCACTTGTTCAGCGGACCCGCGATGGGGGTGGAGAGATTGTGGCCTTGCTTAAACAAGGAAGCGCATATTATGCGCCATCAGCTGCTATTACTCAGATGGCTGAAGCAATCCTGCTGGATAAGAAACGCATTTTGCCGGCATGGGCGTACTTGGAGGGCGAGTATGGTATTAACGGCCTTTTTGTCGGTGTGCCGGTTAAACTTGGGGCTCAGGGACTTGAACAGATCATTGAAATTAAGTTGACAGAGGATGAACAAGCGGCGCTGCAAGCTTCTGCGGCCTCTGTACAGGAACTGGTCGGAGTGTTAAAAAAATCTAAGGCCGAAGGTGCGGCCGCACTCGAGCACCACCACCACCACCACTGA</t>
  </si>
  <si>
    <t>MTLSETPYGLVFRPDLKGLAPGLHGFHIHEKPACGPAEQDGKKVAAGAAGGHFDPLNTGHHGSPWEVGHLGDLPPIWVSNDGSATMPVLAPRLTLKDVKGRALMLHVGGDNHADNPKPLGGGGARMTCGVVAAALEHHHHHH*</t>
  </si>
  <si>
    <t>ATGACCCTTTCAGAAACCCCATATGGTCTCGTATTCCGCCCTGATCTGAAAGGTTTGGCTCCGGGACTCCATGGTTTCCATATACATGAAAAGCCCGCCTGTGGACCGGCCGAACAAGACGGAAAGAAAGTTGCGGCTGGTGCTGCCGGCGGTCACTTTGACCCCCTTAATACCGGCCATCATGGTAGCCCGTGGGAAGTGGGACACTTAGGCGATCTGCCTCCGATATGGGTGAGCAATGATGGTTCAGCAACTATGCCTGTATTGGCCCCTAGACTCACTCTGAAGGATGTAAAAGGTCGCGCTCTGATGTTACATGTCGGCGGCGATAACCATGCAGATAATCCAAAACCATTAGGCGGTGGTGGTGCACGTATGACCTGCGGCGTTGTTGCGGCCGCACTCGAGCACCACCACCACCACCACTGA</t>
  </si>
  <si>
    <t>MPSQNVRVAVTGAAGQIGYALLFRIVSGEMFGDNQPVELRLLELEPALPALEGVAMELDDCAFPLLNEVVCTDDVKTAFRDINVALLVGAVPRKAGMERSDLLAVNGAIFKRQGKALNDYAANETCVIVVGNPANTNCLIAMNNAEDIPNDRFYAMTMLDEKRARIQLAKKAGIDVTDVSHLTIWGNHSATQYPDFYASKIAGKSAYDVIEQKEWLQGDFIPKVQQRGAAIISARGASSAASAANGVVSNVKNLTQDTPDNEWFSLAKCSQGDYDIEEGLIFSFPCRVKDGELSIISGIEQSGFALEKYQATLDELKHERDMVKQMLAAALEHHHHHH*</t>
  </si>
  <si>
    <t>ATGCCTTCGCAGAACGTTCGCGTAGCCGTGACAGGTGCTGCAGGCCAGATTGGCTATGCTCTTCTTTTTCGGATTGTATCAGGGGAAATGTTTGGAGATAATCAACCGGTCGAGCTTCGACTCTTAGAGCTCGAGCCTGCCTTACCAGCATTAGAGGGTGTGGCGATGGAATTAGATGATTGTGCATTTCCTCTGCTTAATGAAGTTGTCTGCACAGATGATGTTAAAACAGCATTTCGTGATATCAACGTCGCCCTGCTGGTAGGGGCGGTTCCTCGAAAAGCTGGCATGGAACGCAGCGACCTTCTGGCCGTGAACGGCGCCATTTTCAAACGGCAGGGCAAAGCATTAAACGATTATGCAGCAAATGAAACTTGTGTGATAGTCGTTGGGAATCCGGCAAATACAAATTGTCTGATAGCGATGAACAATGCGGAGGATATACCAAATGATCGTTTCTATGCAATGACCATGCTGGACGAGAAGAGAGCCCGCATTCAGCTGGCCAAGAAAGCCGGTATTGACGTGACTGACGTGAGTCATCTGACGATTTGGGGCAATCATAGCGCTACTCAGTATCCTGACTTTTATGCGTCTAAGATCGCGGGTAAGTCTGCGTACGATGTGATCGAGCAAAAAGAGTGGCTGCAGGGAGATTTTATACCTAAGGTGCAACAGCGTGGAGCCGCCATCATTTCCGCGCGGGGCGCATCGAGTGCCGCCTCGGCAGCGAATGGGGTCGTGTCGAATGTTAAAAACCTGACCCAAGATACACCGGATAATGAATGGTTTTCCCTGGCGAAGTGCTCACAAGGGGATTACGACATTGAGGAAGGTCTTATCTTTAGTTTTCCTTGTCGCGTGAAAGATGGAGAACTGAGCATAATAAGCGGAATAGAACAATCTGGCTTTGCGTTAGAAAAGTATCAGGCTACTTTAGACGAATTGAAGCACGAGCGCGATATGGTTAAGCAGATGCTGGCGGCCGCACTCGAGCACCACCACCACCACCACTGA</t>
  </si>
  <si>
    <t>MTVEMLNTKNDSVGTAEVEAEHDSVGVALNLENLENGEHGLKFHDAGKYETPGFNSAGEPFAQEMQTIEIGEDGTAKDEFVVQSLTLKKNAENSLLKDGETALLVYSGQDAGECIACGIVAAALEHHHHHH*</t>
  </si>
  <si>
    <t>ATGACAGTTGAGATGTTAAATACAAAAAACGATTCGGTGGGCACAGCTGAGGTTGAGGCAGAGCACGATAGCGTGGGGGTGGCACTGAATCTCGAGAACCTCGAGAATGGAGAGCACGGGCTGAAATTTCATGATGCCGGAAAATATGAAACCCCCGGCTTTAATTCGGCAGGGGAACCATTTGCACAAGAGATGCAAACCATAGAAATTGGAGAGGATGGTACCGCTAAAGATGAATTCGTAGTGCAATCTCTTACCCTGAAGAAAAACGCCGAAAATAGTCTGCTTAAGGATGGTGAGACCGCTCTGCTGGTCTATAGCGGGCAAGATGCAGGAGAATGCATCGCGTGTGGCATCGTTGCGGCCGCACTCGAGCACCACCACCACCACCACTGA</t>
  </si>
  <si>
    <t>MTVEILNTKGDSVGTAEIEPESDGVGVVLNLENLESGEHGLKFHDAGKYETPGFNSAGEPFAQEMQTIEIGEDGVAKDEFIVQNVTLKKDAENSLLKDDGTALIVYSGEDAGECIACGVVAAALEHHHHHH*</t>
  </si>
  <si>
    <t>ATGACAGTTGAAATTCTGAATACAAAAGGGGATTCCGTGGGTACCGCAGAGATCGAACCCGAGTCAGACGGTGTGGGCGTAGTGTTGAATCTTGAAAACCTGGAGTCTGGTGAACACGGACTGAAATTTCACGATGCCGGTAAGTATGAAACTCCGGGGTTCAATAGCGCCGGAGAGCCGTTCGCTCAGGAGATGCAAACTATTGAAATCGGAGAAGACGGAGTTGCGAAAGATGAATTTATAGTCCAAAACGTTACTCTGAAAAAGGATGCCGAGAACAGTCTGCTGAAAGACGACGGCACAGCACTGATTGTCTATTCTGGCGAAGATGCAGGCGAGTGCATTGCCTGCGGTGTGGTGGCGGCCGCACTCGAGCACCACCACCACCACCACTGA</t>
  </si>
  <si>
    <t>MQINPVNGDKDVGRVEVKESAYGLLFTPKLTNLPHGLHGFHIHEKPSCEPAEKNGKVVAALGSGDHWDPKHTKQHGYPWGDDSHMGDLPALFVNQDGSAQTPVLAPRLPDLADVKGRSLMLHAGGDNYSDHPDPLGGGGGRLACAVMAAALEHHHHHH*</t>
  </si>
  <si>
    <t>ATGCAGATCAACCCCGTAAACGGGGATAAAGACGTGGGTCGGGTTGAAGTGAAGGAGAGCGCCTACGGTTTACTTTTCACGCCGAAACTGACTAACCTGCCGCACGGTCTGCACGGGTTCCACATCCATGAAAAACCGAGTTGTGAACCAGCCGAGAAAAATGGGAAAGTTGTAGCCGCGCTCGGCAGTGGTGATCATTGGGATCCAAAACACACCAAGCAGCATGGTTATCCTTGGGGCGACGATTCCCATATGGGTGACCTGCCGGCTCTGTTTGTAAATCAGGATGGGAGCGCCCAGACGCCTGTGCTGGCACCCCGTCTGCCAGACTTGGCTGACGTCAAAGGCCGAAGCTTGATGTTACACGCAGGAGGTGATAACTATTCTGATCACCCTGATCCACTGGGGGGAGGTGGAGGTAGACTGGCCTGCGCCGTCATGGCGGCCGCACTCGAGCACCACCACCACCACCACTGA</t>
  </si>
  <si>
    <t>MSVPAKQKKAINVAVTGAAGQISNHLLFMLASGDVFGLDQPITLYLLLSERAREALEGVAMELEDSLCPLLREVHISMDPREVFKNSDWALLIGAKPRGPGMERADLLEVNGRIYKEQGLALNEVAARDAKVLVVGNPCNTNALIGLMNAPNLPRKNMHALTRLDENRAKSQLSLKAGKFYTSITNMTIWGNHSTTQVPDFVDATIDGKNAREVIRDDDWLKNDFVPLVANRGGVLIKKWGRSSAASTAVSIADHLHSLVTPTNPGEYFSTAVYTDGNPYGIDEGIVFSMPCKSNGEGDYEIIDGLIMDEWLQEKIHVSETELIQERDAVAHLVPKPAVAAVVEAAALEHHHHHH*</t>
  </si>
  <si>
    <t>ATGTCTGTTCCGGCGAAACAAAAGAAAGCAATCAATGTGGCGGTTACGGGGGCGGCCGGTCAAATCTCCAATCATCTTTTGTTTATGCTGGCGTCAGGGGATGTTTTCGGCTTGGACCAGCCGATTACGCTGTATTTGCTGTTATCTGAACGCGCCCGGGAAGCCTTGGAGGGCGTAGCCATGGAGCTGGAAGACTCTTTGTGTCCCCTGTTACGCGAAGTTCATATCTCCATGGACCCACGCGAAGTATTTAAAAATTCCGATTGGGCTCTGTTAATCGGAGCCAAACCGCGAGGCCCTGGCATGGAAAGAGCAGACCTTCTGGAGGTTAATGGTCGTATTTATAAGGAACAGGGTCTGGCATTGAACGAAGTGGCTGCACGCGACGCCAAAGTCCTGGTTGTTGGCAACCCGTGCAATACGAACGCGTTGATTGGTTTAATGAACGCCCCGAATCTCCCACGGAAAAACATGCATGCACTGACAAGACTCGACGAAAATCGCGCTAAATCTCAACTGAGCTTGAAAGCGGGTAAGTTCTATACATCTATTACCAACATGACTATTTGGGGCAACCATTCGACCACTCAGGTACCAGATTTTGTAGATGCTACCATTGACGGTAAAAATGCTCGTGAAGTTATCCGCGATGATGATTGGCTGAAAAATGATTTCGTGCCTCTGGTCGCGAACAGAGGTGGAGTGCTGATTAAAAAATGGGGTCGTTCTTCAGCCGCATCTACCGCGGTATCGATCGCGGACCACCTGCACAGCCTTGTTACACCTACTAATCCGGGGGAGTATTTTAGTACGGCAGTGTATACTGATGGAAATCCCTATGGGATAGATGAGGGAATCGTATTTAGTATGCCATGTAAATCGAATGGTGAAGGTGATTACGAGATTATCGACGGCCTGATCATGGATGAGTGGTTGCAGGAGAAAATCCATGTGAGCGAAACGGAACTGATTCAAGAACGCGATGCTGTGGCACATTTAGTTCCGAAACCTGCCGTGGCCGCCGTCGTAGAAGCGGCCGCACTCGAGCACCACCACCACCACCACTGA</t>
  </si>
  <si>
    <t>MAVAVVKGQGEVKGSVHFEQEGEKEPIKVTGEITGLKPGLHGFHVHEFGDNTNGCLSAGPHFNPHNQEHGSPYDEIRHAGDLGNVTAGADGVAKINITDKMISLSGPHSIIGRTLVVHADADDLGRGGHELSKTTGNAGGRLACGVIAAALEHHHHHH*</t>
  </si>
  <si>
    <t>ATGGCAGTTGCAGTAGTAAAAGGTCAGGGTGAAGTAAAAGGTAGCGTCCATTTTGAACAGGAGGGTGAGAAGGAGCCTATAAAAGTAACAGGTGAAATTACCGGACTGAAACCCGGTCTGCATGGATTTCATGTGCATGAGTTTGGTGATAATACGAATGGTTGCTTGTCCGCGGGGCCGCATTTTAACCCGCACAATCAGGAGCACGGATCACCCTATGACGAGATTCGGCACGCGGGTGATTTAGGGAACGTTACGGCTGGCGCAGATGGCGTGGCTAAAATCAACATAACCGATAAGATGATTTCTCTGAGTGGTCCTCATAGCATAATCGGTCGTACACTGGTTGTCCACGCGGACGCGGATGACTTAGGCCGAGGGGGCCATGAATTATCCAAAACTACGGGTAATGCGGGGGGTAGACTTGCTTGCGGGGTTATTGCGGCCGCACTCGAGCACCACCACCACCACCACTGA</t>
  </si>
  <si>
    <t>MKYIRGMTAAPPLSGLVKFFDTPYGGVLIEVEIFGLPNITTPGSTDFYACHIHEFGDCEEPFDKTGEHYNPTNCPHPDHAGDMVPLLGNQGYAWTAFRDKRFSIWEIMGKSVVIHSWRDDFTTQPSGNNSGKIACGTIAAALEHHHHHH*</t>
  </si>
  <si>
    <t>ATGAAGTATATACGAGGTATGACAGCAGCACCCCCGCTGTCTGGACTGGTAAAATTTTTTGATACGCCCTATGGTGGTGTGTTAATCGAAGTAGAAATTTTTGGGCTGCCTAATATTACAACTCCGGGAAGTACAGATTTTTATGCATGTCATATTCACGAGTTTGGGGACTGCGAAGAACCTTTCGACAAAACGGGCGAGCACTATAATCCGACCAACTGTCCGCATCCGGATCACGCAGGCGATATGGTTCCTCTGTTGGGTAACCAAGGCTACGCGTGGACTGCGTTCAGAGACAAACGTTTTTCCATATGGGAAATTATGGGCAAATCAGTTGTTATTCATTCATGGCGAGATGATTTCACGACCCAGCCTTCAGGCAATAATTCAGGTAAAATAGCCTGTGGAACAATTGCGGCCGCACTCGAGCACCACCACCACCACCACTGA</t>
  </si>
  <si>
    <t>MATKAVCVLKGDGPVQGTIYFEQKCSGLPVVVSTFTTGLEEGEHFHVHQFGDNTQGCTSTGPHFNPLHKKHGGPENEERHVGDLGNVTAGKNGVANVSYEDSVVSLSGDHSIVGRTLVVHEKEDDLGRGGNEESKKTGNAGSRLACGVIGIAAAAALEHHHHHH*</t>
  </si>
  <si>
    <t>ATGGCGACGAAAGCTGTTTGTGTACTGAAAGGGGACGGTCCGGTACAGGGCACCATTTATTTCGAACAAAAATGCAGCGGCCTGCCCGTGGTCGTTAGTACCTTTACGACAGGGCTTGAAGAAGGTGAGCATTTTCACGTTCACCAATTTGGTGACAACACACAAGGATGCACAAGTACGGGCCCTCACTTTAATCCACTGCATAAAAAACATGGCGGCCCCGAGAACGAAGAGCGCCATGTCGGAGATTTGGGCAATGTGACGGCGGGAAAGAATGGAGTAGCCAATGTTTCCTATGAAGATAGTGTGGTTTCTCTGAGCGGTGACCATTCTATTGTTGGTCGCACCCTTGTCGTCCATGAAAAAGAGGACGACTTAGGGCGTGGTGGTAATGAGGAGTCAAAGAAGACCGGAAACGCTGGGTCTCGTCTGGCCTGCGGCGTGATTGGGATTGCCGCTGCGGCCGCACTCGAGCACCACCACCACCACCACTGA</t>
  </si>
  <si>
    <t>MASAVCVLLGENVKGVLFFTQRGEVLNIHGEVKGLTPGDHGFHVHEFGDYTNGCMSAGPHFNPTKVEHGGPQDEVRHVGDLGNIVANASGVAHVDIKDCLISLTGPNGIIGRTAVVHADEDDLGKGGHELSKTTGNAGARLACGNVGIGKAAALEHHHHHH*</t>
  </si>
  <si>
    <t>ATGGCTTCCGCTGTGTGTGTACTCTTAGGAGAGAATGTCAAAGGCGTATTGTTTTTTACACAGCGTGGAGAAGTTCTGAATATCCATGGTGAGGTCAAAGGTCTTACGCCAGGTGATCATGGGTTTCACGTTCACGAATTCGGTGACTATACGAATGGTTGCATGAGTGCAGGTCCACACTTTAATCCCACCAAAGTGGAACACGGGGGGCCACAGGATGAAGTGAGACATGTGGGTGATCTGGGGAATATTGTCGCCAACGCTTCGGGTGTGGCACATGTCGATATCAAAGATTGTTTAATTAGCCTGACCGGTCCGAATGGCATTATTGGACGTACTGCTGTCGTACACGCTGACGAAGATGACTTAGGAAAGGGTGGCCATGAACTGTCTAAAACAACGGGGAACGCAGGTGCCAGACTTGCGTGTGGAAATGTAGGCATAGGAAAAGCGGCCGCACTCGAGCACCACCACCACCACCACTGA</t>
  </si>
  <si>
    <t>MRSKITIVGAGNVGATLAQRLAERGYADVVLVDIIEGLPQGKGLDMLESGPVVGYDSSVIGTNDYEDTANSDIVIITSGVPRKPGMSRDDLVKTNMKIVKEVTEQVVKHSPNCILIVVTNPLDAMAQLALRVSKFPKNRVLGMAGILDTARFRTFIAMELNVSVEDVSTFVLGGHGDTMVPVPRCTTVAGVPVTELLPKDKIDALVKRTRKGGGEIVSLLKTGSAFYAPAAAVVEMVDAIFNDKKKILPCSTYLEGEYGINGLFVGVPVKLGASGIEEIIELELTPEERAALQKSADAVRKLVDAMKVAAALEHHHHHH*</t>
  </si>
  <si>
    <t>ATGCGCAGCAAAATCACCATTGTTGGTGCAGGTAATGTTGGTGCGACCCTGGCACAGCGTCTGGCAGAACGTGGTTATGCAGATGTTGTTCTGGTGGATATCATTGAAGGTCTGCCGCAAGGTAAAGGTCTGGATATGCTGGAAAGCGGTCCGGTTGTTGGTTATGATAGCAGCGTTATTGGCACCAACGATTATGAAGATACCGCCAATAGCGATATTGTGATTATTACCAGCGGTGTTCCGCGTAAACCGGGTATGAGCCGTGATGATCTGGTTAAAACCAACATGAAAATCGTGAAAGAAGTGACCGAACAGGTTGTTAAACATAGCCCGAATTGCATTCTGATTGTTGTTACCAATCCGCTGGATGCAATGGCACAGCTGGCACTGCGTGTTAGCAAATTTCCGAAAAATCGTGTTTTAGGCATGGCAGGTATTCTGGATACCGCACGTTTTCGTACCTTTATTGCAATGGAACTGAATGTGAGCGTTGAAGATGTTAGCACCTTTGTTTTAGGTGGTCATGGTGATACCATGGTTCCGGTTCCGCGTTGTACCACCGTTGCGGGTGTTCCGGTTACCGAACTGCTGCCGAAAGACAAAATTGATGCACTGGTTAAACGTACCCGTAAAGGTGGTGGTGAAATTGTTAGCCTGCTGAAAACCGGTAGCGCATTTTATGCACCGGCAGCAGCAGTTGTTGAAATGGTTGATGCCATTTTCAACGACAAAAAGAAAATTCTGCCGTGCAGCACCTATCTGGAAGGTGAATATGGTATTAATGGTCTGTTTGTTGGTGTGCCGGTTAAACTGGGTGCAAGCGGTATTGAAGAAATTATCGAACTGGAACTGACACCGGAAGAACGTGCAGCCCTGCAGAAAAGCGCAGATGCAGTTCGTAAACTGGTGGATGCCATGAAAGTTGCGGCCGCACTCGAGCACCACCACCACCACCACTGA</t>
  </si>
  <si>
    <t>MSKSGKVTVVGAGKHGSTTALRLAEYDIFETVVLTDIVEGKPEGIALDINQSRSIEGFETKVIGATTTAEGGGYEKTANSDVVLITAGLPRKPGMSRMDLIGVNAGIVRGVARQIAKHSPNAVVIVVSNPLDEMTALAQIAAKFPWNKVMYQAGMLDTARFTNFVAEKWQIPVSAVKTLELGSHGETMVPVPSRCLVDGKPLSEKVSQDKIAELDERTRNGGAEVVALAKYGSAYYAPSAAKARMARIVVEDSGAVMPVCAYVLEEYGIWVVYLGVEAEIARTGCKKVVENALTMFEISHEKVAAEAVRCKQADVKNLAAALEHHHHHH*</t>
  </si>
  <si>
    <t>ATGTCTAAATCCGGTAAGGTTACCGTGGTTGGGGCCGGGAAACACGGCAGTACCACAGCACTGCGGCTCGCCGAATATGATATCTTTGAAACAGTCGTGTTAACAGATATTGTGGAAGGTAAACCAGAAGGGATTGCTCTTGACATCAATCAGTCACGGTCTATCGAAGGTTTCGAGACCAAAGTAATCGGCGCGACCACCACGGCCGAAGGGGGTGGCTATGAAAAAACCGCAAATAGCGACGTGGTCCTGATAACGGCTGGTCTGCCGCGCAAACCAGGTATGTCACGCATGGATCTGATCGGCGTTAATGCAGGCATCGTTCGTGGTGTTGCGCGTCAGATCGCCAAACATTCACCCAATGCGGTGGTTATTGTGGTAAGTAATCCTCTTGACGAAATGACGGCTCTGGCACAAATAGCGGCCAAGTTTCCGTGGAATAAAGTGATGTATCAGGCAGGCATGCTGGATACCGCCCGCTTTACGAATTTCGTCGCTGAGAAATGGCAAATTCCGGTATCTGCTGTCAAAACCCTGGAACTTGGTAGCCATGGAGAAACGATGGTGCCCGTCCCTTCCCGATGCCTGGTGGACGGGAAACCTTTGTCAGAGAAAGTCTCTCAGGATAAGATTGCCGAACTGGATGAGCGCACCCGGAATGGGGGTGCCGAAGTGGTTGCGCTGGCGAAGTATGGGTCTGCGTACTATGCCCCGTCTGCCGCAAAAGCGAGAATGGCCCGGATCGTGGTAGAGGACAGTGGTGCGGTAATGCCGGTTTGTGCATATGTCCTCGAAGAATACGGAATATGGGTTGTATATTTAGGCGTCGAAGCCGAGATTGCGCGGACCGGCTGCAAAAAAGTCGTTGAAAACGCACTGACTATGTTTGAAATTTCTCATGAAAAAGTAGCCGCCGAAGCAGTGCGCTGCAAACAAGCCGACGTGAAAAACCTGGCGGCCGCACTCGAGCACCACCACCACCACCACTGA</t>
  </si>
  <si>
    <t>MVNIINTKGEEVGTAVLKQSSQGVYIHIEVKNLPPGVHGIHIHEVGKCETPDFTSAGAHLNPDGKKHGFNNPKGFHAGDLMNINVGKDGKAKAELTSKTVTLKKGKSNSLLKPGGTSIVIHEKPDDYMTDPSGNSGNRIACGVIAAALEHHHHHH*</t>
  </si>
  <si>
    <t>ATGGTTAATATAATTAACACTAAAGGCGAGGAAGTTGGAACGGCTGTACTGAAGCAGAGCTCTCAAGGTGTCTACATCCATATTGAGGTTAAGAACTTGCCTCCGGGCGTTCACGGTATCCACATTCACGAAGTTGGGAAATGTGAAACGCCTGATTTTACTTCTGCTGGGGCCCATCTGAATCCTGACGGAAAAAAACATGGTTTTAATAACCCTAAGGGATTCCACGCAGGAGATTTAATGAATATCAACGTTGGAAAGGATGGTAAAGCTAAAGCCGAGTTGACATCAAAAACTGTTACGTTAAAAAAAGGAAAGTCGAATTCGCTGCTTAAACCGGGTGGTACTTCTATTGTTATTCATGAAAAACCGGATGACTACATGACCGACCCGTCCGGGAACAGCGGAAACCGCATAGCCTGTGGCGTAATAGCGGCCGCACTCGAGCACCACCACCACCACCACTGA</t>
  </si>
  <si>
    <t>MHEVSAQGVDKKIGTVEFRDSAQGLVISLDLESLPPGYHGFHIHEKGSCDPAEKDGKVGAALDKGGHYNPNQVPEHGTPLDGHLGDLPVLNVEMYGTAQLKLIAPRLKLEDIEGLAIMIHAGGDNYSDEPKILGGGGDRAAGGIWAAALEHHHHHH*</t>
  </si>
  <si>
    <t>ATGCATGAGGTGAGTGCCCAAGGCGTTGATAAAAAAATTGGTACAGTTGAATTTAGAGATTCTGCACAAGGTTTAGTCATTTCTCTGGATCTGGAAAGTCTGCCTCCAGGTTATCACGGTTTTCATATCCATGAAAAAGGCTCTTGCGATCCAGCGGAAAAGGATGGTAAAGTTGGTGCGGCATTAGATAAAGGGGGTCACTACAATCCGAACCAGGTTCCAGAACATGGGACGCCACTCGATGGGCATCTTGGAGATCTTCCGGTGCTGAACGTTGAGATGTATGGAACGGCCCAGCTTAAACTCATTGCCCCTCGACTGAAGCTTGAAGATATCGAAGGGTTAGCGATCATGATCCATGCCGGCGGCGATAATTATAGCGATGAACCCAAAATCCTGGGAGGTGGTGGCGACAGAGCGGCTGGCGGCATTTGGGCGGCCGCACTCGAGCACCACCACCACCACCACTGA</t>
  </si>
  <si>
    <t>MTRPKITLIGGGQIGGNLALLAAQKELGDILIFDIPQAAGMVKGKALDLMQLRPHDGYDSDIAGTSNWDDMKDSDVFIITAGIPRKPGMNREDLLGINLDIITDVVPNIKKFAPNSFVIVVSNPLDAMVYAFHKVSGFAKNQVVGMAGALDSARFRHQLAMETGFSVQDVHCMVLGGHGDTMVPISRLATIGGVPVNSLIKPNRLKEIEDRTRVAGGEIIKLFGNGSAFYAPAQSAIEMAESFIRDKKRVIPCASLAEGEFGIYGYFKGVPTVIGSKGVEKILSFSLSNEEKDESNDTLDAVEQTVAENRLAAALEHHHHHH*</t>
  </si>
  <si>
    <t>ATGACAAGACCTAAAATTACACTGATAGGCGGTGGTCAGATCGGTGGTAACCTGGCGTTATTAGCAGCACAGAAAGAGTTAGGTGATATCTTGATCTTTGATATCCCGCAGGCCGCCGGTATGGTAAAAGGTAAAGCCTTGGATCTGATGCAATTACGGCCGCACGATGGATACGATTCTGATATAGCAGGCACTTCCAATTGGGATGATATGAAAGATAGCGATGTATTTATCATAACTGCGGGTATTCCACGTAAGCCGGGGATGAATAGAGAGGATCTCTTGGGCATCAACCTGGATATTATTACCGATGTTGTGCCTAATATCAAGAAATTTGCGCCAAATTCTTTTGTTATAGTGGTAAGTAATCCGTTGGACGCCATGGTCTACGCTTTTCATAAAGTTTCCGGCTTTGCAAAAAACCAGGTAGTGGGCATGGCGGGAGCGCTGGATTCAGCCCGTTTTCGGCACCAGCTGGCCATGGAGACGGGATTTTCTGTTCAGGATGTACATTGTATGGTACTGGGTGGTCACGGGGATACCATGGTCCCGATCAGTCGCCTTGCCACCATCGGAGGTGTACCAGTAAACTCGCTCATAAAACCAAACCGGTTAAAAGAGATTGAAGACCGCACACGTGTTGCAGGCGGAGAAATAATTAAACTGTTCGGCAATGGCTCTGCTTTCTATGCGCCTGCTCAGAGCGCTATTGAGATGGCGGAATCCTTTATCCGCGATAAAAAACGTGTTATTCCGTGCGCTTCCTTGGCCGAAGGTGAATTCGGTATCTACGGTTATTTTAAAGGTGTGCCCACAGTTATAGGTTCAAAAGGTGTAGAAAAAATCTTATCCTTCTCCCTTTCAAATGAGGAGAAAGATGAATCTAATGACACCCTGGACGCTGTGGAACAAACGGTAGCCGAGAACCGTTTAGCGGCCGCACTCGAGCACCACCACCACCACCACTGA</t>
  </si>
  <si>
    <t>MATKAVCVLVGQKARGTVYFEQAGESTATCITGEISGLPKGLHGLHVHEFGDNNNGCLSAGHFFNPEKKLHGAPTDNRRLVGDLGNVTADDNGLAKINIVDHQVSLTGPHSVIGRTHHIHENADDLGRGGHQQSKSTGNAGTRAACGIICVIGGTTKHRLAAALEHHHHHH*</t>
  </si>
  <si>
    <t>ATGGCAACAAAAGCAGTCTGTGTTTTAGTAGGCCAAAAGGCACGGGGAACGGTTTATTTTGAGCAGGCAGGTGAATCCACTGCGACCTGCATTACAGGCGAGATAAGCGGCCTGCCTAAAGGCCTGCACGGTCTTCATGTTCATGAATTTGGGGATAATAATAATGGATGCCTGTCAGCTGGCCACTTCTTTAACCCAGAAAAAAAATTGCATGGTGCGCCTACCGATAATCGCCGGTTAGTGGGAGATTTAGGTAACGTGACGGCCGATGATAACGGGCTGGCTAAAATTAATATCGTGGATCATCAAGTCTCCCTTACGGGGCCGCACAGCGTGATTGGTCGGACACACCATATCCATGAGAACGCCGATGATCTTGGTCGTGGCGGCCATCAGCAGTCTAAAAGCACAGGTAACGCAGGAACACGTGCTGCGTGTGGGATAATCTGCGTTATTGGCGGAACAACTAAACACCGTCTCGCGGCCGCACTCGAGCACCACCACCACCACCACTGA</t>
  </si>
  <si>
    <t>MMTYTSSSGTLKAVALIYGDNNVRGSVQFLQDSNGITRVKGRITGLTPGLHGFHIHALGDTTNGCNSTGPHFNPLNKDHGAPSDEERHAGDLGNIVAGPDGVSEISISDRQIPLSGQRSILGRAVVVHADPDDLGRGGHELSKTTGNAGARVGCGIIGLQSSVAAALEHHHHHH*</t>
  </si>
  <si>
    <t>ATGATGACTTATACTAGCAGCAGCGGAACCCTGAAAGCTGTAGCATTGATTTATGGCGATAATAATGTTAGAGGCAGTGTGCAATTCCTCCAGGATTCTAACGGAATTACGCGAGTTAAAGGGAGAATCACTGGCCTCACCCCGGGACTGCATGGATTCCATATCCATGCGCTGGGCGACACCACCAACGGCTGTAACTCAACCGGTCCACACTTTAATCCGCTTAACAAAGACCACGGGGCCCCGTCGGATGAAGAACGGCACGCTGGTGACTTGGGAAACATCGTGGCCGGTCCTGATGGAGTTAGCGAAATATCCATTAGCGATCGGCAGATTCCGCTTAGTGGACAGCGCAGTATACTGGGCCGTGCCGTTGTGGTCCATGCGGATCCTGACGACTTAGGGCGCGGTGGGCATGAACTGTCCAAGACCACAGGCAATGCCGGTGCGCGTGTGGGTTGTGGTATTATTGGCCTGCAATCTAGCGTGGCGGCCGCACTCGAGCACCACCACCACCACCACTGA</t>
  </si>
  <si>
    <t>MNKKPIRVAVTGAAGQIGYSLLFRIASGSMFGPEQPVILHLIEIEPALPALNGVVMELEDCAFPLLKGIVATSNLDEGFDGVNWALLVGSVPRKQGMERKDLLGINGKIFIGQGQAIEKNAASDVRILVVGNPCNTNCLIAMNNARQIPKDRWFAMTRLDENRAKTQLAKKASVDVSAVSNLAVWGNHSSTQYPDWYNAKIQSRPATAVINDEKWLKGEFLPSVQKRGAAVIKARGASSAASAANAIVDTVKSIINPTPSSDWHSVALCSDGEYGIEKGLISSFPVRKNGKKVEIVQGLDINEFSRAKIDATINELKEEKSLVGELLGQAAALEHHHHHH*</t>
  </si>
  <si>
    <t>ATGAATAAAAAACCGATTCGTGTGGCCGTGACTGGTGCCGCCGGGCAAATTGGATATTCGCTTCTCTTTCGCATCGCGTCTGGGTCGATGTTCGGGCCTGAACAGCCGGTTATCCTGCATCTCATCGAGATAGAGCCAGCTTTGCCCGCCCTGAACGGTGTTGTGATGGAATTAGAAGACTGCGCCTTCCCTCTCTTAAAGGGAATAGTAGCCACCTCCAACTTGGATGAAGGTTTTGACGGAGTCAATTGGGCATTGCTTGTGGGCAGCGTACCTCGCAAACAAGGGATGGAACGAAAAGACCTGCTGGGTATCAACGGTAAAATTTTCATAGGGCAAGGTCAGGCGATTGAAAAGAACGCTGCCAGCGATGTACGTATCTTGGTCGTTGGCAATCCTTGTAATACGAATTGCTTAATTGCCATGAATAACGCTCGTCAGATTCCCAAAGATCGCTGGTTTGCTATGACCCGCCTCGACGAGAATCGTGCGAAAACACAGCTCGCTAAAAAGGCATCGGTCGATGTATCAGCAGTTAGTAACTTGGCTGTATGGGGTAATCACAGTTCGACACAGTACCCGGATTGGTATAACGCAAAAATCCAGTCCCGTCCGGCCACGGCCGTTATAAATGATGAAAAATGGCTTAAAGGAGAATTTTTGCCGTCGGTTCAGAAGCGTGGCGCGGCAGTTATCAAAGCTCGGGGTGCATCGTCGGCAGCAAGTGCAGCAAATGCCATTGTCGATACCGTAAAATCAATTATTAATCCTACCCCGAGCTCCGACTGGCATAGCGTTGCACTTTGCTCCGATGGTGAATACGGGATTGAAAAGGGCTTGATTTCTAGTTTCCCTGTTAGAAAAAACGGAAAAAAGGTCGAAATTGTTCAGGGTCTGGATATTAACGAATTTTCGCGCGCAAAAATTGATGCGACAATTAACGAATTGAAGGAAGAAAAATCTCTGGTCGGCGAACTGCTGGGGCAGGCGGCCGCACTCGAGCACCACCACCACCACCACTGA</t>
  </si>
  <si>
    <t>MAVAVLKGDGDVKGTVHLEQEGESSPVRVTGEITGLAPGNHGFHVHEFGDNTNGCTSAGAHFNPEAKQHGAPDDAVRHAGDLGNVVAGADGVATVEITDKLISLTGPHSIIGRTVVVHADADDLGKGGHELSKTTGNAGGRLACGVIAAALEHHHHHH*</t>
  </si>
  <si>
    <t>ATGGCAGTGGCGGTACTGAAGGGGGATGGCGATGTTAAAGGTACCGTGCACTTGGAACAGGAGGGCGAATCAAGTCCTGTACGTGTAACCGGAGAAATAACCGGTCTCGCTCCGGGCAACCATGGATTCCACGTTCATGAGTTCGGCGATAACACTAACGGTTGCACCTCAGCCGGAGCGCACTTTAATCCGGAGGCTAAACAGCATGGAGCACCCGATGATGCTGTCCGCCACGCTGGGGATCTGGGTAACGTTGTAGCTGGCGCGGACGGCGTAGCCACAGTCGAAATCACAGATAAGCTTATCTCTCTGACTGGTCCCCACTCTATCATCGGTCGCACCGTGGTAGTTCATGCCGATGCGGACGACTTGGGCAAAGGCGGTCACGAACTGTCCAAAACGACTGGCAATGCCGGTGGCCGTCTCGCATGCGGTGTCATTGCGGCCGCACTCGAGCACCACCACCACCACCACTGA</t>
  </si>
  <si>
    <t>MNITDIQGEGAPVGTVIVEDSCYGVTFKPQLAGLPPGLHGFHVHENASCAPKEQDGKMVAALAAGDHYDPANTKRHGTPWGNGHLGDLPALFVGANGTANNPVLAPRLKVADLKERSLMIHAGGDNHSDPPCPLGGGGARYACGVAAAALEHHHHHH*</t>
  </si>
  <si>
    <t>ATGAACATAACCGATATACAAGGCGAGGGCGCGCCGGTAGGGACGGTGATAGTAGAAGACAGCTGTTACGGTGTGACATTTAAACCCCAACTGGCTGGGCTTCCCCCGGGCCTTCATGGTTTCCATGTGCATGAAAACGCCTCCTGTGCCCCTAAAGAACAGGATGGTAAAATGGTGGCTGCACTTGCTGCAGGGGATCACTATGACCCTGCCAATACAAAACGTCACGGTACCCCTTGGGGCAATGGCCACTTAGGAGATCTGCCAGCGCTGTTTGTCGGGGCGAATGGTACAGCAAACAACCCTGTCTTGGCCCCACGTCTCAAGGTTGCTGATCTGAAAGAACGGTCACTCATGATACATGCCGGTGGTGATAACCATTCGGATCCTCCATGTCCTCTGGGAGGCGGCGGAGCTCGTTATGCCTGCGGAGTGGCGGCGGCCGCACTCGAGCACCACCACCACCACCACTGA</t>
  </si>
  <si>
    <t>MGIHSTSAYSASKVAVLGAAGGIGQPLSLLLKLNPKVSDLSIYDILNTPGVAADLSHINTKSTVHGYKGEDQLGEAIKDSQVIVIPAGIPRKPGMTRNDLFKTNAGIVDDLAKAAATHAPNTILYIISNPVNSTVPIVAEVMKKAGVYDPVRLFGVTDLDVVRASLFVGSIAKVNPVKVKVWVGGNHSTMTIVMLFSQTGIKFTENEVDKLTYRIQFGGDEVVKAKDGTGSATLSMAYAGARFADSLIKALMGETGIVEWASVESPVWADKGIEYFASNVELGTCGIRKVPPIGKISEEEKELMDSFVPDLKANIEKGVAYVAAALEHHHHHH*</t>
  </si>
  <si>
    <t>ATGGGTATTCATAGCACTAGTGCTTATAGTGCGAGTAAAGTAGCGGTACTGGGGGCCGCGGGGGGTATTGGCCAGCCGCTCTCGTTACTGCTGAAGTTGAACCCCAAAGTGAGCGATCTTTCGATTTATGATATCTTAAACACCCCGGGTGTTGCGGCTGACCTTAGTCACATAAATACGAAGTCTACGGTTCACGGTTATAAGGGGGAGGATCAGCTGGGCGAGGCAATTAAAGACTCACAGGTTATTGTGATACCGGCAGGCATCCCGCGCAAACCGGGTATGACGCGTAATGATTTGTTTAAGACAAACGCTGGCATTGTAGATGATCTGGCAAAAGCCGCCGCCACGCACGCGCCGAACACCATTCTGTATATTATTAGTAATCCTGTGAATAGTACAGTCCCGATTGTGGCCGAAGTTATGAAAAAAGCAGGTGTGTATGACCCGGTTCGCTTATTTGGTGTCACAGATTTAGATGTAGTGCGGGCCTCATTGTTTGTAGGTAGTATCGCCAAAGTTAATCCGGTCAAAGTCAAAGTGTGGGTGGGTGGTAACCATAGCACCATGACTATTGTCATGCTTTTCTCTCAGACCGGTATCAAATTCACAGAAAACGAAGTGGACAAGCTGACGTATCGGATACAGTTTGGCGGAGATGAAGTGGTTAAAGCAAAAGATGGAACCGGTTCTGCTACTCTGAGTATGGCATATGCCGGAGCTCGCTTCGCGGATTCGCTCATCAAAGCTCTGATGGGGGAAACAGGCATCGTTGAATGGGCTTCAGTTGAATCCCCGGTGTGGGCTGATAAGGGCATCGAATATTTTGCGAGTAATGTGGAGTTAGGTACGTGTGGCATCAGAAAAGTGCCTCCGATTGGTAAGATCTCCGAGGAAGAAAAAGAACTGATGGACTCTTTTGTACCGGATCTGAAGGCCAACATCGAAAAAGGTGTCGCGTATGTAGCGGCCGCACTCGAGCACCACCACCACCACCACTGA</t>
  </si>
  <si>
    <t>MSNCAVAVLRGDVVNGIIYFKQNKEGDPTKLTGEITGLTPGLHGFHIHQYGDTTNGCISAGPHFNPYNKTHGGPTDENRHVGDLGNIEADADGKAKIDITDKLITLYGPNSIIGRSLVVHADVDDLGKGVGDKKDESLKTGNAGARLACGIVGLAAPSAAALEHHHHHH*</t>
  </si>
  <si>
    <t>ATGTCAAACTGTGCGGTTGCAGTTCTGCGCGGCGATGTCGTGAATGGGATTATCTACTTTAAACAGAATAAGGAGGGTGATCCCACCAAACTGACCGGCGAGATAACCGGGCTTACCCCGGGACTGCATGGTTTTCACATTCATCAGTATGGTGATACTACCAATGGATGCATTTCTGCGGGCCCGCATTTTAATCCGTATAATAAAACTCATGGTGGGCCCACCGATGAAAACCGCCATGTAGGAGACCTGGGTAACATTGAGGCCGATGCAGACGGTAAAGCGAAGATCGATATTACAGATAAACTGATTACGTTGTACGGACCGAATTCCATCATTGGTCGTTCCCTGGTAGTGCATGCGGATGTGGATGATCTGGGTAAAGGCGTCGGTGACAAGAAAGATGAGTCATTAAAAACTGGCAACGCAGGCGCAAGACTGGCATGTGGAATAGTCGGTCTGGCAGCCCCGAGTGCGGCCGCACTCGAGCACCACCACCACCACCACTGA</t>
  </si>
  <si>
    <t>MARPKIALIGSGQIGGTLAHLAAMKELGDVVLFDIAEGTPQGKALDIAESGPYEGFDAAMKGTTDYADIAGADVWIVTAGVARKPGMSRDDLLGINLKVMKSVGEGIAANAPDAFVICITNPLDAMVWALRQFSGLPHWKVYGMAGVLDSARFRHFLAEEFDVSLRDVTAFVLGGHGDTMVPLARYSTVAGIPLPDLVEMGWTTQDKLDQIIQRTRDGGAEIVGLLKTGSAFYAPAASAIEMAEAYLKDQKRVLPCAAYVDGAYGVKDMYVGVPTIIGAGGIERVVEIKLNKDEQEMFDTSVDAVKGLLEACKGIDGSLAAAALEHHHHHH*</t>
  </si>
  <si>
    <t>ATGGCCCGTCCTAAAATTGCCTTAATCGGCTCTGGTCAGATTGGCGGTACGTTGGCCCATCTGGCTGCCATGAAGGAATTAGGTGACGTGGTGTTATTTGACATTGCAGAAGGCACACCACAAGGAAAGGCATTAGATATCGCTGAATCTGGTCCTTATGAAGGGTTCGATGCTGCTATGAAAGGGACCACCGACTATGCAGACATTGCCGGCGCCGATGTTTGGATTGTAACCGCTGGTGTCGCCCGCAAACCAGGCATGTCTCGCGATGATCTGCTTGGAATAAATTTGAAAGTTATGAAGAGTGTAGGTGAAGGCATTGCAGCGAATGCGCCCGATGCATTCGTTATATGTATTACCAATCCATTAGATGCTATGGTGTGGGCATTACGGCAGTTCTCAGGCCTGCCGCACTGGAAGGTTTATGGTATGGCGGGTGTGCTGGATAGCGCACGATTTCGACATTTTCTGGCGGAGGAATTCGATGTAAGTTTACGTGATGTGACGGCTTTCGTGCTCGGGGGACATGGTGATACCATGGTCCCGTTGGCGCGATATTCAACTGTCGCCGGCATTCCTTTACCTGATTTGGTAGAAATGGGCTGGACTACTCAGGACAAACTGGATCAAATTATACAACGCACACGGGACGGTGGTGCCGAAATTGTAGGACTTCTCAAGACAGGTAGTGCGTTCTATGCGCCGGCCGCGTCAGCGATTGAGATGGCGGAGGCGTACCTGAAAGACCAGAAGCGCGTTCTCCCTTGCGCTGCGTATGTTGATGGTGCGTATGGTGTAAAAGACATGTATGTGGGAGTACCGACAATTATTGGTGCTGGCGGTATTGAGCGTGTAGTTGAGATCAAGTTAAACAAAGATGAACAGGAAATGTTTGATACTTCGGTGGACGCTGTGAAAGGCTTGCTGGAAGCATGCAAAGGCATAGATGGCTCGCTGGCCGCGGCCGCACTCGAGCACCACCACCACCACCACTGA</t>
  </si>
  <si>
    <t>MSATPIRVAVTGAAGQIGYSLLFRIASGQMLGADQPIILRMIEIEPALAALNGVVMELDDCAFPLLKDMVATSNPNEAFDGVNWALLVGSVPRKQGMERKDLLGINGKIFTGQGRAIEKNAASDVRVLVVGNPCNTNCLIAMNNARDIPNDRFTAMTRLDENRAKHQVAKKASVDTSEVTNLAVWGNHSATQFPDYVHARIGGRSVTAVINDHTWLEGEFITTVQQRGAAIIKARGASSAASAANAIIDTVKSIVTPTAGDWHSVWVCSDGEYGIEEGLMFGYPIRCDGQKYEIVQGVPINAFSRAKIEATINELKEEKSLVAQLLPLAAALEHHHHHH*</t>
  </si>
  <si>
    <t>ATGTCTGCGACCCCGATTCGCGTGGCTGTTACGGGCGCGGCCGGTCAGATTGGTTACAGCTTGCTGTTCCGTATAGCTTCCGGACAGATGTTAGGGGCTGATCAGCCGATTATTCTGCGCATGATCGAAATAGAGCCCGCATTAGCCGCCTTAAATGGCGTTGTAATGGAACTGGATGACTGTGCTTTCCCTTTGCTTAAAGATATGGTGGCGACATCCAACCCAAATGAAGCTTTTGATGGCGTTAATTGGGCCCTGTTGGTCGGATCAGTCCCGCGCAAACAAGGAATGGAACGTAAAGACTTGCTGGGTATTAATGGTAAAATCTTTACGGGTCAGGGTCGTGCGATAGAAAAAAATGCGGCATCAGATGTTCGCGTTCTGGTAGTCGGTAATCCATGCAACACGAATTGCTTGATTGCGATGAATAATGCCCGAGATATTCCTAACGATAGATTTACTGCCATGACACGCTTGGATGAGAATCGGGCCAAACATCAAGTAGCTAAAAAGGCTAGTGTTGACACGAGCGAAGTGACTAACCTCGCTGTCTGGGGTAACCATAGTGCTACACAGTTTCCCGACTATGTGCATGCCAGAATCGGTGGTCGTTCAGTGACTGCCGTTATTAATGACCACACCTGGCTTGAGGGCGAGTTTATCACCACGGTGCAGCAGCGAGGCGCAGCGATTATTAAAGCACGCGGCGCCAGTAGTGCCGCGTCTGCCGCAAATGCGATAATTGATACAGTCAAAAGCATTGTAACACCGACCGCTGGCGATTGGCACTCCGTTTGGGTATGCTCTGATGGTGAGTATGGCATCGAAGAAGGCCTGATGTTTGGTTATCCTATTAGATGCGATGGTCAGAAATATGAAATTGTACAGGGAGTTCCTATAAATGCCTTCAGCCGGGCCAAAATTGAGGCTACAATTAATGAGTTGAAAGAGGAAAAAAGCCTGGTGGCCCAACTTCTGCCGTTAGCGGCCGCACTCGAGCACCACCACCACCACCACTGA</t>
  </si>
  <si>
    <t>MVVAVVAGSSGGIGQPLSLLLKSDPYIDELALYDVVSTPGVATDVHHWSSIAIVTGYLPTDDGMKKALTGADIVVIPAGIPRKPGMTRDDLFKINAGIVRGLIEGVADYWPKAFVLIISNPVNSTVPIAAEVLKRAGVHNPRRLFGVTTLDVVRAETFVAEITGPKNPSKLTIPVVGGHSGETIVPLVSQATPAVSIPADKLDALVNRVQFGGDEVVKAKDGAGSATLSMAYAGFRFAEKVIRAAKGDSGIVEPSQVYLPGVPGGEEISKATGVDCFSVPVELGPDGAEKAIDVVAWANEFEKELLQAYYNGLKGNIEKGIEFVLNPPQQAAALEHHHHHH*</t>
  </si>
  <si>
    <t>ATGGTCGTTGCGGTGGTGGCCGGGTCGTCCGGGGGGATAGGTCAGCCTCTCTCATTGTTGTTGAAAAGCGATCCGTATATTGATGAACTGGCACTGTATGATGTCGTTTCGACGCCTGGTGTTGCGACTGACGTTCACCACTGGTCTTCCATAGCCATTGTGACGGGTTATTTGCCAACCGACGATGGTATGAAGAAAGCTTTGACCGGTGCCGATATAGTCGTTATTCCTGCCGGAATTCCACGGAAACCGGGCATGACGCGGGACGATTTGTTTAAAATTAACGCCGGGATCGTACGTGGACTGATCGAAGGTGTGGCAGATTATTGGCCAAAAGCTTTTGTTCTGATCATTTCGAATCCAGTGAATAGCACTGTACCCATAGCCGCGGAAGTGCTGAAGCGCGCGGGCGTTCATAACCCAAGACGCCTGTTTGGAGTCACGACACTGGATGTTGTGCGCGCCGAGACTTTTGTGGCCGAAATAACTGGGCCGAAAAACCCCAGCAAATTAACCATTCCAGTTGTCGGTGGCCATAGCGGCGAAACTATTGTTCCCTTAGTTAGCCAGGCCACTCCGGCAGTTTCAATTCCGGCGGATAAACTGGATGCCTTGGTAAACCGCGTTCAATTTGGCGGAGATGAGGTAGTGAAGGCAAAAGACGGTGCAGGCTCGGCAACTCTGAGTATGGCGTACGCAGGCTTTAGATTCGCTGAAAAAGTTATCCGAGCGGCGAAAGGCGACTCAGGTATTGTTGAACCGAGTCAGGTATACCTCCCCGGCGTCCCTGGTGGGGAAGAAATATCAAAAGCGACAGGTGTAGATTGCTTCAGTGTACCCGTGGAGCTTGGTCCGGATGGGGCAGAGAAAGCGATTGATGTTGTAGCGTGGGCAAACGAGTTTGAAAAAGAATTACTGCAAGCTTATTACAATGGCCTGAAGGGAAATATAGAGAAAGGAATTGAGTTTGTTCTGAACCCTCCACAACAGGCGGCCGCACTCGAGCACCACCACCACCACCACTGA</t>
  </si>
  <si>
    <t>MKAICVITGDTHGCVYYKQDGPNYPVKLTGYLLNLPRGLHGFHVHEYGDWSNGFTSWGEHFNPTWWDHGAPDAAERHVGDLGLVRSAGCTALTPIEMKDNVISLTGYLTIIGRSLVVHTDRDDLGLTDHPLSKHTGNSGGRLGCGIIAICANAAALEHHHHHH*</t>
  </si>
  <si>
    <t>ATGAAAGCAATATGCGTAATCACAGGCGACACTCATGGGTGCGTCTATTATAAGCAGGATGGTCCGAACTATCCTGTGAAGCTGACGGGGTACTTATTGAATTTACCGCGTGGCCTCCATGGTTTCCACGTTCATGAATATGGAGACTGGTCTAATGGCTTCACCTCGTGGGGTGAACACTTTAATCCGACCTGGTGGGATCACGGTGCGCCCGATGCAGCTGAACGACATGTGGGCGATCTGGGCCTTGTTCGTAGCGCAGGTTGTACGGCGTTGACTCCAATCGAGATGAAGGACAACGTAATTTCTTTAACTGGATACCTTACAATTATCGGCCGCAGCCTGGTGGTGCATACTGACCGCGACGATCTGGGCCTGACCGACCATCCTCTCTCTAAACACACCGGCAATTCTGGGGGTCGCCTCGGATGCGGCATTATAGCCATCTGCGCTAATGCGGCCGCACTCGAGCACCACCACCACCACCACTGA</t>
  </si>
  <si>
    <t>MAVAVLKGDSTVSGTVTFSQSSENAPVTVNWDISGNDADAERGFHIHAFGDNTNGCASAGPHFNPHSKTHGAPHDKERHVGDLGNIETDGSGVAKGTIEDSLITLNGPRSILGRSVVVHAGTDDLGKGGNEESLKTGNAGARNACGVIAAALEHHHHHH*</t>
  </si>
  <si>
    <t>ATGGCAGTCGCAGTTTTGAAAGGTGATTCCACAGTTTCAGGCACCGTTACGTTTTCACAGTCTTCAGAGAATGCCCCTGTGACCGTTAACTGGGATATTAGCGGGAATGATGCCGATGCCGAGCGTGGTTTTCACATCCATGCATTCGGAGATAACACTAACGGCTGTGCTTCTGCGGGTCCGCATTTTAATCCTCATAGTAAAACGCATGGCGCACCACACGACAAAGAAAGACATGTCGGCGATCTTGGAAATATCGAAACTGACGGTTCGGGGGTTGCTAAAGGCACAATAGAGGATTCCCTTATTACGCTTAACGGTCCGCGATCAATTTTGGGCCGATCTGTAGTTGTCCACGCTGGCACCGATGACCTTGGTAAAGGGGGTAATGAAGAATCACTTAAAACGGGTAATGCAGGAGCAAGAAATGCCTGCGGTGTGATAGCGGCCGCACTCGAGCACCACCACCACCACCACTGA</t>
  </si>
  <si>
    <t>MARKKISLIGAGNIGGTLAHLIGLKELADVVLVDIAEGIPQGKSLDIAESAPVDGFDINIIGSNDYSPIKNSDVIIVTAGLPRKPGMSRDDLIEINLKVMKSVGEAIKKYSPQSFVICITNPLDAMVWALREFSGLPHNKVVGMAGVLDSARFRHFISEQLKVSVEDVSAFVLGGHGDTMVPLVRFTNVGGIPIPDLVKMKLTSNNRIEKIIERTRKGGAEIVSLLKTGSAFYAPAASALEMAESYIKDKKRILPCAAFLKGEYGVKNLYVGVPVIIGKKGVEKVIEVGLNKEEKKMFVKSVNSVKKLIEVVKKIKKNLAAALEHHHHHH*</t>
  </si>
  <si>
    <t>ATGGCGAGAAAGAAAATATCCCTCATCGGTGCCGGTAATATCGGTGGTACCTTAGCTCATTTAATTGGATTAAAAGAGTTGGCGGACGTTGTGCTTGTTGACATTGCAGAGGGCATTCCACAGGGAAAGAGCTTGGACATTGCAGAGTCCGCTCCTGTGGACGGTTTTGACATTAACATCATCGGAAGCAACGATTATTCGCCCATCAAGAACTCAGATGTCATTATAGTCACCGCAGGTCTGCCACGCAAACCAGGCATGTCCAGAGATGACCTGATTGAGATTAACCTGAAAGTTATGAAGAGTGTGGGCGAAGCTATTAAAAAATACAGCCCCCAGTCTTTCGTTATCTGTATTACAAATCCTTTAGATGCAATGGTTTGGGCACTTCGTGAATTTAGCGGTTTGCCTCATAACAAAGTCGTAGGGATGGCGGGCGTTCTCGACTCAGCTCGTTTTCGTCACTTTATAAGCGAGCAGCTTAAGGTTTCAGTAGAAGACGTGAGCGCATTTGTTTTGGGTGGCCATGGAGATACAATGGTGCCGCTGGTCAGATTTACCAACGTTGGTGGCATCCCGATCCCTGATCTGGTGAAAATGAAACTGACGAGTAACAATCGGATCGAGAAAATTATCGAACGGACTCGTAAAGGCGGGGCCGAAATTGTTTCACTGTTGAAAACAGGTTCCGCCTTTTATGCCCCTGCGGCATCTGCACTTGAAATGGCTGAAAGTTATATCAAGGATAAAAAACGTATCCTTCCATGTGCAGCATTTCTGAAGGGCGAATACGGAGTCAAGAATCTCTATGTGGGGGTCCCGGTCATTATAGGGAAGAAAGGTGTTGAAAAGGTAATTGAAGTTGGGTTGAACAAGGAAGAAAAGAAAATGTTTGTAAAATCTGTCAATTCGGTTAAAAAGTTAATTGAGGTAGTAAAAAAAATTAAAAAAAATCTGGCGGCCGCACTCGAGCACCACCACCACCACCACTGA</t>
  </si>
  <si>
    <t>MKERVKVVVTGAAGQISYSLIPRLVDGHTFGNKIVDLELVEIPQVVDKLEGLVMELEDSNFPNMGNVSYTSNFEEAAKDADYFLLVGSIPRGIVYNGKKIEERSDLLQINGGIFVGQGQAIGKHGKPDAKILVVGNPANTNALIGRHAANNESQLWMAMTMLDSSRAKSVLSKKLGKGIAEINKMIIWGNHSPTMYPDQENIICKGELGKNLISDMDWINNDFLPAVQQRGKAVIDSRGASSATSAAKAALDTIIACENPTKSGEWFSAAIISDGSYDLPEGIICGYPLMTNPDGSVEIIRDIALSDFAKEKLKISTDELIEERDAVEGLLVAAALEHHHHHH*</t>
  </si>
  <si>
    <t>ATGAAGGAAAGAGTTAAAGTTGTTGTTACTGGTGCGGCGGGCCAAATCTCATATAGCTTAATTCCACGGTTGGTCGATGGTCACACTTTCGGAAATAAGATTGTTGATCTGGAATTGGTAGAAATTCCACAGGTAGTAGATAAGTTAGAGGGTCTTGTTATGGAACTGGAAGACTCGAATTTCCCCAACATGGGCAATGTGTCTTATACTAGTAATTTTGAAGAAGCGGCGAAAGACGCTGATTACTTTCTGCTGGTTGGTTCTATACCGCGAGGCATTGTCTATAATGGCAAGAAAATTGAGGAACGTTCTGACCTGCTGCAGATTAACGGAGGAATCTTTGTTGGTCAAGGACAGGCTATCGGTAAACACGGCAAGCCTGATGCAAAGATTCTGGTTGTCGGGAACCCTGCGAATACCAATGCCTTAATTGGCCGCCATGCGGCTAACAACGAAAGCCAGTTATGGATGGCCATGACTATGCTTGACTCAAGCCGCGCTAAGTCCGTGTTGAGCAAAAAATTAGGCAAGGGCATTGCGGAAATTAATAAAATGATCATCTGGGGGAACCATTCTCCCACAATGTATCCCGATCAAGAAAATATTATTTGTAAGGGCGAGCTCGGGAAAAATTTAATCAGCGATATGGATTGGATTAATAACGATTTTCTGCCCGCAGTTCAGCAACGTGGTAAAGCAGTCATTGATAGCCGTGGGGCGTCATCCGCGACGTCTGCCGCCAAAGCTGCACTGGACACCATTATCGCATGCGAGAATCCTACGAAAAGTGGCGAGTGGTTCTCGGCGGCAATTATTAGCGATGGTTCTTACGATCTTCCGGAAGGTATCATTTGTGGTTACCCGTTAATGACGAATCCGGACGGCTCGGTCGAAATTATTCGGGATATTGCACTGTCAGACTTTGCAAAAGAAAAACTTAAGATAAGTACCGACGAATTGATCGAAGAACGCGATGCGGTTGAGGGTTTGCTGGTGGCGGCCGCACTCGAGCACCACCACCACCACCACTGA</t>
  </si>
  <si>
    <t>MNAALPNGQGKSLGNITISETPYGLLFTPTLAGLSQGVHGFHVHENPSCEPAQKDGKQVPALAAGGHYDPEKTGKKLGPYDPSGHLGDLPVLVVTADGKATYPVYAPRLKSLSEVKNKALMIHVGGDNYSDSPEKLGGGGARIACGVIAAALEHHHHHH*</t>
  </si>
  <si>
    <t>ATGAACGCCGCGTTGCCGAATGGCCAAGGTAAGTCATTAGGGAACATTACCATCTCGGAGACCCCGTACGGCCTGTTGTTCACACCAACGCTGGCTGGACTGAGCCAAGGGGTTCATGGGTTTCATGTTCATGAAAACCCGTCGTGCGAACCCGCGCAAAAAGATGGGAAACAGGTCCCGGCCTTAGCAGCTGGTGGCCATTACGACCCAGAGAAAACGGGTAAAAAATTAGGGCCGTACGATCCTAGTGGCCATTTAGGCGATCTGCCGGTTCTGGTGGTGACGGCTGATGGGAAGGCCACATACCCCGTCTATGCACCACGTCTCAAATCTCTGTCAGAGGTTAAAAACAAAGCTCTCATGATTCATGTTGGTGGTGATAACTATTCCGACAGCCCTGAAAAATTGGGAGGGGGCGGTGCCCGCATTGCATGTGGTGTTATTGCGGCCGCACTCGAGCACCACCACCACCACCACTGA</t>
  </si>
  <si>
    <t>MARTPVTVTVTGAAGQIGYGLLFRIAAGQMLGPDTPVRLRLLEIPAAVFAAEGVAMELEDGAFPLLESVDITDDPVVAFDGANVALLVGARPRTKGMERADLLAANGPIFADQGAAINAGAADDVRVLVVGNPANTNAFIAAAHAPDVPAERFTALTRLDHNRAIAQLARKTGVPVGRIFRIIVWGNHSATQYPDVSHATIAGRPALEVTPDPDWVTEDFIPTVQQRGTAIIKARGASSAASAASAAIDHIHDWVLGTAAGDWVSMAVPSDGSYGVPEGLISSFPVTSANGAYTIVPDLEIDDFSRERIDASVAELAAEREAVASLGFFAAALEHHHHHH*</t>
  </si>
  <si>
    <t>ATGGCACGTACCCCGGTCACAGTTACAGTAACGGGCGCCGCGGGTCAGATTGGGTATGGTCTTCTGTTTCGGATCGCCGCAGGCCAGATGCTCGGACCGGATACGCCGGTTCGCCTGCGGTTACTGGAAATTCCGGCCGCGGTTTTTGCCGCCGAAGGTGTAGCCATGGAACTGGAAGATGGTGCATTCCCTTTGCTGGAGTCAGTTGACATTACTGACGATCCAGTGGTAGCCTTTGACGGCGCCAATGTAGCTCTCCTTGTTGGCGCCCGTCCGCGTACGAAGGGTATGGAGCGCGCAGACCTGCTGGCAGCGAATGGCCCAATCTTTGCCGATCAAGGCGCGGCTATTAATGCCGGCGCGGCAGATGACGTCCGTGTTCTGGTGGTAGGCAACCCCGCTAATACTAATGCGTTCATTGCAGCGGCCCATGCCCCCGACGTACCGGCTGAACGCTTTACCGCCCTGACCCGCCTGGATCACAATAGAGCTATTGCCCAGCTGGCTCGTAAAACAGGTGTCCCTGTAGGGCGGATTTTTAGAATTATTGTCTGGGGCAATCACAGTGCGACGCAGTATCCGGACGTCTCCCATGCTACCATTGCCGGGCGTCCGGCTCTGGAAGTGACGCCTGACCCTGATTGGGTCACCGAAGATTTTATCCCTACAGTACAACAGCGTGGTACAGCTATCATAAAAGCACGTGGTGCAAGCAGTGCAGCGAGTGCAGCGAGCGCGGCTATTGATCATATCCATGATTGGGTACTTGGAACAGCAGCCGGGGATTGGGTCAGTATGGCAGTTCCTTCTGACGGGAGCTATGGAGTGCCCGAGGGTCTGATTAGTAGTTTCCCTGTCACTAGTGCTAACGGTGCTTACACCATCGTCCCAGACCTGGAGATTGATGACTTTTCTCGAGAGCGCATCGATGCTAGCGTGGCGGAACTGGCCGCAGAACGAGAAGCGGTGGCGTCTTTGGGTTTCTTTGCGGCCGCACTCGAGCACCACCACCACCACCACTGA</t>
  </si>
  <si>
    <t>MGSDAMVNPPQVTAETGAAGQIYYSLLFRIAAGHLLGGETPVILRLLEITPALKAAEGVVMELDDHAFPLLHNIEVGDDPTVIFDGANYALLVGAYPRSKGMERADLLWANGAIFTPQGKALSDAAADDVRILVVGNPANTNALIAMSSAPDDPPERFFAAMTLDHNRAIAALLAQLSGPVVDDSRMMIWGNHHSTTYPDDFHHATAGRNAAEEVVDQQWVWDDFIPTVAKRGAAIIEARGLSSAASAASAAIDHTRDWVLGTPEGDWVSMAVPSDGSYGVPEGIISSFPVTTCGGACSIVQDLCYAEFFRRRIDASVAELVEEREAVRDWAAALEHHHHHH*</t>
  </si>
  <si>
    <t>ATGGGTAGTGACGCCATGGTCAATCCTCCACAGGTTACTGCGGAGACGGGAGCCGCGGGCCAAATCTACTATAGCTTGCTGTTTCGTATTGCGGCGGGCCATCTGCTGGGCGGTGAAACACCAGTAATCCTGCGCCTTCTTGAAATCACCCCAGCGTTAAAAGCGGCGGAGGGCGTTGTGATGGAACTGGATGACCATGCATTTCCACTGCTGCATAATATCGAGGTAGGGGATGATCCGACCGTTATTTTTGATGGTGCCAATTACGCATTACTGGTGGGGGCCTATCCCCGGAGTAAGGGCATGGAGCGGGCGGATTTGCTGTGGGCGAATGGTGCTATTTTCACACCCCAAGGGAAAGCATTAAGCGATGCGGCCGCGGATGATGTACGTATCTTAGTTGTTGGTAACCCAGCTAATACCAACGCACTCATCGCCATGTCTTCAGCTCCCGATGATCCCCCCGAACGCTTTTTTGCAGCGATGACCTTAGATCATAATCGTGCTATTGCAGCACTGTTGGCTCAGCTGTCAGGACCTGTCGTTGATGATTCACGCATGATGATATGGGGAAACCATCACAGCACGACCTATCCGGATGATTTTCATCATGCAACCGCTGGTCGGAACGCCGCCGAGGAAGTGGTTGATCAGCAATGGGTATGGGACGACTTCATCCCGACCGTGGCAAAGCGTGGTGCTGCAATCATTGAAGCTCGTGGTCTCTCGTCTGCTGCCTCAGCCGCTAGTGCTGCAATCGACCATACCCGCGATTGGGTTCTGGGTACCCCTGAAGGGGACTGGGTCAGTATGGCAGTTCCAAGCGATGGGTCCTATGGTGTGCCGGAAGGCATCATTAGTTCCTTTCCTGTCACCACATGCGGCGGGGCGTGTAGTATTGTGCAGGACTTGTGTTACGCAGAATTTTTTCGTAGACGTATAGATGCAAGCGTTGCGGAATTGGTCGAGGAGCGCGAAGCGGTTCGCGATTGGGCGGCCGCACTCGAGCACCACCACCACCACCACTGA</t>
  </si>
  <si>
    <t>MKAICVVDGDVKGEIWLQQQTPNHLIMITGMIWNLTKGLHGFHVHEFGDTSNGCTSAGEHFNPTGRDHGAPDSAERHVGDLGNIESRTSNAITIVNQIDNVITLFGPNSVIGRSLVVHTNKDDLGLTDHPLSKTTGNSGGRLGCGIIGVASNNSVAQAAALEHHHHHH*</t>
  </si>
  <si>
    <t>ATGAAAGCCATCTGTGTGGTGGATGGGGATGTAAAAGGCGAAATTTGGTTACAGCAGCAAACTCCGAACCATCTGATCATGATCACCGGCATGATTTGGAACTTAACGAAGGGGCTTCACGGATTCCATGTTCATGAATTCGGCGACACGTCGAACGGATGTACTTCAGCTGGTGAACATTTTAATCCTACCGGCCGTGATCATGGTGCGCCTGACAGTGCAGAGCGTCATGTGGGCGACCTGGGTAACATCGAATCTAGAACCTCAAACGCGATTACCATAGTCAACCAAATAGATAATGTAATTACGCTTTTCGGACCAAACAGTGTTATAGGCCGTAGCCTGGTAGTGCACACGAATAAAGACGATCTGGGGCTGACGGACCACCCGTTATCAAAAACGACAGGTAACTCCGGTGGTCGCTTAGGATGCGGGATCATTGGGGTTGCTTCCAACAACTCGGTGGCGCAGGCGGCCGCACTCGAGCACCACCACCACCACCACTGA</t>
  </si>
  <si>
    <t>MRYAAAVSVPSAKVAILGAAGGIGQPLALLMKMSPLVSQLSLYDIVNTPGVAADLSHINTSSQVSGFVGADQLAEALKGADLVVIPAGVPRKPGMTRDDLFNINAGIVKGLIENVAEYCPGAVVWIISNPVNSTVPIAAEVLKKAGTYDPKKLFGVTTLDVVRANTFHAEKAGLNVTDVDVPVIGGHAGITILPLFSQACPQAFLSDEVVEALTKRVQDGGTEVVQAKAGTGSATLSMAYAGAKFADAFLRALNGVENVVECAYVASSVTELPFFASKVRLGPSGVEEVLPLGPLTEYERQGLDKLMPELKASIEKGIQFIAAALEHHHHHH*</t>
  </si>
  <si>
    <t>ATGAGATACGCCGCTGCGGTGTCCGTGCCCTCTGCTAAGGTAGCTATTCTGGGTGCAGCCGGTGGCATCGGGCAGCCCCTGGCTTTACTTATGAAGATGAGTCCCCTTGTATCTCAGCTCTCCCTGTATGATATTGTAAATACTCCGGGTGTCGCGGCCGATCTGTCTCATATCAATACCTCTTCCCAGGTCTCTGGATTCGTAGGAGCCGATCAGCTGGCGGAAGCCCTTAAAGGCGCTGACCTGGTTGTTATACCGGCCGGTGTACCGCGAAAGCCGGGTATGACTCGAGACGACCTTTTTAACATTAATGCAGGCATCGTTAAAGGTTTAATTGAGAATGTTGCAGAATATTGCCCGGGTGCAGTAGTTTGGATCATTTCCAACCCGGTAAACAGTACGGTTCCAATCGCAGCCGAGGTGCTGAAGAAAGCGGGTACCTATGATCCTAAGAAGCTGTTTGGTGTTACTACCCTTGACGTTGTTCGCGCTAATACATTTCATGCCGAGAAAGCTGGCTTAAACGTCACTGACGTAGACGTTCCAGTAATAGGGGGACATGCGGGTATTACAATTCTTCCTCTTTTTAGCCAGGCTTGTCCGCAGGCCTTTCTCTCTGACGAGGTTGTCGAAGCCCTGACCAAACGGGTTCAAGACGGTGGCACCGAAGTGGTCCAAGCCAAAGCTGGCACAGGGAGTGCTACCCTTTCTATGGCTTATGCAGGAGCAAAATTCGCAGATGCTTTCCTGCGTGCTTTAAACGGTGTAGAGAATGTGGTGGAGTGTGCGTACGTAGCTTCTAGTGTTACTGAACTGCCGTTTTTTGCGTCTAAAGTGCGGTTAGGTCCGTCTGGGGTGGAGGAGGTCCTCCCGTTGGGTCCACTGACAGAATATGAACGGCAAGGCCTCGATAAGCTGATGCCTGAGCTGAAGGCGAGCATCGAAAAGGGAATCCAGTTTATTGCGGCCGCACTCGAGCACCACCACCACCACCACTGA</t>
  </si>
  <si>
    <t>MARPKIALVGAGNIGGTLAHLAGLKELGDVVMFDIAEGTPQGKALDLAESAPVDGFDATLTGANDYSAIAGADVVIVTAGVPRKPGMSRDDLVGINLKVMEQVGAGIKQHAPNAFVICITNPLDAMVWVLQQASGLPANKVVGMAGVLDSARFRYFLAEEFGVSVEDVTAFVLGGHGDTMVPLPRYSTVAGIPLPDLVKMGWTSQEKLDQIVQRTRDGGAEIVGLLKTGSAFYAPAAAAIEMAESYLKDKKRVLPCAAYLDGEYGVDDLYVGVPVVIGAGGVERVVEIELNPDEKKAFDQSVAAVRGLVDVFKKLDAEGAAALEHHHHHH*</t>
  </si>
  <si>
    <t>ATGGCCCGACCGAAAATTGCCTTGGTAGGGGCGGGTAACATAGGAGGTACATTGGCCCATCTGGCGGGACTGAAAGAGCTGGGAGATGTAGTAATGTTCGATATAGCCGAAGGTACACCCCAAGGAAAAGCTCTCGATTTAGCCGAATCAGCCCCTGTTGATGGTTTCGACGCAACACTGACCGGTGCGAATGATTACTCGGCTATTGCCGGTGCCGACGTAGTTATCGTAACCGCAGGGGTGCCTCGTAAACCTGGTATGTCTCGGGATGATTTAGTGGGTATTAATCTGAAGGTTATGGAACAGGTTGGGGCTGGCATTAAACAGCATGCACCGAATGCATTCGTAATCTGCATCACAAATCCGCTGGATGCGATGGTCTGGGTGCTCCAGCAGGCGAGTGGGCTGCCTGCCAACAAAGTCGTTGGAATGGCGGGCGTCCTGGATTCTGCCAGATTCCGTTATTTTTTAGCCGAAGAGTTCGGAGTGAGCGTCGAGGACGTAACGGCCTTTGTCCTGGGTGGTCATGGGGACACTATGGTGCCATTACCACGCTATTCTACAGTAGCCGGCATCCCTCTTCCAGATTTAGTTAAAATGGGATGGACATCCCAGGAGAAGCTGGATCAGATTGTTCAACGTACGCGGGATGGGGGCGCTGAAATAGTAGGTCTTTTAAAAACCGGCAGTGCATTTTATGCTCCCGCTGCTGCTGCGATCGAAATGGCGGAATCTTACTTAAAAGACAAAAAAAGAGTCTTGCCTTGCGCCGCGTATCTGGATGGGGAGTACGGTGTCGACGATCTCTACGTGGGCGTGCCGGTGGTGATTGGGGCCGGTGGCGTGGAAAGAGTTGTTGAGATTGAATTGAATCCGGATGAAAAAAAAGCATTTGATCAATCCGTCGCAGCTGTTCGCGGGCTCGTCGATGTGTTCAAGAAGCTGGACGCTGAGGGCGCGGCCGCACTCGAGCACCACCACCACCACCACTGA</t>
  </si>
  <si>
    <t>MVLKAVCVIKGDGEGTGYFYFEQENAPVPVKGSGKGLGLAPGGHGIHEFAFNDNGNGCAGPHFHFNPHNKTHPGPSDADRHVGDLGNVTAGADPVAKINITDKMLTLTGQYSIIGRTMVIHEKADDLGKGGNDESLKTGNAGGRLAFGVIGITAAALEHHHHHH*</t>
  </si>
  <si>
    <t>ATGGTACTGAAAGCCGTTTGTGTTATCAAAGGCGATGGCGAAGGCACAGGATACTTCTATTTTGAACAGGAAAACGCGCCCGTACCTGTCAAAGGTTCTGGGAAAGGCTTAGGTCTGGCACCCGGTGGTCACGGCATCCATGAATTTGCCTTCAACGACAATGGCAACGGCTGCGCCGGCCCTCATTTTCATTTTAACCCGCATAACAAAACTCATCCGGGCCCGTCTGACGCCGATCGCCATGTTGGTGATCTGGGAAACGTTACCGCCGGCGCAGATCCTGTGGCGAAGATAAATATCACCGATAAGATGCTGACGTTGACGGGTCAGTATAGCATCATCGGTCGCACCATGGTCATACATGAGAAAGCTGATGATCTGGGGAAAGGTGGCAACGACGAAAGTCTGAAAACGGGAAACGCAGGTGGACGTCTGGCGTTTGGTGTTATTGGGATCACTGCGGCCGCACTCGAGCACCACCACCACCACCACTGA</t>
  </si>
  <si>
    <t>MWAIAVINGSKIKGMVHFSEDLKNWDLYVNIEIHGLKENDLHGFHIHEAGDLWDTCTSMYAHFNPYNKTHGCPCYKERHVGDLGNLKTNAKGDASMFFRDDLISLRGTKANIIGRGLIIHADEDDCGIGGNEDSLTTGNAGKRIACAVIAAALEHHHHHH*</t>
  </si>
  <si>
    <t>ATGTGGGCCATAGCGGTTATCAATGGGTCAAAAATCAAGGGGATGGTCCACTTTTCAGAAGATCTCAAAAACTGGGATCTGTATGTCAACATTGAAATCCACGGGCTCAAGGAAAACGACCTGCACGGTTTCCATATTCATGAAGCAGGAGATCTGTGGGACACGTGTACCAGTATGTACGCACATTTCAATCCTTACAACAAAACCCATGGGTGTCCGTGTTATAAAGAACGCCACGTGGGCGATCTGGGAAATCTGAAGACAAATGCGAAAGGGGATGCTTCTATGTTCTTCCGAGATGATCTCATCTCTCTGCGGGGAACGAAAGCAAACATAATTGGGCGCGGCCTCATTATTCACGCCGATGAGGATGATTGCGGTATCGGAGGAAACGAGGATTCATTAACGACCGGAAACGCAGGCAAGCGCATCGCATGTGCTGTTATTGCGGCCGCACTCGAGCACCACCACCACCACCACTGA</t>
  </si>
  <si>
    <t>MSKRVRVAITGAAGQIGYALVYRVASGQMFGADVEIELNLLELEAALPKLRGVTMELEDCAFPLLKNVVFTSDVNAAMRNVNWAILVGSVPRKAGMERSDLLKINGKIFAEQGRAINENAASDVRVFVVGNPCNTNCLIAMDHAPDVPWDRFHAMTHLDEIRARTQLALKADVDVTAISHMSIWGNHSSTQFPDFWHAKIGGDPVTEVITDRSWLQNEFISLIQQRGAAVIKARGASSAASAANAALHGLHQLKPDTPADESYSVARFSQGEYGVDAGLIFSFPVRTENGIWRVVEGLEHNDVGQERLRVTLDELRMEQDAVKALAAALEHHHHHH*</t>
  </si>
  <si>
    <t>ATGTCGAAACGTGTCCGCGTAGCGATTACCGGTGCAGCTGGGCAGATTGGCTATGCCCTGGTTTACCGCGTTGCTAGCGGCCAGATGTTCGGAGCGGATGTTGAGATCGAGCTCAACCTGCTGGAGCTCGAAGCAGCCTTGCCCAAACTCAGAGGAGTCACCATGGAACTTGAAGACTGCGCTTTCCCACTTCTGAAAAATGTGGTTTTCACAAGCGACGTTAATGCCGCAATGCGAAATGTGAATTGGGCCATACTGGTGGGTTCAGTACCGCGCAAAGCCGGAATGGAGAGATCTGACCTGCTGAAGATTAATGGGAAGATCTTTGCCGAACAGGGTCGTGCTATAAATGAGAATGCCGCATCTGACGTGCGCGTATTTGTCGTCGGTAATCCCTGCAACACAAACTGCCTGATCGCGATGGACCACGCTCCGGACGTTCCGTGGGATCGTTTTCATGCGATGACGCATTTAGATGAAATTCGCGCCCGTACCCAATTAGCCCTGAAGGCTGACGTAGACGTGACCGCAATATCTCATATGTCAATCTGGGGTAATCATAGCTCGACGCAGTTCCCCGATTTCTGGCATGCGAAAATTGGAGGTGACCCCGTTACAGAAGTAATCACAGATCGGTCTTGGTTGCAGAATGAGTTTATCAGTTTAATCCAGCAGCGCGGAGCGGCCGTGATAAAAGCGCGGGGTGCGTCGAGCGCAGCTAGTGCAGCGAACGCCGCTTTGCATGGGCTTCATCAGCTGAAGCCAGATACCCCCGCGGATGAAAGTTACTCTGTAGCTAGATTTAGCCAGGGCGAATATGGTGTCGACGCCGGCTTGATTTTTTCATTCCCGGTTCGCACAGAAAACGGCATTTGGCGTGTGGTGGAGGGGCTGGAACACAATGATGTCGGACAGGAGCGCTTACGCGTAACCCTTGATGAATTACGCATGGAGCAGGACGCCGTTAAAGCACTGGCGGCCGCACTCGAGCACCACCACCACCACCACTGA</t>
  </si>
  <si>
    <t>MPTPVHVTVTGAAGQIGYALLFRIAAGHMLGPDTPVSLRLLEITQALKALEGVVMELDDCAFPLLEAVDVTDDPRVAFDGTDVAFLVGARPRSQGMERKDLLAANAGIFGVQGRAINDHAARDIRVLVVGNPANTNALIASWSAPDVKADRWTAMTRLDHNRALSQLAFKMGARVSDIKKMFIWGNHSAFQYPDLFHATVAGKAATSLIDATRLTETFIPTVARRGAAIIEARGASSAASAAWAAIDHVRDWVHGTPEGDWVSAAIYSDGSYGVPPGIISSFPVVTTGGAWWAIQGLLISDFSRKRMNAKVAELGEERDAAVHLLGIGAAALEHHHHHH*</t>
  </si>
  <si>
    <t>ATGCCTACGCCAGTTCATGTTACTGTTACAGGTGCCGCTGGGCAGATCGGTTACGCATTATTATTCCGAATAGCGGCCGGACATATGTTAGGGCCGGATACACCAGTCAGTCTGCGCCTGCTTGAGATTACCCAGGCGCTGAAGGCGCTGGAAGGGGTAGTAATGGAATTAGATGACTGTGCATTCCCTCTGCTTGAAGCTGTTGATGTAACGGATGATCCGAGAGTGGCGTTCGACGGAACAGACGTAGCTTTTCTTGTAGGAGCGCGCCCGCGCTCCCAGGGTATGGAACGTAAAGATCTGCTCGCTGCGAATGCTGGGATTTTCGGAGTTCAGGGCCGGGCAATTAATGATCACGCTGCGCGCGATATTCGCGTACTGGTGGTGGGCAATCCAGCGAATACCAATGCCCTTATCGCCTCTTGGAGCGCACCGGATGTGAAGGCGGATCGGTGGACTGCCATGACCCGTCTGGATCACAATCGCGCACTGAGTCAATTGGCTTTTAAAATGGGCGCGCGTGTTTCGGACATAAAAAAAATGTTTATTTGGGGCAATCATAGTGCGTTTCAGTACCCAGATCTGTTTCATGCTACCGTGGCTGGAAAAGCTGCGACCAGTCTGATTGATGCCACGCGCCTGACCGAGACTTTTATCCCTACAGTCGCTCGTCGCGGGGCAGCGATTATAGAAGCCCGCGGGGCCTCGTCCGCTGCTTCGGCTGCATGGGCAGCCATAGATCATGTTCGTGATTGGGTACATGGTACTCCCGAAGGGGATTGGGTATCGGCTGCCATATATTCGGATGGATCCTATGGTGTACCGCCAGGCATTATAAGCTCGTTTCCGGTTGTGACGACTGGTGGCGCTTGGTGGGCAATACAAGGTCTGCTGATCTCTGATTTCTCACGGAAACGTATGAATGCAAAAGTGGCTGAGCTGGGTGAAGAGCGCGATGCCGCCGTGCATTTACTGGGTATTGGGGCGGCCGCACTCGAGCACCACCACCACCACCACTGA</t>
  </si>
  <si>
    <t>MVKAVAVLRGDSKISGRVTFEQASESSPTTITWDISGHDANAERGMHVHQFGDNTNGCTSAGPHFNPHGKTHGAPDDDERHVGDLGNFKTDGQGNAKGEISDSQVKLIGEHSVLGRTIVVHAGTDDLGKGGTEESKKTGNAGARPACGVIGIAQAAALEHHHHHH*</t>
  </si>
  <si>
    <t>ATGGTGAAGGCTGTAGCGGTTTTGCGTGGTGACAGCAAGATAAGCGGTCGGGTTACTTTCGAGCAGGCTAGCGAGAGCAGCCCGACCACAATAACGTGGGACATATCCGGACACGATGCGAACGCCGAGCGGGGTATGCATGTGCACCAATTCGGAGACAACACAAACGGATGTACATCTGCTGGCCCGCACTTTAACCCGCACGGAAAAACACACGGAGCCCCAGACGACGATGAGCGGCACGTCGGCGATTTGGGTAATTTTAAAACAGATGGACAAGGTAATGCCAAGGGCGAGATTAGCGATTCTCAGGTTAAACTTATTGGTGAACACAGCGTATTGGGCAGAACCATCGTTGTGCATGCTGGAACAGATGATCTGGGGAAGGGAGGCACGGAAGAATCAAAAAAAACGGGCAATGCGGGTGCGCGCCCAGCCTGCGGGGTTATCGGGATCGCACAGGCGGCCGCACTCGAGCACCACCACCACCACCACTGA</t>
  </si>
  <si>
    <t>MTTTITLTYAKGQIGYALLFRIAALGMLGPDEHVRLRLLEIPQGLGAAEGAALDLQDGAFGLLEHVEVSDDAAVGFDGCEYALLVGARFRGPGMERADLLAANAGIFGPQGRAIAAHAAPGVRVMVVGNPANTRALIAAASADGVPAERLTALTRLDQNRARAQLAQTLGVPVGQVRAVPIGGNHSATQAPDISKATVGGRPASEALEKIVGDVVAWTHSTFIPRVGKHGAEIIQVRGSSSVASAATATLDHVRDWVRGAEDWTSAGVVSNGEYGVPEGLVSSFPVRSVDGEWQIVPGLEPDAWARSRIDASVAELVVEREAVRALAAALEHHHHHH*</t>
  </si>
  <si>
    <t>ATGACCACGACGATCACCTTGACGTACGCTAAGGGGCAAATAGGTTACGCGCTTCTGTTTCGTATCGCGGCCCTGGGGATGCTCGGACCCGATGAACACGTTCGCCTCCGCCTGCTTGAAATCCCTCAGGGATTAGGCGCCGCGGAGGGTGCTGCCCTGGACCTGCAGGACGGCGCGTTTGGATTGCTGGAACATGTTGAAGTTAGCGATGATGCAGCGGTGGGTTTCGATGGCTGCGAATACGCGCTGCTTGTGGGTGCGCGGTTCCGGGGCCCAGGTATGGAACGCGCAGATCTCCTTGCGGCTAACGCAGGTATTTTTGGCCCGCAGGGGCGCGCCATCGCGGCCCACGCAGCTCCAGGCGTCAGAGTAATGGTTGTTGGTAATCCGGCAAATACGCGCGCTCTGATTGCAGCCGCTTCTGCCGATGGCGTGCCAGCGGAACGTTTAACTGCACTCACTCGTTTGGATCAGAATCGCGCTCGTGCGCAGCTTGCTCAGACGCTGGGTGTTCCGGTCGGCCAGGTTAGAGCCGTGCCTATCGGGGGAAATCACTCTGCCACTCAGGCGCCGGATATTAGTAAAGCAACAGTCGGCGGCCGACCAGCCTCTGAAGCGCTTGAAAAAATTGTTGGGGATGTTGTTGCTTGGACCCATTCAACCTTTATTCCACGGGTAGGGAAACACGGCGCGGAAATAATTCAGGTTCGCGGTTCTAGCTCGGTCGCGAGTGCCGCGACGGCCACCTTGGACCACGTCCGGGATTGGGTCCGTGGCGCCGAGGATTGGACAAGCGCAGGAGTTGTGAGTAATGGTGAATACGGTGTCCCGGAGGGATTGGTTAGTTCTTTTCCAGTCCGAAGTGTGGATGGTGAATGGCAGATTGTACCAGGACTGGAACCAGATGCCTGGGCTCGCTCTAGAATTGACGCCAGTGTAGCCGAACTGGTGGTGGAGCGAGAAGCGGTTCGGGCATTGGCGGCCGCACTCGAGCACCACCACCACCACCACTGA</t>
  </si>
  <si>
    <t>MVKAVCVLKSEKVNGTIFFSQEGNNPSQVNGELKGLKCGLHGFHIHEFGDNTNGCISAGPHFNPNEKKHGGPADDKRRVADLLGVTVSDEGPAKWSITDCVISSLGDNSIIGRTVVVHADVDDLGKGGHELSKTTGNAGGRLACGVIGLAQPNAAALEHHHHHH*</t>
  </si>
  <si>
    <t>ATGGTAAAGGCCGTTTGTGTGTTAAAATCAGAGAAAGTGAACGGCACCATCTTTTTCTCGCAGGAAGGTAATAATCCTAGTCAGGTAAATGGAGAACTGAAAGGTCTGAAATGCGGGTTACATGGGTTTCATATACACGAATTTGGTGATAACACGAATGGTTGTATCTCCGCTGGCCCGCATTTTAATCCTAATGAAAAGAAGCATGGGGGTCCCGCAGATGATAAACGCCGAGTTGCCGACTTACTTGGTGTTACAGTGTCAGACGAAGGTCCTGCCAAATGGAGTATAACTGACTGTGTGATATCAAGTTTGGGAGATAACTCAATTATAGGTCGCACCGTCGTCGTTCATGCGGACGTAGATGACCTGGGCAAAGGAGGCCATGAACTTTCTAAAACGACAGGCAACGCGGGTGGTCGTTTAGCCTGCGGCGTGATTGGCTTGGCGCAACCGAACGCGGCCGCACTCGAGCACCACCACCACCACCACTGA</t>
  </si>
  <si>
    <t>MVKAVCVLQGDAKGTIYFEQPDSNSPVKVTGEVWGLQKGLHGFHIHEFGDNTNGCTSAGAHFNPLGKDHGAPLDAVRHVGDLGNIEAGADGATKVNITDSLISLQGPHSILGRTLVVHADPDDLGVGGHELSKSTGNAGARLGCGVIGICKAAALEHHHHHH*</t>
  </si>
  <si>
    <t>ATGGTTAAAGCGGTTTGTGTTTTGCAGGGGGATGCTAAGGGTACCATTTATTTTGAACAACCGGATTCGAATAGCCCCGTAAAGGTCACGGGGGAAGTGTGGGGTCTGCAAAAAGGTCTGCACGGTTTCCACATTCATGAATTTGGCGATAACACTAACGGTTGCACGAGTGCTGGCGCTCACTTTAATCCGCTCGGCAAAGACCATGGAGCACCACTGGATGCTGTTCGACATGTGGGTGACCTCGGTAACATAGAGGCGGGCGCGGATGGCGCGACGAAGGTCAATATTACGGATAGTCTGATATCTCTCCAAGGCCCGCACAGTATCTTAGGACGTACCCTGGTGGTCCATGCCGATCCGGACGACCTGGGGGTCGGTGGTCATGAACTGAGCAAATCTACCGGCAATGCCGGCGCCCGTCTGGGTTGTGGTGTGATTGGCATTTGCAAGGCGGCCGCACTCGAGCACCACCACCACCACCACTGA</t>
  </si>
  <si>
    <t>MTAMKYVKVIVFTEGINNCRGLLQFVQEPNGATHVKGRLTGLSPGLHGFHVNALGDTTNGCNSTGPHFNPLKKDHGAPSDQERHAGDLGNIVAACDGVAEVSLKDWQIPLSGPHSILGRAVVVHADPDDLGRGGHELSKTTGNCGARVVWGIIGNWSAVAAALEHHHHHH*</t>
  </si>
  <si>
    <t>ATGACTGCCATGAAATACGTTAAAGTCATTGTGTTCACAGAGGGCATTAACAACTGCCGCGGCCTGCTGCAGTTTGTACAGGAACCAAATGGGGCCACACATGTTAAGGGTCGTTTAACCGGCTTATCCCCCGGGCTGCATGGGTTTCATGTCAACGCTCTGGGCGATACAACCAACGGTTGCAACTCGACAGGGCCGCATTTCAATCCATTGAAAAAAGATCACGGAGCTCCTTCGGATCAAGAGCGCCATGCGGGGGACCTTGGCAATATCGTCGCTGCCTGCGACGGGGTCGCAGAAGTGAGCCTCAAAGATTGGCAAATCCCCCTGTCTGGCCCACATAGCATTCTCGGAAGAGCGGTTGTAGTCCATGCGGATCCGGACGATCTGGGGCGCGGAGGCCATGAACTGTCAAAGACTACCGGGAACTGCGGCGCACGTGTGGTTTGGGGGATTATAGGTAATTGGTCGGCCGTCGCGGCCGCACTCGAGCACCACCACCACCACCACTGA</t>
  </si>
  <si>
    <t>MAVKAVCVLNGAGAGEEVKGVVHFTQEGEGKVTITGEITGLTPGKHGFHVHEFGDNTNGCTSAGPHFNPFNKEHGGPNDTVRHVGDLGNVEADANGVAKVNITDKLISLTGPNSIIGRTLVVHADPDDLGKGGHELSKTTGNAGARLACGVIGITKAAAAALEHHHHHH*</t>
  </si>
  <si>
    <t>ATGGCAGTTAAAGCAGTTTGCGTTCTGAATGGTGCTGGTGCAGGTGAGGAAGTTAAGGGTGTGGTGCACTTCACGCAAGAAGGTGAAGGAAAAGTCACCATTACCGGGGAGATTACCGGCCTCACACCGGGAAAACACGGCTTTCACGTTCATGAATTTGGTGATAACACCAATGGTTGCACGTCGGCTGGTCCTCATTTTAACCCATTTAATAAAGAACACGGAGGTCCGAATGATACCGTCCGTCACGTAGGCGATCTCGGGAATGTGGAAGCCGATGCAAATGGCGTTGCAAAAGTAAATATCACAGATAAACTTATTTCTCTGACTGGCCCTAATTCAATCATTGGGCGTACCCTTGTTGTGCACGCCGATCCCGACGATTTAGGTAAAGGTGGCCACGAATTATCTAAGACTACAGGGAACGCGGGTGCTCGCCTCGCTTGCGGGGTCATAGGAATTACCAAAGCAGCTGCGGCCGCACTCGAGCACCACCACCACCACCACTGA</t>
  </si>
  <si>
    <t>MSVKAGGGFGGFQAVPGGDPNNLLGVIDITELDGVVTMTGSLTGLPPGPHGFHVHEYGDLGNGCLASGAHFNPYRSDHGGPANPPSSRHVGDLGNITTDNGGPTPINVKDPLMTFTGNRGIIGRAFVIHANPDDLGTAGNDGSKTVGNAGTRLACGIIGIAKAAALEHHHHHH*</t>
  </si>
  <si>
    <t>ATGAGTGTGAAAGCAGGAGGGGGGTTTGGTGGTTTCCAGGCAGTCCCCGGCGGGGATCCGAATAATCTCCTGGGCGTTATTGATATCACTGAACTCGACGGCGTGGTCACTATGACTGGCAGCCTTACCGGCTTACCGCCGGGACCACATGGCTTCCATGTTCACGAATATGGTGATCTGGGTAACGGTTGTTTGGCGTCAGGTGCACATTTCAATCCTTACCGTTCCGACCACGGGGGTCCTGCCAATCCGCCATCTAGTCGCCATGTGGGTGATCTGGGTAATATAACCACGGATAACGGCGGACCAACCCCGATCAACGTCAAAGATCCGCTCATGACGTTTACCGGGAACCGGGGTATCATAGGCCGCGCCTTCGTTATCCACGCCAATCCTGATGACCTGGGGACCGCCGGTAACGACGGGTCAAAGACGGTAGGTAACGCAGGTACACGCTTAGCCTGCGGTATTATAGGGATAGCCAAAGCGGCCGCACTCGAGCACCACCACCACCACCACTGA</t>
  </si>
  <si>
    <t>MVKCVLGDSPVTGTINFTQSGGSVTVTGTVSGLTPGLHGFHVHEKGDLSNGCVSAGGHFNPENKTHGAPTDTDRHVGDLGNIQADANGNAVVDITDSVISLSGPNSIIGRALVVHADEDDLGKGGSPDSKTTGNAGGRLACGVIGIAAALEHHHHHH*</t>
  </si>
  <si>
    <t>ATGGTCAAGTGCGTGCTGGGGGACAGCCCCGTAACCGGTACAATCAACTTTACACAGTCAGGAGGGAGCGTTACTGTAACGGGTACAGTGTCAGGATTGACCCCAGGTCTGCATGGGTTCCACGTCCATGAAAAAGGGGACCTTTCAAATGGATGTGTTAGTGCTGGCGGTCATTTTAATCCTGAGAACAAAACCCATGGCGCTCCGACCGATACGGACCGTCACGTGGGTGACTTAGGCAATATACAGGCCGACGCGAACGGTAATGCCGTTGTTGATATAACCGATTCCGTGATCTCCTTAAGTGGTCCGAACTCTATCATAGGACGGGCACTGGTGGTTCATGCAGATGAAGATGATCTTGGAAAAGGAGGATCACCCGACTCCAAAACTACCGGGAATGCTGGAGGTCGGCTGGCTTGTGGTGTGATTGGCATTGCGGCCGCACTCGAGCACCACCACCACCACCACTGA</t>
  </si>
  <si>
    <t>MAVATFPYSGQVFVTASGGTLTVRGQISGLPANATLGVHIHQYGDLGNGCLNAGGHFNPFGKNHGGPTSATRHPGDFGNVRTDGMGVANFNLTVNNSGLTPNDELIGLAVVVHAGQDDLGQGGNAGSLATGNSGPRLTCAVIGVAAAALEHHHHHH*</t>
  </si>
  <si>
    <t>ATGGCTGTAGCAACCTTTCCGTATAGCGGCCAGGTTTTCGTAACTGCGTCGGGCGGTACCTTGACGGTCCGGGGACAGATATCCGGATTACCCGCAAATGCGACCCTCGGTGTTCATATACACCAATATGGCGACTTGGGTAATGGATGTCTGAACGCCGGTGGACATTTCAATCCTTTTGGCAAAAATCACGGCGGTCCCACCTCAGCAACCCGTCACCCAGGCGATTTCGGGAACGTCCGTACAGATGGCATGGGTGTAGCCAACTTCAACTTGACCGTGAATAACTCCGGCCTTACACCGAACGACGAATTGATTGGTCTGGCCGTGGTTGTCCATGCAGGTCAAGACGACCTTGGCCAGGGTGGGAACGCTGGGAGCCTTGCCACTGGTAATAGCGGGCCGCGTTTGACATGTGCAGTAATTGGTGTTGCTGCGGCCGCACTCGAGCACCACCACCACCACCACTGA</t>
  </si>
  <si>
    <t>MKAVCVIKGTGEVTGTVHFEQEAEGPVTLKGSITGLTPGKHGFHVHEFGDNTNGCISAGPHYNPFGKTHGGPTDENRHVGDLGNVEANDKGVAEVEIKDKQIKLVGEHSVIGRTMVVHIAEDDLGKGGNEESLKTGNAGARVGCGIIGLAKAAALEHHHHHH*</t>
  </si>
  <si>
    <t>ATGAAAGCGGTTTGTGTGATTAAAGGCACTGGCGAAGTTACAGGCACAGTCCACTTTGAACAGGAAGCGGAGGGTCCGGTTACTCTGAAAGGTTCTATAACGGGTCTGACACCCGGTAAACATGGCTTTCACGTTCACGAATTTGGGGATAATACAAATGGGTGTATTAGTGCAGGCCCACACTATAACCCATTTGGGAAAACTCATGGAGGCCCGACTGACGAAAATAGACACGTGGGAGATCTGGGCAATGTGGAGGCGAATGATAAAGGGGTTGCAGAAGTGGAAATCAAAGATAAGCAGATAAAATTAGTGGGTGAACACAGCGTCATCGGCCGTACGATGGTGGTGCACATTGCTGAAGATGATCTGGGGAAAGGTGGCAATGAAGAATCGTTGAAAACAGGTAATGCTGGAGCTCGCGTTGGCTGCGGTATCATCGGGCTTGCTAAAGCGGCCGCACTCGAGCACCACCACCACCACCACTGA</t>
  </si>
  <si>
    <t>MEGAKGTVKGVALILGDNNVRGSLHFVQHPNGTTHVTGKITGLSPGLHGFHIHALGDTTNGCNSTGPHFNPLKKDHGAPTDDERHAGDLGNIVAGPDGVAEISIRDGQIPLTGVHSILGRAVVVHADPDDLGRGAAALEHHHHHH*</t>
  </si>
  <si>
    <t>ATGGAAGGCGCAAAAGGAACAGTTAAAGGTGTCGCGTTGATTCTTGGTGATAACAATGTGCGTGGTTCCCTGCATTTCGTGCAACATCCGAATGGGACAACACATGTTACCGGGAAAATCACTGGATTGTCCCCTGGACTCCACGGCTTCCATATCCACGCGCTGGGTGACACCACAAACGGCTGCAACAGCACCGGTCCTCACTTTAATCCTTTGAAGAAAGATCATGGTGCTCCGACAGACGATGAACGACATGCGGGTGACCTTGGCAACATAGTCGCAGGACCGGACGGAGTAGCTGAAATATCAATTCGCGACGGTCAGATACCTTTGACAGGCGTACATAGTATCCTTGGCCGTGCTGTCGTGGTCCATGCAGATCCTGATGACTTGGGCCGAGGAGCGGCCGCACTCGAGCACCACCACCACCACCACTGA</t>
  </si>
  <si>
    <t>MVRVPKAILGQWFGPGSIDGQVQFSQAVPQGPTTIQVSLKNLASIAGGYHVHVLPLKPGSASPCSNADILGHFNPLAWNVSNSPSPGVGTVDQYEVGDISGKFGMLTLKDIYEGVHEDPSMPLTGPYSIVGRSLVIHHTNSTSDTGNHPIRSLSFLLLLAAALEHHHHHH*</t>
  </si>
  <si>
    <t>ATGGTTCGTGTGCCTAAAGCTATTCTTGGCCAGTGGTTTGGTCCCGGATCTATCGATGGTCAGGTACAGTTTTCCCAGGCAGTCCCGCAAGGGCCTACTACGATTCAAGTTTCTCTGAAAAATCTCGCCAGCATCGCAGGCGGCTATCATGTACATGTGTTACCTTTAAAACCGGGCTCAGCGTCCCCATGCTCCAATGCTGATATCCTGGGGCATTTTAATCCTCTGGCGTGGAATGTTAGCAATTCCCCGTCTCCAGGAGTAGGTACTGTTGATCAGTATGAGGTGGGTGATATTAGTGGGAAGTTCGGTATGCTGACCTTAAAGGACATTTACGAGGGCGTCCACGAAGATCCATCCATGCCGCTTACGGGTCCCTATTCCATCGTGGGGCGCAGTCTGGTGATACACCATACTAATAGTACCTCTGATACGGGCAATCATCCGATACGTTCCCTCAGTTTTCTGCTGCTGTTAGCGGCCGCACTCGAGCACCACCACCACCACCACTGA</t>
  </si>
  <si>
    <t>MVKAVAVLRGDSKVTGTVTFEQASESAPVTITGDITGLDPNAKRGFHIHQFGDLTNGCTSAGPHFNPFGKNHGAPSDSERHVGDLGNIETDSNGVAKFTFTDKVISLNGPYSIIGRAVVVHAGTDDLGKGGNEESLKTGNAGPRPACGVIGLSAKAAALEHHHHHH*</t>
  </si>
  <si>
    <t>ATGGTGAAAGCTGTCGCCGTTCTGCGTGGAGATAGTAAAGTTACCGGGACAGTGACCTTCGAACAGGCTAGTGAATCAGCACCGGTAACGATTACGGGAGACATAACGGGTTTAGATCCCAACGCGAAACGTGGGTTTCATATCCATCAATTTGGCGATCTGACTAATGGTTGCACGAGTGCAGGCCCACATTTTAATCCCTTTGGCAAGAACCATGGGGCGCCCAGCGATTCAGAACGCCACGTGGGGGACCTTGGTAATATCGAGACCGATAGTAATGGCGTTGCGAAGTTTACCTTTACCGATAAAGTCATTAGCTTAAACGGTCCATATAGCATTATTGGGAGAGCTGTTGTCGTTCATGCAGGGACGGATGACCTGGGTAAAGGTGGCAACGAAGAATCCCTGAAAACCGGCAATGCGGGACCACGCCCGGCCTGTGGAGTCATCGGGCTGTCCGCAAAAGCGGCCGCACTCGAGCACCACCACCACCACCACTGA</t>
  </si>
  <si>
    <t>MASSKLEFMVENIKDRKALKAALLKTPEISRAEIIGGEAVVIETTLPCDAAGKLLQDITGGRAVLQGFGEGGAAVAMMEGSGSRGVIRLSGVSSGDGGLVDGTIDGLPPGVHKLNVHVAGDISQGCDSLGPVWEPAGKLGTVTAESNGRASFKFMVPDLKISQIVGRSLAIATEDQSQRLACGVIARSAGLFQNNKKICACDGVTLWDERYVPAAGRGRRQPIPPTNKLAAALEHHHHHH*</t>
  </si>
  <si>
    <t>ATGGCTAGCAGCAAATTGGAGTTTATGGTTGAGAACATAAAAGACCGAAAAGCCTTGAAAGCCGCCTTACTCAAAACCCCTGAAATCTCACGTGCAGAAATTATCGGAGGCGAAGCGGTGGTCATAGAAACCACTTTGCCGTGCGACGCTGCTGGTAAATTGCTGCAAGACATCACGGGCGGTAGAGCTGTGTTACAGGGCTTTGGTGAAGGTGGCGCTGCGGTGGCCATGATGGAGGGAAGCGGTAGCCGCGGTGTAATACGTTTGAGTGGCGTCAGTTCGGGTGACGGTGGATTGGTCGACGGCACGATTGATGGACTTCCTCCCGGTGTGCATAAACTGAACGTACATGTGGCAGGAGATATTTCTCAAGGCTGTGACAGCCTGGGTCCCGTGTGGGAACCTGCGGGGAAATTAGGTACGGTGACAGCCGAGTCAAACGGGCGTGCCAGTTTCAAATTCATGGTTCCTGACTTAAAAATTTCACAAATCGTAGGTCGCTCGCTGGCAATAGCAACAGAAGACCAAAGCCAGCGTTTGGCTTGCGGTGTAATCGCGCGCAGTGCGGGCCTGTTCCAGAACAACAAAAAGATTTGTGCATGCGATGGCGTCACACTTTGGGATGAAAGATACGTTCCGGCGGCAGGCCGGGGTCGTCGACAGCCGATCCCGCCAACCAATAAACTCGCGGCCGCACTCGAGCACCACCACCACCACCACTGA</t>
  </si>
  <si>
    <t>MVKAVAVLRGDAGVSGLVHFEQESESSPTTITGEITGFDPNTEHGFHVHQFGDNTNGCTSAGPHFNPFNKTHGGPADEERHVGDLGNVLADANGVAKVSISDSLVKLIGPTSIVGRTVVVHAGKDDLGKGGNEESLKTGNAGPRPACGVIGIAAAAALEHHHHHH*</t>
  </si>
  <si>
    <t>ATGGTGAAGGCCGTAGCAGTATTACGTGGTGATGCCGGCGTTAGTGGCCTTGTCCATTTCGAGCAGGAGAGTGAATCGTCACCAACCACAATCACCGGCGAAATAACTGGGTTTGATCCTAACACCGAACATGGCTTTCACGTGCACCAATTTGGAGACAATACCAATGGGTGCACGTCTGCCGGCCCGCACTTCAATCCGTTCAATAAAACGCACGGCGGTCCTGCTGATGAGGAGCGTCATGTAGGGGATCTGGGTAATGTGCTGGCAGACGCTAATGGCGTTGCGAAAGTGAGTATTTCTGATTCTCTGGTGAAACTGATTGGTCCAACATCGATTGTCGGCCGTACAGTTGTGGTCCACGCAGGCAAAGATGATCTCGGCAAAGGTGGAAACGAGGAGTCCCTGAAAACGGGTAATGCAGGACCTCGACCTGCATGCGGAGTGATCGGTATTGCCGCAGCGGCCGCACTCGAGCACCACCACCACCACCACTGA</t>
  </si>
  <si>
    <t>MQADTGVTGTVKFVQLVPGGPLQVNATIKGLRVSSSSSSNDSARDHRAFMHGMHVHQLGNLSDSCQSTGPHFNPTNTTHGDRRSSSRHVGDFGNIACDKHGESNVVFTDTLASLTGPHSIVGRSINIHARMDDLGRNPDNPASVSSGDAGPRIACCVVEKVDKLPQLSSKTARRILRDIMQPFSDFESEAAALEHHHHHH*</t>
  </si>
  <si>
    <t>ATGCAGGCTGATACCGGCGTGACAGGTACAGTTAAGTTTGTCCAATTAGTACCAGGGGGACCACTGCAAGTGAATGCGACCATCAAAGGTTTGCGCGTCTCATCGAGTTCTTCGTCAAATGATTCAGCGCGTGACCATCGTGCCTTCATGCATGGTATGCATGTGCATCAACTTGGAAATCTTTCTGATAGCTGTCAAAGTACCGGACCGCACTTCAATCCAACTAATACAACCCACGGCGATCGACGCTCAAGCTCACGACACGTGGGCGATTTTGGCAACATTGCGTGCGACAAACATGGAGAATCGAATGTGGTATTTACCGATACTCTGGCAAGTCTTACGGGCCCGCATTCAATCGTTGGCCGGTCGATTAACATCCACGCACGTATGGATGATTTAGGCAGAAACCCGGATAACCCGGCCTCGGTGAGCTCAGGTGACGCTGGACCCCGTATTGCTTGCTGTGTTGTCGAAAAAGTCGACAAGCTGCCTCAGCTGAGCTCCAAAACGGCCCGCCGCATATTGAGAGATATAATGCAACCTTTTTCCGATTTTGAATCAGAAGCGGCCGCACTCGAGCACCACCACCACCACCACTGA</t>
  </si>
  <si>
    <t>MAVKAVCVLRGDVVSGVVRFTQSGPDQPVHVTGEVKGLTPGQHGFHVHEFGDNTNGCTSAGGHFNPHGKTHGAPGDEERHVGDLGNVTANAQGVATVDITDRLISLSGPHSIIGRTLVVHADVDDLGKGGHELSKTTGNAGGRVACGVIGIAKAAALEHHHHHH*</t>
  </si>
  <si>
    <t>ATGGCCGTTAAGGCTGTATGCGTGCTGAGAGGGGATGTTGTTAGTGGTGTTGTTCGTTTTACACAGAGTGGTCCCGATCAGCCGGTGCATGTGACGGGAGAAGTGAAGGGACTGACACCGGGACAGCACGGATTCCACGTGCACGAGTTTGGTGATAACACTAACGGTTGCACCTCTGCCGGAGGTCATTTTAATCCTCATGGGAAGACTCACGGCGCGCCAGGTGATGAAGAACGTCATGTTGGCGACTTAGGCAATGTTACTGCGAATGCACAGGGCGTGGCTACAGTGGATATCACAGACCGTTTGATTAGCCTCAGCGGTCCGCATTCCATAATCGGTCGTACCCTCGTCGTCCATGCAGATGTTGATGACTTAGGGAAGGGAGGCCATGAACTCAGTAAGACCACCGGAAATGCTGGGGGGAGAGTGGCGTGTGGTGTCATTGGCATAGCTAAAGCGGCCGCACTCGAGCACCACCACCACCACCACTGA</t>
  </si>
  <si>
    <t>MPATAVCHLRPNAALPNATVSGRVTMTQRTGPVYIELDVQGFGQSSGPSLHGFHVHETAVTGGDCATAGGHFNPHGTTHGGPTDDVRHVGDLGNLEVPANGKLSSYILVDHLVSFTGINNIIGRSIVVHAGADDLGGGGDAGSLANGNAGGRLACCTISMAGGRGRRRRRGAAALEHHHHHH*</t>
  </si>
  <si>
    <t>ATGCCTGCAACGGCGGTTTGCCACTTGCGCCCTAACGCCGCGCTTCCAAACGCTACTGTGTCCGGGCGGGTTACCATGACCCAGCGGACGGGTCCAGTGTACATCGAACTCGATGTACAGGGCTTCGGCCAGTCATCAGGCCCTTCGTTACATGGGTTTCACGTGCATGAGACCGCGGTGACCGGGGGTGATTGTGCCACTGCTGGTGGGCACTTTAATCCACACGGGACAACTCATGGCGGGCCGACAGATGATGTCCGCCATGTCGGCGATTTAGGCAACCTTGAAGTTCCGGCAAATGGCAAATTGAGTTCCTACATCCTTGTGGATCACTTGGTCAGCTTCACAGGCATTAACAATATTATTGGCCGCTCCATTGTGGTCCATGCAGGCGCAGACGATCTTGGCGGGGGTGGGGATGCTGGTAGCCTGGCAAACGGGAATGCGGGCGGCCGCTTAGCATGCTGTACCATTTCTATGGCAGGCGGTCGTGGGCGCCGTCGGCGCCGTGGCGCGGCCGCACTCGAGCACCACCACCACCACCACTGA</t>
  </si>
  <si>
    <t>MKEQDYGSGVCILQNNSSVQGVCRLYQANDNECYFSGSFNGLENNTQYKLCIHEFGDLSNGPESCGDIYHANKSDESGDLGIIKSNEEGQCKIDTWNSNIKLWNVIGRSMVLHSIKSNNRILCGIIARSSGVAKNDKVICACDGLTVWEEKDRNEIIFAKLAAALEHHHHHH*</t>
  </si>
  <si>
    <t>ATGAAGGAACAGGATTATGGCTCGGGTGTTTGCATCCTGCAGAATAACAGCTCAGTCCAAGGCGTCTGCCGTCTGTATCAGGCAAATGATAATGAATGTTACTTCAGCGGTTCATTTAATGGATTAGAAAATAACACCCAATACAAGCTGTGTATTCACGAATTTGGGGACCTGTCAAACGGCCCGGAATCTTGCGGTGACATATACCATGCCAATAAATCGGATGAAAGCGGAGATCTGGGTATTATCAAAAGCAATGAAGAAGGTCAGTGTAAAATTGACACATGGAATTCGAACATCAAGTTATGGAATGTAATCGGGCGCTCCATGGTTCTGCATTCTATAAAATCCAATAACCGTATCTTGTGCGGGATTATCGCGCGTTCTTCGGGAGTGGCAAAGAATGATAAAGTTATATGCGCCTGTGATGGATTAACTGTGTGGGAAGAGAAAGACCGTAATGAGATTATTTTTGCTAAATTAGCGGCCGCACTCGAGCACCACCACCACCACCACTGA</t>
  </si>
  <si>
    <t>MSEAVCVLKGEKVQGTLRFTAAADGKTKVTGEVTGLTEGKHGFHIHEFGDYSNGCVSAGGHFNPAGKEHGGPEDENRHAGDLGNIEAGADGKAVVDITDKQIPLTGANSIIGRSVVVHADPDDLGKGGFPDSKTTGHAGGRLACGVIGFAKPAAALEHHHHHH*</t>
  </si>
  <si>
    <t>ATGAGCGAAGCGGTTTGCGTACTCAAAGGCGAAAAAGTACAAGGTACTCTGCGTTTTACAGCTGCTGCTGACGGGAAAACCAAAGTAACTGGCGAAGTGACAGGTTTAACAGAGGGCAAGCATGGATTTCACATACATGAATTTGGCGACTATAGTAACGGCTGTGTGAGTGCAGGTGGTCACTTCAATCCAGCCGGCAAAGAGCATGGTGGGCCGGAGGATGAGAACCGCCACGCAGGTGATCTGGGAAATATTGAAGCTGGAGCGGATGGGAAAGCGGTCGTTGATATTACGGATAAACAGATTCCTCTGACTGGGGCAAATAGTATTATCGGCCGGTCAGTGGTGGTACACGCAGATCCCGATGATTTGGGTAAAGGCGGTTTTCCGGATTCCAAGACGACGGGGCACGCAGGCGGCCGATTAGCGTGTGGCGTAATTGGTTTTGCGAAACCGGCGGCCGCACTCGAGCACCACCACCACCACCACTGA</t>
  </si>
  <si>
    <t>MTLTDMSQKLNDLWVTLLTGIPLGSIFNTDKNAYGICNLQPNPKLDAAELQITGKILFKQTYPHGKLETIFMVHGFPKDVNQTSRAIHIHSYGDLSNGCDSTGGHYNPESVNHPHHPGDFGNFRVRNGKIQQHLTNLEATLFGPFSSFGRSIVVHKLADDLGKGGNQASLENGNAGTRLACCVIGSTTSSSWDKYKKLMEDNASQKPAAALEHHHHHH*</t>
  </si>
  <si>
    <t>ATGACTTTGACAGACATGTCGCAAAAACTCAACGATTTATGGGTGACGTTACTGACGGGCATACCATTAGGCAGTATCTTTAATACTGATAAGAACGCCTACGGAATATGTAATTTGCAACCGAATCCAAAGTTAGATGCGGCTGAGCTGCAGATCACTGGCAAAATCCTTTTCAAGCAGACGTATCCACATGGCAAATTGGAAACCATCTTTATGGTGCACGGTTTCCCGAAGGACGTGAATCAGACAAGTCGTGCGATTCATATCCATTCTTATGGGGATCTGTCAAACGGTTGTGATAGTACAGGCGGCCATTACAATCCTGAGTCCGTGAATCACCCACACCACCCCGGCGATTTTGGAAATTTCCGCGTTCGCAACGGGAAAATTCAACAGCACCTGACGAATCTTGAAGCTACTCTCTTTGGCCCATTTTCATCATTCGGAAGAAGTATTGTCGTCCACAAACTGGCGGATGACTTAGGCAAAGGTGGTAACCAAGCATCTTTGGAGAACGGTAATGCTGGAACCCGCCTTGCCTGTTGTGTAATAGGATCGACCACATCAAGTTCCTGGGATAAATATAAAAAACTGATGGAAGACAATGCTTCCCAGAAACCGGCGGCCGCACTCGAGCACCACCACCACCACCACTGA</t>
  </si>
  <si>
    <t>MSYPIKAVCEVGPEGKPCGGGADDGKKCTGTVTFEQTDADTCTISWEIKGLTPGKHGFHIHEKADFSNGCTSAGPHYNPFKKTHGAPEDEERHVGDLGNIEPGADGVSKGSMKDKLIKLEGEHSVIGRSVMVHADPDDLGKGDNSEPGGDGKPPVNGKASKVTGNAGARIACGEIKLVSAAALEHHHHHH*</t>
  </si>
  <si>
    <t>ATGTCATATCCGATTAAGGCGGTTTGCGAGGTTGGGCCAGAAGGTAAGCCATGCGGTGGCGGCGCTGACGACGGAAAAAAGTGCACAGGCACAGTTACTTTTGAACAAACCGACGCCGACACATGCACGATTTCCTGGGAAATAAAGGGCCTTACCCCGGGCAAACATGGGTTCCATATCCATGAAAAAGCCGATTTTAGTAACGGCTGTACATCTGCAGGCCCCCACTATAATCCGTTTAAGAAAACACATGGCGCACCTGAAGATGAAGAAAGACACGTAGGCGACTTAGGTAACATCGAACCCGGCGCGGACGGGGTGTCCAAAGGCAGTATGAAGGATAAGCTTATTAAGTTAGAAGGGGAACATAGTGTAATTGGACGGTCTGTCATGGTTCATGCGGACCCCGACGACCTGGGGAAAGGTGATAATTCGGAGCCAGGCGGAGATGGTAAACCACCGGTTAATGGAAAGGCGAGCAAAGTTACTGGGAACGCGGGTGCACGCATAGCATGCGGTGAAATAAAACTTGTCTCCGCGGCCGCACTCGAGCACCACCACCACCACCACTGA</t>
  </si>
  <si>
    <t>MKKAVAVLKGTSNVEGVVTLTQEDDGPTTVNVRVTGLTPGPHGFHLHEFGDTTNGCISTGPHFNPNNMTHGAPEDEIRHAGDLGNIVANADGVAEATIVDNQIPLSGPNSVVGRAFVVHELEDDLGKGGHELSLTTGNAGGRLACGVVAAALEHHHHHH*</t>
  </si>
  <si>
    <t>ATGAAAAAAGCGGTGGCTGTTCTGAAAGGAACTAGTAACGTTGAAGGCGTTGTGACATTAACTCAGGAAGATGATGGTCCAACAACAGTAAACGTTCGAGTTACGGGCTTAACTCCAGGACCGCATGGCTTTCACCTGCATGAATTTGGAGATACAACAAACGGTTGCATCAGTACCGGCCCCCATTTTAACCCTAATAATATGACACATGGTGCCCCAGAAGACGAAATTCGTCATGCGGGGGATCTGGGCAATATCGTTGCGAATGCAGATGGAGTGGCGGAGGCGACCATTGTTGATAATCAGATCCCGCTGTCGGGTCCTAACTCGGTTGTAGGTCGGGCTTTTGTAGTCCATGAATTAGAAGACGACTTGGGCAAGGGAGGACATGAGTTATCACTTACGACCGGGAATGCAGGCGGCCGGTTAGCATGCGGTGTGGTTGCGGCCGCACTCGAGCACCACCACCACCACCACTGA</t>
  </si>
  <si>
    <t>MVKAVCVLKGPNVNGTITFSQESEGKPVYVNGRVTGLKAGLHGFHVHEFGDTSNGCISAGAHYNPFKREHGGPDSSERHVGDLGNIEAGSTGVADVSIRDTVISLFGENSILGRTLIVHADRDDLGKGGQPDSKTTGHAGARIACGIIARQAAALEHHHHHH*</t>
  </si>
  <si>
    <t>ATGGTTAAAGCGGTTTGCGTGCTTAAAGGGCCGAATGTGAACGGGACTATAACTTTTTCCCAAGAATCCGAAGGCAAACCGGTCTATGTTAACGGTCGTGTGACGGGTCTGAAGGCAGGGCTGCATGGCTTTCATGTTCACGAATTTGGAGATACCAGCAATGGATGTATTTCAGCAGGTGCCCATTATAACCCATTTAAGCGTGAACATGGTGGGCCGGATTCAAGCGAGCGTCACGTTGGGGATCTGGGAAACATCGAAGCGGGGAGTACTGGCGTCGCAGACGTGAGCATACGTGATACCGTTATTAGCCTGTTTGGGGAGAACAGCATACTGGGTCGGACCCTGATTGTCCACGCTGATCGTGATGATCTGGGCAAAGGCGGTCAGCCGGATAGTAAGACCACCGGTCATGCTGGTGCTCGTATCGCCTGCGGTATTATAGCACGTCAAGCGGCCGCACTCGAGCACCACCACCACCACCACTGA</t>
  </si>
  <si>
    <t>MKGVCVISGDVSGILEFIQDKPDSPVHITGYLNNLPKGNHGIHIHEFGDTSNGCTSAGEHFNPFHKEHGGPHSAERHLGDLGNVYSKGENAVTRVDIVDNMISLYGPYNILGRSLVVHTMKDDYGLGDNELSKTTGNSGGRLGCGIIGVKHEPVVTFAAALEHHHHHH*</t>
  </si>
  <si>
    <t>ATGAAAGGCGTTTGTGTGATTTCAGGTGATGTTTCTGGTATTCTGGAATTTATACAGGACAAACCGGATAGTCCGGTTCATATCACAGGCTATTTAAACAACCTTCCTAAGGGCAATCATGGGATCCATATTCACGAATTTGGCGACACTTCAAATGGGTGCACTAGCGCGGGTGAACACTTTAACCCGTTTCACAAAGAACACGGCGGACCGCATTCAGCGGAACGTCACTTAGGAGACTTAGGTAATGTTTATTCAAAGGGTGAAAATGCGGTTACCCGCGTTGATATCGTAGACAACATGATCTCACTGTATGGTCCTTATAATATATTAGGTAGATCACTTGTTGTGCATACTATGAAGGACGATTATGGCCTGGGTGACAATGAACTGAGCAAGACCACAGGTAATAGTGGCGGCCGCCTGGGATGTGGTATTATTGGGGTAAAACATGAACCAGTAGTAACGTTTGCGGCCGCACTCGAGCACCACCACCACCACCACTGA</t>
  </si>
  <si>
    <t>MNGEVVKGTVHFTQDGPDAPVTVKGEVTGLTKGKHGFHVHEFGDNTNGCTSAGAHFNPHKKTHGGPDDAERHVGDLGNIEADGNGVAKVDITDKLISLTGPNSIIGRTLVVHADPDDLGKGGHELSKTTGNAGARVACGVIGIAKIAAALEHHHHHH*</t>
  </si>
  <si>
    <t>ATGAACGGCGAAGTTGTAAAGGGTACCGTGCATTTTACTCAGGACGGCCCAGATGCGCCGGTTACCGTTAAGGGCGAGGTGACCGGTCTTACGAAAGGTAAACACGGTTTCCATGTCCATGAATTCGGTGATAATACTAATGGGTGTACTAGCGCAGGTGCTCATTTCAATCCTCATAAAAAAACTCACGGAGGCCCAGATGATGCTGAACGCCACGTTGGAGATCTTGGGAATATTGAAGCAGATGGGAACGGTGTTGCGAAAGTCGATATCACGGATAAACTGATCAGCCTGACGGGTCCTAATAGTATTATTGGGCGCACTCTTGTGGTCCACGCGGATCCGGATGACCTGGGAAAAGGAGGCCATGAACTGAGTAAAACGACCGGAAACGCAGGTGCACGAGTCGCATGTGGCGTTATAGGGATAGCGAAAATAGCGGCCGCACTCGAGCACCACCACCACCACCACTGA</t>
  </si>
  <si>
    <t>MATKAVCVLNGETVKGTLFFEQQGNAPVKVTGEVTGLTDGLHGFHVHEFGDNTNGCISAGPHFNPLNKTHGGPKDEERHVGDLGNVEAKDGVAKVNIEDKLISLSGEHSIIGRTLVVHEKPDDLGKGGNEESKKTGNAGARLACGVIGIAKAAALEHHHHHH*</t>
  </si>
  <si>
    <t>ATGGCCACGAAAGCTGTGTGCGTCCTCAACGGCGAGACCGTAAAAGGCACCTTATTTTTCGAGCAGCAGGGTAACGCCCCAGTAAAAGTTACTGGTGAAGTTACCGGACTGACGGATGGTCTGCACGGTTTTCATGTGCACGAGTTCGGTGATAACACAAATGGGTGTATCTCAGCTGGCCCGCATTTTAATCCCCTGAACAAAACACATGGTGGTCCGAAAGATGAAGAACGTCACGTTGGTGATCTGGGGAACGTGGAAGCAAAAGATGGGGTTGCGAAAGTTAATATTGAAGATAAGTTGATTTCTCTGAGTGGCGAACACAGTATTATTGGGCGAACGCTGGTCGTGCATGAGAAACCGGACGATCTGGGCAAAGGAGGCAATGAGGAAAGTAAAAAAACAGGGAACGCGGGGGCACGTCTGGCATGCGGAGTCATTGGCATAGCTAAAGCGGCCGCACTCGAGCACCACCACCACCACCACTGA</t>
  </si>
  <si>
    <t>MVKAVAVLGSSDGVKGTIFFTQEGDGPTTVTGSVSGLKPGLHGFHVHALGDTTNGCMSTGPHYNPASKEHGAPEDENRHAGDLGNVTAGADGVANINVTDSQIGMLSPCSNPNEGTPRAVLLILQGLPDDLGCGNDLIICVRFCVAAALEHHHHHH*</t>
  </si>
  <si>
    <t>ATGGTGAAGGCAGTTGCGGTGCTCGGTAGTTCAGATGGTGTCAAAGGCACGATTTTCTTTACTCAAGAGGGCGATGGCCCCACCACTGTAACCGGATCAGTCTCAGGCTTAAAACCTGGTTTACATGGATTTCACGTTCACGCGCTTGGCGATACCACGAATGGGTGTATGTCCACAGGCCCGCATTATAATCCAGCGAGTAAAGAACACGGGGCCCCCGAAGATGAAAACCGTCATGCCGGGGATCTGGGAAATGTAACGGCAGGGGCAGATGGGGTAGCAAATATTAATGTGACAGATTCACAGATAGGAATGCTTTCTCCTTGCTCCAATCCAAATGAAGGTACACCGCGTGCCGTGCTGCTGATCTTGCAAGGCCTTCCGGATGATTTAGGATGCGGTAATGACCTTATCATATGTGTGCGTTTTTGTGTTGCGGCCGCACTCGAGCACCACCACCACCACCACTGA</t>
  </si>
  <si>
    <t>MSLLLLSLLLLLLWTNKHLAHSIESNVASGNGMESGGGSTMGTVKAVAVISGADNVKGFVQFIQQPAGGTHVKGRISGLSPGLHGFHIHALGDTTNGCNSTGPHFNPLKKDHGSPLDDERHAGDLGNIVAGSDGVAEISITDKQIPLSGQHSILGRAVVVHADPDDLGKGGHELSKTTGNAGARVGCGIIGLQSSVAAALEHHHHHH*</t>
  </si>
  <si>
    <t>ATGTCTCTTCTGTTACTGTCATTATTGCTCCTGCTCCTGTGGACGAATAAACATCTGGCCCATTCCATTGAATCGAATGTAGCCTCGGGTAACGGCATGGAATCTGGCGGGGGCTCAACTATGGGTACAGTGAAAGCCGTAGCAGTTATTAGCGGCGCAGATAACGTTAAAGGTTTCGTGCAGTTTATTCAGCAGCCAGCCGGAGGTACACACGTTAAAGGCCGTATTTCTGGACTGTCTCCTGGGCTGCACGGTTTTCACATTCACGCATTGGGTGATACAACCAACGGTTGCAACTCTACCGGACCCCATTTTAATCCGTTGAAAAAGGATCATGGGAGCCCGCTGGATGACGAACGTCATGCAGGCGATTTAGGAAATATTGTCGCTGGCAGCGACGGAGTCGCTGAAATTTCAATTACTGACAAACAAATCCCACTGAGCGGTCAACATTCGATACTCGGGAGAGCCGTCGTTGTGCATGCAGATCCAGATGATCTGGGCAAAGGGGGGCATGAGCTCTCGAAAACTACCGGTAATGCGGGCGCGCGCGTGGGATGCGGTATTATCGGGCTGCAATCGTCTGTAGCGGCCGCACTCGAGCACCACCACCACCACCACTGA</t>
  </si>
  <si>
    <t>MTDPVRVAVTGAAGQIGYSLLFRIASGWMMGPDQPVVLRMLEIPPAMGALAGVKMELDDCAFPTLAGVVLTGDANEAFDGADYALLVGSMPRKAGMERSDLLEANGGIFTVQGKALSEHAASSVKILVVGNPANTNCLIAMRNAPCIPPRNFFAMTRLDHNRAIAQLAARTGASVNDIKRMTIWGNHSATQYPDLFHAEVAGRPAAAHVNDRCWLENDFIPTVAQRGAAIIDARGASSAASAASAAVDHMRDWLGTPAGDWVSMAVASDGEYGVPEGLIFGFPVTAAGGNYSVVQGLELDDFSRAKIDASVAELVEERDAVAHLGLLGAAALEHHHHHH*</t>
  </si>
  <si>
    <t>ATGACAGACCCGGTAAGAGTTGCTGTCACAGGTGCCGCGGGCCAAATTGGATATAGCCTGCTTTTCCGTATCGCAAGTGGTTGGATGATGGGTCCGGACCAGCCGGTCGTACTGCGCATGCTGGAGATTCCACCTGCCATGGGGGCGCTGGCGGGCGTGAAAATGGAACTGGATGATTGTGCCTTTCCTACTTTAGCGGGCGTGGTGTTAACGGGCGACGCTAATGAGGCATTTGACGGCGCTGACTACGCGCTGTTAGTCGGCTCAATGCCGCGGAAAGCGGGGATGGAGCGCAGCGACCTCCTGGAAGCCAACGGCGGCATCTTTACCGTTCAGGGGAAAGCACTGTCAGAGCATGCAGCAAGCTCAGTGAAAATTTTAGTCGTAGGGAATCCCGCAAATACAAACTGCCTGATTGCTATGCGAAACGCTCCGTGTATACCCCCTAGAAATTTCTTCGCCATGACCCGGCTGGACCATAACAGAGCAATTGCTCAGTTAGCGGCCCGCACGGGCGCTAGTGTGAATGACATCAAAAGAATGACCATATGGGGGAATCATTCGGCCACCCAATACCCCGACTTGTTTCATGCCGAAGTCGCGGGTCGTCCGGCGGCGGCGCACGTCAATGACCGGTGCTGGTTAGAAAATGATTTTATTCCTACTGTTGCCCAGCGCGGAGCGGCGATTATCGACGCCCGCGGCGCCTCATCGGCTGCAAGTGCGGCATCAGCAGCAGTGGACCATATGCGTGATTGGCTCGGCACGCCTGCTGGGGATTGGGTCAGTATGGCGGTCGCGTCAGACGGGGAATACGGGGTACCTGAAGGTTTAATTTTTGGGTTTCCAGTTACTGCTGCGGGTGGTAACTATTCAGTTGTTCAGGGTCTCGAGCTCGATGACTTTTCTCGCGCTAAAATTGATGCCTCAGTAGCCGAATTGGTTGAAGAACGTGATGCAGTTGCGCATTTGGGGTTACTCGGCGCGGCCGCACTCGAGCACCACCACCACCACCACTGA</t>
  </si>
  <si>
    <t>MARRNKITVVGAGNVGATVARWIAEKELADVVLVDVVEGMPQGKALDLAQAGPIWGYDSWLVGANSYDETAGSDIVVITAGLPRKPGMSRDDLLKTNSEIVGNVVDQVAKRSPDAILVVVSNPLDAMCQIAFRRSGFPKNRVVGMAGILDSARFRTFIAKELDVSVENVTAFVLGGHGDTMVPLPRYSTVAGIPITELLTPERLDAIVKRTANGGAEIVGLLKTGSAFYAPSAATVEMVEAILKDKKKILPCAVWLDGEFGIRGLFVGVPVKLGRRGVEQIIEITLTPEERAALHKSAAAVQELVDKLNLAAALEHHHHHH*</t>
  </si>
  <si>
    <t>ATGGCACGTCGTAACAAAATCACCGTTGTTGGTGCAGGTAATGTTGGTGCCACCGTTGCACGTTGGATTGCAGAAAAAGAACTGGCAGATGTTGTTCTGGTTGATGTTGTTGAAGGTATGCCGCAGGGTAAAGCACTGGATCTGGCACAGGCAGGTCCGATTTGGGGTTATGATAGCTGGCTGGTTGGTGCAAATAGCTATGATGAAACCGCAGGTAGCGATATTGTTGTTATTACCGCAGGTCTGCCTCGTAAACCGGGTATGAGCCGTGATGATCTGCTGAAAACCAATAGCGAAATTGTGGGTAATGTGGTTGATCAGGTTGCAAAACGTAGTCCGGATGCAATTCTGGTTGTTGTGAGCAATCCGCTGGATGCAATGTGTCAGATTGCATTTCGTCGTAGCGGTTTTCCGAAAAATCGTGTTGTTGGTATGGCAGGTATTCTGGATAGCGCACGTTTTCGTACCTTTATTGCCAAAGAATTAGATGTGAGCGTGGAAAATGTTACCGCCTTTGTTTTAGGTGGTCATGGTGATACCATGGTTCCGCTGCCTCGTTATAGCACCGTTGCCGGTATTCCGATTACCGAACTGCTGACACCGGAACGTCTGGATGCCATTGTTAAACGTACCGCAAATGGTGGTGCAGAAATTGTTGGTCTGTTAAAAACCGGTAGCGCATTTTATGCACCGAGCGCAGCAACCGTTGAAATGGTTGAAGCAATTCTGAAGGACAAAAAGAAAATTCTGCCGTGTGCAGTTTGGCTGGATGGTGAATTTGGTATTCGTGGTCTGTTTGTTGGTGTTCCGGTTAAACTGGGTCGTCGTGGTGTTGAGCAGATTATTGAAATTACCCTGACTCCGGAAGAACGTGCAGCACTGCATAAAAGTGCAGCAGCAGTTCAAGAACTGGTGGATAAACTGAATCTGGCGGCCGCACTCGAGCACCACCACCACCACCACTGA</t>
  </si>
  <si>
    <t>MMWWGFAWSTWKAVALISGDGSVKGSLHFIQDSDGWTFVKGRISGLSPGLHGFHIHAFGDTTNGCNSTGPHFNPLKKDHGAPSDQERHAGDLGNVLAGADGVATVSIWDLQIPLSGQHSILGRAVVVHADPDDLGKGGHELVKTTGNAGARIGCGIIGLRSIAQAAALEHHHHHH*</t>
  </si>
  <si>
    <t>ATGATGTGGTGGGGCTTTGCTTGGAGCACATGGAAGGCGGTTGCGCTGATTTCAGGTGACGGTAGTGTGAAAGGATCGTTACATTTTATCCAGGACAGTGATGGTTGGACCTTTGTGAAAGGACGCATTTCGGGCTTATCACCAGGCCTCCATGGATTTCATATTCACGCGTTTGGTGACACGACGAATGGCTGTAACAGCACAGGACCGCATTTTAATCCCTTGAAAAAAGACCATGGGGCTCCGAGTGATCAAGAACGTCACGCAGGCGATCTTGGCAATGTGCTGGCGGGAGCCGATGGCGTCGCTACAGTGTCAATTTGGGATCTCCAAATTCCCCTGAGTGGCCAGCACTCTATTCTTGGACGGGCGGTGGTGGTCCACGCAGACCCCGATGATCTCGGAAAGGGGGGGCATGAACTTGTTAAAACGACTGGTAATGCTGGTGCCCGCATCGGTTGTGGCATTATTGGGCTGCGGAGTATTGCGCAGGCGGCCGCACTCGAGCACCACCACCACCACCACTGA</t>
  </si>
  <si>
    <t>MNRKPIRVAVTGAAGQIGYALLFRIASGQMFGPNQPVILHLIEIPDEKALKALRGVVMELEDCAFPLLKGMVPTADLNEGFKGVNWALLVGAVPRKEGMERKDLLGINGKIFVGQGRAIDKNAASDVRVLVVGNPCNTNALIAMHNAKNVPSDRFFAMTRLDENRAKTQLAKKAGVDITGVTNMTIWGNHSSTQYPDFYNARINGRPVFDVISDRAWLKTTFIETVQQRGAAIIKARGLSSAASAANAAVDTVRSLWNPTPPGEWFSVAVCSDGSYGIPKGLIYSFPIRSDGKSYSIVQGVPLNEFGRAKIEATLAELREERAEVSDLLGKAAALEHHHHHH*</t>
  </si>
  <si>
    <t>ATGAATCGGAAGCCGATCAGAGTGGCTGTGACAGGGGCGGCAGGTCAGATTGGATATGCTCTTCTGTTTCGTATTGCCAGTGGACAAATGTTCGGTCCTAACCAACCTGTCATTCTGCATTTAATCGAAATACCTGATGAGAAAGCCTTAAAAGCACTGCGCGGGGTGGTGATGGAGTTAGAAGATTGTGCATTTCCACTGCTGAAAGGAATGGTACCAACAGCCGATTTAAATGAGGGCTTTAAAGGTGTTAACTGGGCTCTCCTCGTGGGAGCTGTTCCTCGGAAAGAAGGCATGGAGCGCAAAGATCTGCTGGGGATTAATGGTAAAATCTTTGTCGGGCAGGGTAGAGCAATCGATAAAAATGCAGCGTCAGATGTTAGAGTGCTTGTGGTTGGAAATCCTTGCAATACCAACGCACTGATTGCCATGCATAACGCCAAAAACGTTCCGTCTGATCGTTTCTTCGCAATGACACGCCTGGACGAGAATCGTGCGAAAACCCAGCTGGCTAAAAAAGCCGGCGTAGATATAACAGGTGTGACCAATATGACAATTTGGGGCAATCACAGCAGCACACAGTATCCGGACTTTTATAATGCCCGTATTAATGGAAGACCTGTTTTCGACGTTATATCCGATCGTGCTTGGCTTAAAACCACCTTTATTGAAACCGTACAGCAGCGTGGGGCTGCCATTATTAAGGCGCGCGGGCTGTCCAGTGCGGCTAGCGCTGCCAACGCCGCAGTCGACACTGTGCGTTCCTTATGGAATCCTACGCCTCCTGGTGAATGGTTCTCTGTTGCGGTTTGTTCAGATGGCTCATATGGAATTCCAAAAGGGCTTATCTACTCATTCCCGATTCGGTCTGATGGGAAATCTTATAGCATAGTTCAGGGAGTCCCTTTGAATGAATTTGGACGTGCGAAAATCGAGGCAACTCTCGCTGAGCTCCGCGAGGAACGCGCAGAGGTCAGTGATCTTCTGGGCAAAGCGGCCGCACTCGAGCACCACCACCACCACCACTGA</t>
  </si>
  <si>
    <t>MPVKAVCVLNGDVEGTIHFEQEWEHAPVYVTGEINGLNNGKHGFHIHEFGDNTNGCTSAGAHFNPHGCEHGGPSDAVRHVGDLGNINADPDGTAKVNILDKVISLCGPMSVIGRSLVIHADQDDLGKGGHELSKTTGNAGARLACGVIGITKAAALEHHHHHH*</t>
  </si>
  <si>
    <t>ATGCCGGTGAAAGCCGTTTGCGTCTTAAATGGGGATGTGGAAGGTACCATCCACTTTGAACAAGAGTGGGAACATGCCCCGGTTTACGTTACTGGTGAAATAAATGGATTAAATAATGGTAAACACGGCTTTCATATCCACGAATTTGGTGATAATACGAACGGTTGTACTAGCGCCGGGGCTCATTTCAATCCACATGGTTGTGAACATGGCGGTCCTTCTGATGCCGTGCGTCATGTTGGTGACCTGGGTAATATCAATGCAGATCCGGATGGAACCGCAAAAGTGAATATTTTAGACAAAGTAATATCACTGTGTGGGCCAATGTCAGTAATCGGTCGTAGCCTGGTGATTCATGCAGATCAGGATGATCTTGGCAAAGGCGGACATGAACTGAGCAAAACCACAGGTAATGCTGGAGCACGGCTCGCGTGTGGCGTCATTGGAATAACAAAGGCGGCCGCACTCGAGCACCACCACCACCACCACTGA</t>
  </si>
  <si>
    <t>MSARAVCVISGDVTGTVWFEQEGDGPVTVTGEITGLTPGKHGFHVHAFGDNTNGCMSAGPHFNPFSKTHGGPSDAERHVGDLGNVEANGDGVANFNITDSFLSLSGPNSIIGRTVVVHADEDDLGRGGNEQSLTTGNAGGRLACGVIGISKAAALEHHHHHH*</t>
  </si>
  <si>
    <t>ATGTCCGCACGCGCTGTGTGCGTGATATCAGGTGATGTCACCGGTACGGTTTGGTTCGAGCAGGAAGGCGACGGTCCGGTCACCGTAACCGGGGAGATCACAGGGCTCACACCGGGTAAACATGGTTTCCATGTGCACGCCTTCGGTGATAATACTAATGGGTGTATGAGTGCCGGGCCACACTTCAATCCTTTTTCTAAGACTCACGGTGGCCCTTCAGATGCAGAACGTCACGTGGGCGACCTTGGAAATGTCGAGGCAAATGGTGATGGCGTGGCCAACTTTAACATAACGGATAGTTTCCTCAGTTTGAGCGGTCCCAATTCTATTATCGGGCGAACCGTTGTGGTGCACGCTGATGAAGACGACCTGGGCCGTGGCGGTAACGAACAGAGCTTAACAACTGGTAACGCAGGTGGGCGGCTGGCGTGTGGGGTGATTGGGATCTCAAAGGCGGCCGCACTCGAGCACCACCACCACCACCACTGA</t>
  </si>
  <si>
    <t>MSKITVVGAGNVGATCANVLAHMDLVREIVLLDIRDGIPQGKALDTWEQAPIDGFSTNLRGTHDYHETADSDIVVVTAGVPRKPGMDRSDLLSHNAEIIKGVSDSIRKHSPNPIIIVVTNPLDVMTYRAHKVSGLRSKKVFGMAGILDSARFRAFLACALNVSPKDIRAVIMGGHGDSMVPLPRYTTVSGIPVTELLDKAALNAIIERTKVGGGELVKLMGTSAWYAPGAAAAHMVQAIIRNENVFPCCVKLQGQYGDGIFFGVPVKIGRNGIQIIELKLTADEEAALHASAASVKKVDWYDGLSAAALEHHHHHH*</t>
  </si>
  <si>
    <t>ATGTCTAAAATCACTGTTGTCGGAGCGGGCAATGTTGGGGCCACGTGTGCCAATGTGCTGGCACATATGGATCTGGTGAGAGAGATTGTGTTATTGGATATCAGAGATGGAATTCCGCAGGGAAAAGCACTGGATACCTGGGAGCAGGCACCAATTGACGGATTCTCGACAAACCTTAGAGGCACCCATGATTATCATGAGACGGCCGATTCCGATATCGTGGTGGTTACCGCAGGAGTGCCCCGCAAACCTGGTATGGATCGATCGGACCTCTTATCACACAACGCCGAGATTATTAAAGGGGTCTCAGATTCCATTCGCAAACACTCCCCAAATCCAATCATTATCGTGGTGACCAATCCGCTGGATGTTATGACCTATCGCGCACACAAGGTATCCGGTCTGCGCTCAAAAAAAGTCTTCGGCATGGCCGGTATCCTGGACTCGGCTCGTTTTCGTGCGTTTCTGGCTTGCGCCCTGAACGTTTCACCGAAAGATATCCGAGCGGTAATTATGGGTGGCCACGGTGATAGCATGGTGCCTCTTCCTCGTTATACCACGGTTTCAGGTATTCCTGTTACCGAACTCCTGGATAAAGCAGCTTTGAATGCTATAATTGAACGTACTAAAGTGGGTGGTGGTGAACTTGTCAAACTGATGGGTACATCTGCATGGTATGCTCCTGGAGCCGCAGCGGCACATATGGTTCAAGCAATTATTCGTAATGAAAATGTCTTTCCGTGCTGCGTCAAGCTGCAAGGACAGTATGGGGATGGTATCTTCTTTGGCGTTCCTGTGAAAATTGGCAGAAATGGAATTCAGATTATCGAACTGAAACTGACCGCCGACGAAGAAGCCGCATTACACGCGAGTGCAGCGTCAGTGAAAAAAGTTGATTGGTATGACGGTCTGTCGGCGGCCGCACTCGAGCACCACCACCACCACCACTGA</t>
  </si>
  <si>
    <t>MSKVTVVGAGNVGASCAEVIAYKEIADEVVLLDIKEGFAEGKAMDMMQTATLLGFDTVIKGVTNDYAATANSDVVVITSGIPRKPGMTREELIGVNAGIVKSVVENILKHSPEAILVIISNPMDTMTYLALKASGLPKNRIIGMGGALDSSRFKYYLSKALGKPASEIQGMVIGGHGDTTMIPLTRLATYKGIPVSEFLSAEELDEVAAATMVGGATLTGLLGTSAWYAPGAAGAFVVDSIIRDQKRIIPCSVYLDGEYGESDICIGVPCIIGKNGIEKIIDLRLNAEEKEKFKASACAVRNMNDALADLLAAALEHHHHHH*</t>
  </si>
  <si>
    <t>ATGTCTAAGGTGACCGTAGTTGGAGCTGGCAATGTGGGTGCGTCTTGCGCCGAAGTGATTGCGTACAAGGAAATTGCTGATGAGGTTGTACTGCTGGACATCAAGGAAGGTTTCGCGGAAGGTAAAGCTATGGATATGATGCAGACCGCGACGTTGCTGGGCTTCGATACAGTGATTAAGGGCGTGACAAATGATTATGCAGCAACCGCCAACAGTGATGTGGTTGTGATAACCTCAGGTATTCCCCGCAAACCGGGTATGACACGTGAAGAACTCATCGGGGTGAACGCCGGCATTGTAAAATCTGTTGTTGAGAATATTCTGAAGCATTCTCCTGAGGCAATTCTGGTGATAATTAGCAATCCGATGGATACAATGACGTACCTGGCCCTTAAAGCATCGGGCCTTCCGAAGAATCGAATTATTGGAATGGGGGGTGCTCTGGATTCGTCACGATTTAAGTATTACTTATCGAAGGCACTGGGTAAGCCCGCATCGGAGATCCAAGGTATGGTAATTGGTGGGCATGGTGATACGACCATGATTCCGCTGACTCGCCTGGCTACTTATAAGGGGATCCCGGTCTCAGAATTTCTGTCGGCCGAAGAACTGGATGAAGTGGCCGCTGCGACAATGGTTGGCGGAGCTACTCTCACTGGTTTACTGGGTACAAGTGCCTGGTACGCACCGGGCGCGGCTGGAGCATTTGTGGTAGATTCTATTATTAGAGATCAGAAACGCATAATTCCGTGTTCCGTATATCTGGATGGCGAATATGGTGAGAGTGATATTTGTATCGGTGTTCCCTGCATTATCGGGAAAAATGGAATTGAGAAAATTATTGATCTCCGTCTGAATGCCGAAGAAAAAGAAAAATTTAAAGCCTCGGCCTGCGCGGTGCGCAATATGAATGATGCATTAGCAGATCTGCTGGCGGCCGCACTCGAGCACCACCACCACCACCACTGA</t>
  </si>
  <si>
    <t>MQKRNKITIVGAGNVGATAAHHIASKELGDIVLVDIVEGMPQGKGLDLMQARPIDGYDSKITGTNNYEDTADSDIVIITAGLPRKPGMSRDDLLETNSEIVKNVVDQVAARSPEAIIVVVSNPLDAMAYTAYRVSGFPKNRVVGQAGILDSARFRTFIAMELGISVEDVTAFVLGGHGDTMVPMPRYSSVAGIPITELIAPDRLAEIVKRTREGGGEIVNLLKTGSAFYAPAAATVEMAEAILKDKKRVLPCAVWLQGEFGINGLFVGVPVVLGAGGVERIMEISLNDEERAALNASAAAVQQLVDKLGLAAALEHHHHHH*</t>
  </si>
  <si>
    <t>ATGCAGAAACGCAACAAAATTACCATCGTGGGCGCGGGCAATGTTGGGGCAACCGCCGCCCATCATATCGCGTCCAAAGAACTGGGAGATATCGTGCTGGTTGATATCGTGGAAGGTATGCCCCAGGGCAAGGGACTGGATTTGATGCAGGCACGCCCAATTGATGGATATGATTCAAAAATCACGGGGACCAATAATTATGAAGACACCGCAGATAGCGATATAGTGATTATTACGGCCGGCCTCCCGCGGAAACCTGGCATGTCGAGAGATGATCTGTTGGAGACTAATTCTGAAATTGTCAAGAATGTCGTTGATCAAGTTGCCGCTCGCAGCCCGGAAGCAATTATTGTTGTTGTGTCTAATCCTTTAGACGCGATGGCTTATACTGCCTATCGTGTAAGCGGTTTCCCTAAAAATCGTGTTGTTGGACAAGCAGGGATCTTAGATTCCGCTCGATTTCGTACCTTTATTGCCATGGAACTGGGGATCTCAGTGGAGGATGTGACCGCCTTCGTCTTGGGAGGACATGGCGATACTATGGTACCCATGCCGCGCTACTCAAGTGTTGCGGGTATACCGATAACCGAACTGATTGCTCCCGATCGTCTGGCGGAGATCGTGAAACGGACTCGTGAAGGTGGCGGTGAGATTGTAAATCTTCTTAAGACCGGTAGTGCATTTTATGCGCCAGCGGCAGCAACAGTCGAAATGGCCGAGGCGATCCTGAAAGACAAAAAACGAGTATTACCTTGTGCAGTTTGGCTGCAGGGAGAATTTGGAATCAATGGTCTTTTCGTAGGAGTGCCTGTCGTGCTGGGCGCGGGCGGAGTCGAACGCATCATGGAAATTTCCCTGAACGATGAAGAACGTGCCGCGCTTAATGCTTCTGCTGCGGCTGTTCAGCAGCTGGTGGACAAACTCGGCCTCGCGGCCGCACTCGAGCACCACCACCACCACCACTGA</t>
  </si>
  <si>
    <t>MGRKKITIVGAGNVGATTAQYAAHKELGDIVLVDIVEGMPQGKALDLAEAGPIEGFDSRIIGTNGYRETANSDVVVITAGIARKPGMSRDDLLSTNANIVGSVTEQVAATSPNAIIIVVSNPVDAMTQLAFKRSGWPSHRVVGMAGVLDSTRFRTFLAHELGVSVEDVSAFVLGGHGDSMVPLPSYSYAGGIPISDLLPQDRIDEIIARTRWGGAEIVGLLKTGSAFYAPSASAIEMVEAILRDKKRLLPCAAYLDGEYGVSDIYVGVPVIIGAGGVEEIIELELTAQEQAAFQKSVDAVRELVEKMRKLVAAALEHHHHHH*</t>
  </si>
  <si>
    <t>ATGGGTCGCAAAAAGATTACAATTGTGGGAGCGGGTAATGTGGGAGCGACGACGGCCCAATATGCTGCACATAAAGAGCTTGGAGACATTGTCCTTGTCGACATTGTTGAAGGTATGCCTCAGGGCAAAGCCTTGGATTTGGCGGAAGCAGGTCCTATCGAGGGCTTTGATAGCCGGATTATTGGTACGAATGGTTATCGGGAAACCGCCAATTCCGACGTGGTGGTTATTACGGCTGGTATCGCCCGCAAACCTGGGATGAGTCGGGATGATCTGTTGAGCACCAATGCCAATATCGTAGGCTCTGTGACCGAACAGGTCGCCGCAACCTCACCTAACGCGATTATAATCGTCGTATCGAATCCGGTCGACGCGATGACGCAACTGGCATTCAAACGGTCGGGGTGGCCTTCACATCGGGTGGTAGGGATGGCCGGTGTATTAGACTCAACACGTTTTCGTACGTTTCTGGCGCATGAGCTTGGGGTCTCTGTCGAAGACGTGAGTGCTTTTGTACTCGGCGGTCATGGAGATTCTATGGTCCCGCTCCCAAGCTATAGTTACGCTGGGGGCATTCCGATATCGGATTTGCTTCCGCAAGATCGCATCGATGAGATTATTGCACGTACTAGATGGGGGGGCGCGGAGATAGTAGGCCTGCTCAAAACCGGTTCCGCGTTTTATGCCCCATCGGCAAGCGCCATCGAGATGGTGGAAGCCATACTGCGAGACAAAAAACGACTGTTGCCCTGCGCGGCATATTTAGACGGTGAATATGGCGTTAGCGATATTTATGTGGGTGTCCCAGTAATCATCGGTGCCGGCGGCGTTGAAGAAATTATTGAATTAGAGTTGACTGCACAGGAGCAGGCGGCGTTCCAAAAGAGCGTGGACGCCGTACGCGAATTAGTGGAAAAAATGCGAAAACTCGTGGCGGCCGCACTCGAGCACCACCACCACCACCACTGA</t>
  </si>
  <si>
    <t>MKVTIIGAGNVGSTCADVIASKSIASEVILLDIKEGFAEGKALDLMQTSTTLGFNTKIVGTTGDYSLTSDSDVVVITSGIPRKPGMTREELIGINADIVKSVTQNILEHSPEPIIVMVSNPMDTMTYLALKVSGLDKKKIIGMGGALDSSRFKTYISLALNKPSNNINAMVIGGHGDTTMIPLTRLAKYNGLSISDILSDEKIAEVVKDTMVGGATLTKLLGTSAWYAPGSSIAYLVDSILNNQKKIIPCSVYLDGEYGQNDICIGVPCIIGSNGIEKIIELDLNDDENTKFSNSANAVRSMNESLDDLTAAALEHHHHHH*</t>
  </si>
  <si>
    <t>ATGAAGGTGACCATTATTGGTGCAGGTAATGTTGGTAGCACCTGTGCAGATGTTATTGCAAGCAAAAGCATTGCCAGCGAAGTTATTCTGCTGGATATCAAAGAAGGTTTTGCAGAAGGTAAAGCACTGGATCTGATGCAGACCAGCACCACACTGGGTTTTAATACCAAAATTGTTGGCACCACCGGTGATTATAGCCTGACCAGCGATTCAGATGTTGTTGTTATTACCAGCGGTATTCCGCGTAAACCGGGTATGACCCGTGAAGAACTGATTGGTATCAATGCCGATATTGTTAAAAGCGTGACCCAGAACATTCTGGAACATTCACCGGAACCGATTATTGTTATGGTTAGCAATCCGATGGATACCATGACCTATCTGGCACTGAAAGTTAGCGGTCTGGATAAGAAAAAGATTATTGGCATGGGTGGTGCACTGGATAGCAGCCGCTTTAAAACCTATATTAGCCTGGCGCTGAATAAACCGAGCAACAATATCAATGCAATGGTGATTGGTGGTCATGGCGATACCACCATGATTCCGCTGACACGTCTGGCCAAATATAACGGTCTGAGCATTAGCGATATTCTGAGCGACGAGAAAATTGCCGAAGTTGTTAAAGATACCATGGTTGGTGGTGCAACCCTGACCAAACTGCTGGGCACCAGCGCATGGTATGCACCGGGTAGCAGCATTGCATATCTGGTTGATAGCATTCTGAACAACCAAAAGAAAATTATCCCGTGCAGCGTTTATCTGGATGGTGAATATGGTCAGAACGATATTTGTATTGGTGTGCCGTGTATTATTGGTAGCAATGGCATTGAGAAAATCATCGAACTGGACCTGAATGATGATGAGAACACCAAATTTAGCAATAGCGCAAATGCAGTGCGTAGCATGAATGAAAGCCTGGATGATCTGACCGCGGCCGCACTCGAGCACCACCACCACCACCACTGA</t>
  </si>
  <si>
    <t>MAIRAVCVLKGDGHVEGTVWQEQRDYSYGPVVVKGQITGLTEGLHGFHVHQFGDRTQGCTSAGPHFNPYSKKHGGPKDVERHVGDLGNVTAGNEGVAKVWMNDPLISLSGPHSIIGRTMVVHEKRDDLGKGGNEESLKTGNAGSRLACGVIGIKKAAALEHHHHHH*</t>
  </si>
  <si>
    <t>ATGGCAATACGCGCCGTTTGCGTGCTTAAAGGAGATGGTCACGTAGAAGGTACTGTATGGCAGGAACAACGAGACTATTCATATGGTCCTGTAGTAGTGAAAGGTCAAATCACGGGTTTAACGGAGGGCCTGCACGGTTTTCACGTTCACCAATTTGGGGATCGTACGCAGGGCTGCACAAGTGCTGGTCCACACTTTAACCCCTATAGTAAAAAACATGGGGGTCCTAAGGATGTTGAACGTCATGTAGGTGACCTGGGGAATGTCACCGCGGGTAACGAAGGCGTCGCAAAAGTATGGATGAATGATCCACTGATCTCGCTGAGCGGCCCGCACAGTATCATTGGCCGCACTATGGTGGTACATGAGAAACGAGATGATCTTGGAAAAGGCGGAAATGAGGAATCCTTGAAGACTGGTAATGCTGGTTCCCGATTAGCATGTGGTGTTATAGGAATCAAAAAGGCGGCCGCACTCGAGCACCACCACCACCACCACTGA</t>
  </si>
  <si>
    <t>MTKRNKITVVGAGNVGATAAHWAASKELGDIVLVDILEGMPQGKGLDLCEAGPIEGFDSWVVGTNNYDDTANSDVVIITAGLARKPGMSRDDLLKTNSKIVKSVTEQVAKRSPNAFLVVVSNPLDAMAYIAYKASGFPKNRVVGQAGVLDSARFRTFIAMALGVSVEDVTAFVLGGHGDEMVPLPRFTSVAGIPITELISKDKLEAIIHRTRNGGAEIVNLLKTGSAFYAPSAATVEMAEAILKDKKRVLPCAAYLDGEFGISGLFIGVPVILGARGVEQIMEIGLTAEERAALRKSAAAVQELVAALNLAAALEHHHHHH*</t>
  </si>
  <si>
    <t>ATGACGAAACGTAACAAAATCACAGTAGTCGGTGCAGGGAATGTGGGGGCGACTGCTGCCCATTGGGCCGCTTCTAAAGAACTGGGCGACATTGTTCTGGTCGATATACTGGAGGGCATGCCCCAGGGTAAAGGTCTGGATCTGTGTGAAGCCGGACCGATCGAGGGGTTCGATAGTTGGGTTGTTGGTACTAATAACTACGATGATACCGCGAACTCCGACGTTGTTATCATTACCGCAGGCCTCGCCCGTAAACCTGGTATGTCACGGGATGATCTGCTTAAAACTAATTCGAAAATCGTGAAATCAGTTACTGAACAGGTGGCAAAACGCTCTCCTAACGCTTTTCTGGTTGTTGTTAGCAATCCGCTGGACGCCATGGCGTACATCGCATACAAGGCTAGCGGATTTCCCAAAAATAGAGTGGTTGGGCAGGCCGGTGTACTCGATAGTGCACGCTTTCGCACCTTCATTGCTATGGCGCTGGGTGTAAGTGTTGAAGATGTCACGGCCTTTGTGCTCGGTGGCCACGGCGATGAAATGGTGCCTTTGCCCCGCTTTACGAGTGTAGCAGGCATTCCGATTACTGAGCTCATTTCCAAAGACAAACTTGAAGCAATAATTCATAGAACACGGAACGGGGGGGCTGAAATTGTTAACTTACTCAAAACAGGTAGTGCATTTTATGCTCCCAGTGCGGCGACTGTTGAAATGGCAGAAGCGATTTTGAAAGATAAAAAGCGCGTACTGCCCTGCGCCGCGTATCTCGATGGTGAATTCGGTATATCAGGTCTGTTTATTGGTGTTCCGGTGATTTTAGGGGCGCGTGGTGTAGAACAGATTATGGAGATCGGATTAACTGCTGAAGAGCGGGCCGCATTGCGCAAATCGGCGGCAGCGGTGCAGGAACTGGTCGCGGCTCTGAATCTGGCGGCCGCACTCGAGCACCACCACCACCACCACTGA</t>
  </si>
  <si>
    <t>MKNPVRIAVTGAAGQIGYALLFRIANGDMLGNDQPIILQLLEIPAAMNCLKGVVMELDDCAFPLLHEVVASDDLYEAFERADYAFLVGARPRGPGMERKDLLEANARIFSLQGKAMDAWAGRWVKVLVVGNPANTNALIAARNAPGIAHGQFTAMTRLDHNRAKSQLADKTGSHTTDIQRWTIWGNHSATQYPDIHHYYVNGKNAVLVSEAWLKKEFIPTVQNRGAAIIEARGASSAASAASAAIDHVRTWAFGTSDGDWTSMGIPSRGSYGSPEGIIFSFPVICKNGYIVQGLDLNDFSRQRLKATEQELLEERAAVHHLLGAAALEHHHHHH*</t>
  </si>
  <si>
    <t>ATGAAGAATCCTGTACGGATTGCTGTGACAGGTGCAGCAGGGCAGATCGGTTATGCCTTACTGTTTCGGATTGCCAATGGTGATATGTTAGGGAATGATCAGCCTATAATTTTGCAGCTGCTGGAGATCCCAGCGGCCATGAATTGCCTCAAAGGCGTGGTTATGGAACTGGACGATTGCGCTTTTCCGTTACTGCACGAGGTTGTTGCGTCTGATGACCTGTATGAGGCTTTCGAGAGAGCCGATTATGCTTTTTTGGTTGGAGCTCGGCCCCGTGGTCCTGGTATGGAGCGTAAAGATTTACTTGAAGCGAATGCACGCATTTTTTCATTGCAGGGCAAGGCGATGGACGCGTGGGCTGGAAGATGGGTGAAGGTCTTAGTGGTGGGCAACCCGGCGAATACAAATGCACTTATTGCTGCGCGAAACGCCCCAGGCATAGCCCATGGCCAGTTTACCGCAATGACTCGTCTTGATCACAACAGAGCGAAGAGCCAGCTGGCAGACAAAACAGGATCTCATACGACCGATATACAGCGATGGACCATATGGGGTAATCACTCCGCAACGCAATATCCGGATATTCACCACTATTATGTAAACGGTAAAAACGCAGTTTTGGTGTCTGAAGCCTGGCTGAAAAAGGAGTTTATCCCTACTGTACAGAACCGCGGCGCGGCTATTATTGAAGCAAGAGGAGCGAGTTCAGCTGCGTCCGCTGCTAGTGCCGCGATAGATCATGTCCGTACATGGGCATTTGGTACTTCGGATGGTGATTGGACGTCCATGGGAATTCCTTCTCGTGGTTCATATGGTTCTCCAGAAGGTATAATCTTTAGCTTTCCTGTAATCTGTAAGAACGGCTATATCGTTCAGGGGCTTGACCTGAACGACTTTAGTCGTCAAAGACTTAAGGCTACCGAGCAGGAGCTGTTAGAAGAACGCGCCGCTGTACACCATTTACTGGGTGCGGCCGCACTCGAGCACCACCACCACCACCACTGA</t>
  </si>
  <si>
    <t>MAVKAVCVLKGEKVKGVIHFSQEGPDSPVKVSGEVSGLAEGKHGFHIHEFGDNTNGCMSAGSHFNPFQCEHGGPDDEVRHVGDLGNVIADSNGVAKVDMTDKMISLTGQHSIIGRTLVVHADPDDLGKGGHELSKTTGNAGARVACGVIGIAKLAAALEHHHHHH*</t>
  </si>
  <si>
    <t>ATGGCCGTAAAAGCCGTATGCGTACTTAAAGGTGAGAAAGTAAAAGGGGTTATTCATTTCTCGCAGGAAGGGCCAGATAGCCCCGTGAAAGTATCTGGCGAAGTGAGTGGACTGGCCGAAGGTAAACACGGATTTCATATCCATGAATTTGGTGATAATACAAATGGCTGCATGAGCGCCGGGTCGCATTTTAACCCCTTTCAGTGCGAACATGGTGGGCCAGACGATGAGGTCCGCCATGTGGGCGATCTGGGTAACGTCATCGCAGATTCCAATGGTGTGGCAAAGGTTGACATGACTGATAAGATGATTTCATTAACCGGTCAGCATAGTATTATAGGTCGTACGCTGGTGGTGCATGCCGATCCGGATGACCTCGGTAAAGGCGGCCATGAACTCTCGAAAACGACAGGGAATGCCGGCGCGCGGGTCGCTTGCGGTGTTATCGGTATCGCTAAACTTGCGGCCGCACTCGAGCACCACCACCACCACCACTGA</t>
  </si>
  <si>
    <t>MKKKIQLIGAGQIGTLLAHLGGLKELGDVVLFDVAEGIAQGKALDIAQSSPVDGFNIKLSGTDDYNDTKDSDVIIITAGVPRKPGMSRDDLLGINLKIIKQVAEGIKQNAPNAFVICITNPLDVIVMAFQKYSGLPKNKVVGMAGILDTSRFKFFLSQEFDVPVKNIESWVLGGHGDSMVPLPRFTKVNGKPLLDLVKEGKISKTRLEEIIDRTRDGGAEIVYLEKGSAFYAPASSGIEMAQSYLKDEKKLLPCAAYLNGEYGINNIFAGVPVIIGKNGVEKVIEIELSENEKSNFNVSINSVKNLWEAAIKIDPDLKKAAALEHHHHHH*</t>
  </si>
  <si>
    <t>ATGAAGAAAAAAATTCAACTGATCGGCGCAGGTCAGATTGGTACCCTGCTGGCGCATTTAGGTGGTCTGAAAGAACTGGGAGATGTGGTACTGTTTGATGTCGCAGAGGGCATTGCCCAGGGGAAAGCGTTGGACATTGCTCAGTCATCGCCGGTAGACGGCTTTAATATTAAGCTTTCCGGAACTGACGATTATAATGACACGAAAGATAGTGATGTAATCATAATTACTGCGGGTGTCCCAAGAAAACCCGGTATGTCGCGCGATGACCTGTTAGGGATTAATCTTAAGATTATTAAACAAGTGGCGGAGGGAATAAAACAGAACGCCCCTAATGCCTTTGTCATCTGCATAACTAATCCGCTGGATGTGATTGTTATGGCTTTTCAGAAATATTCAGGCCTTCCTAAAAACAAGGTGGTTGGGATGGCCGGTATTCTGGACACCAGCAGATTTAAATTCTTTCTGTCTCAAGAGTTTGACGTCCCGGTTAAGAATATTGAAAGTTGGGTTCTGGGTGGTCATGGTGATAGCATGGTTCCGTTACCCCGCTTTACCAAAGTTAACGGCAAACCCCTGCTTGATCTGGTCAAGGAGGGTAAGATTTCTAAGACTCGTTTAGAGGAGATTATAGACCGCACTCGTGATGGCGGCGCAGAAATAGTTTATCTGGAGAAAGGCTCTGCGTTTTATGCACCAGCCTCGAGTGGCATCGAAATGGCGCAGTCCTATCTGAAAGACGAAAAGAAATTGCTGCCGTGCGCGGCCTACCTTAATGGAGAGTACGGCATTAATAACATTTTCGCAGGGGTTCCAGTCATTATAGGGAAGAACGGTGTGGAAAAAGTGATAGAAATCGAATTGAGCGAGAACGAGAAGTCAAATTTTAATGTCAGCATAAATTCTGTAAAAAATCTTTGGGAAGCTGCAATTAAAATTGACCCTGATTTGAAAAAGGCGGCCGCACTCGAGCACCACCACCACCACCACTGA</t>
  </si>
  <si>
    <t>MARKKITIVGAGNVGATTAHWLVDKELGDVVLVDIIEGLPQGKALDLAESGPVYGFDCRIAGTRGYKETADSDIVIITAGIPRKPGMSRDDLLQKNCEIVKSVTEQIIKCSPNAILIIVSNPLDAMVQVAYKVSGFPRNRVIGMAGILDSARMRSFIAELHVSVENVTAFVLGGHGDTMVPLPRYSTVAGIPLPDYLPQEKIDRIVQRTADGGAEIVALLKTGSAYYAPSAAAVEMVEAILKDKKKILPCAAYLEGEYGINGIYFGVPVKLGENGIEQIMQIKLTPEEQAALQRSAAAVQELVDHIRVAAALEHHHHHH*</t>
  </si>
  <si>
    <t>ATGGCTAGAAAAAAAATTACAATAGTGGGTGCTGGTAATGTTGGTGCCACAACGGCCCACTGGTTAGTCGACAAAGAGCTGGGCGATGTGGTTCTGGTGGATATTATCGAAGGGCTTCCACAAGGCAAAGCCCTCGACCTGGCTGAATCTGGTCCGGTTTATGGCTTTGATTGTCGTATCGCTGGTACCCGTGGTTATAAAGAGACCGCTGATTCAGATATAGTAATTATCACCGCCGGTATTCCCAGAAAACCGGGCATGTCTCGGGATGACCTGCTTCAAAAGAATTGCGAAATTGTTAAAAGTGTCACGGAACAAATAATAAAATGTTCTCCGAACGCTATCCTTATCATCGTCTCCAACCCCCTGGATGCAATGGTGCAAGTTGCCTATAAAGTGAGCGGTTTTCCGCGTAATCGCGTCATTGGTATGGCCGGGATTCTGGATAGCGCTCGCATGCGTAGTTTCATAGCAGAACTGCACGTATCTGTGGAAAATGTTACCGCATTTGTGTTAGGGGGTCATGGTGACACCATGGTACCCCTTCCTCGCTATAGTACCGTCGCCGGCATTCCCTTACCCGATTATCTGCCCCAGGAAAAGATAGATCGCATTGTCCAGCGTACGGCTGATGGTGGCGCAGAGATTGTCGCTCTTCTGAAAACAGGTAGTGCGTATTATGCACCATCCGCGGCCGCTGTTGAGATGGTGGAGGCTATCCTGAAGGACAAAAAAAAGATCCTGCCTTGTGCCGCATATCTCGAAGGCGAGTACGGTATTAATGGTATCTATTTTGGCGTCCCTGTTAAACTGGGTGAAAACGGAATCGAACAAATTATGCAGATCAAATTAACTCCGGAAGAACAGGCAGCCCTGCAGCGTAGCGCTGCAGCCGTTCAGGAGCTGGTTGATCACATACGGGTCGCGGCCGCACTCGAGCACCACCACCACCACCACTGA</t>
  </si>
  <si>
    <t>MTAWGNVKGTADQTAGDNQNGDVRGWLHFCQDPSTGYTVCGGTITLLPPGLHGFVIHSFGDTTNGCNSTGPHFNPCNKSHGAPDDKERHAGDLGNIVANPDGVANVCIVDLQLPLSGPNSILGRAVVVHADPDDLGRGGHELSKTTGNAGARIGCGIIGLQSAVAAALEHHHHHH*</t>
  </si>
  <si>
    <t>ATGACAGCTTGGGGAAATGTTAAAGGTACAGCCGACCAGACCGCGGGTGATAACCAGAACGGCGATGTGCGTGGTTGGCTGCACTTCTGCCAGGACCCATCTACGGGTTATACTGTATGTGGAGGGACCATCACCTTACTGCCACCGGGTTTGCATGGCTTTGTTATCCATAGCTTTGGCGACACTACTAATGGTTGTAATTCCACCGGTCCACATTTTAACCCGTGCAACAAATCTCACGGCGCCCCGGACGATAAAGAACGTCACGCGGGCGACCTGGGCAACATTGTAGCCAATCCGGATGGGGTTGCCAACGTATGCATCGTTGATCTTCAGCTTCCTCTCAGCGGTCCTAACTCTATACTTGGGAGAGCGGTAGTGGTACACGCCGATCCCGATGATCTGGGGCGTGGCGGCCATGAGCTGAGCAAAACTACAGGGAATGCAGGGGCCCGGATTGGTTGCGGTATAATCGGGCTGCAGTCAGCTGTTGCGGCCGCACTCGAGCACCACCACCACCACCACTGA</t>
  </si>
  <si>
    <t>MRKKITVVGAGNVGATVAQRLFDRGYADVVLVDIVEGLPQGKALDILESGPLLGTNASVIGSNSYADTANSDVVVITAGIARKPGMSRDELLGTNHKIIGGVVQEIVKFSPNRIIIVVTNPLDAMAQCALDISGFPRKRVFGMAGVLDTARFRTFLAEELNVNVRDVQALVLGGHGDTMVPLWGYTTVGGVPISQLLPEDRIEELVQRTRDGGAEIVGLLKTGSAYYAPSAAVAQMVEAIIKDHRWVLPCAAWLDGEYGIDGLYIGVPVKLGADGVEEIVEVHLTEAETAALAKSAAAVQELVDELKNTGDAAALEHHHHHH*</t>
  </si>
  <si>
    <t>ATGCGCAAGAAAATCACTGTGGTTGGTGCTGGAAATGTTGGAGCTACTGTTGCCCAGAGATTATTTGACCGTGGTTATGCTGATGTCGTTCTGGTCGATATTGTGGAAGGCCTGCCACAGGGGAAAGCGTTAGATATATTGGAATCTGGGCCGTTGCTGGGAACCAATGCTTCAGTAATCGGATCTAACTCCTATGCGGATACTGCAAATAGCGATGTCGTAGTAATTACAGCGGGCATCGCACGCAAGCCAGGTATGAGTCGCGACGAACTGCTCGGTACGAACCACAAGATTATAGGCGGCGTGGTGCAGGAAATTGTTAAGTTTAGTCCAAACCGTATCATTATTGTGGTGACGAACCCTCTGGATGCAATGGCGCAATGTGCCTTGGACATAAGCGGATTCCCACGTAAACGCGTCTTCGGGATGGCTGGCGTACTTGATACAGCCCGTTTCCGTACTTTTCTGGCTGAAGAACTCAACGTTAATGTGCGGGATGTTCAAGCACTCGTCCTCGGCGGACATGGTGATACTATGGTGCCCCTTTGGGGTTATACAACTGTGGGTGGTGTTCCGATTAGCCAGTTGTTGCCGGAAGACCGCATCGAAGAATTGGTGCAACGCACTCGAGATGGTGGTGCGGAAATCGTCGGACTCCTGAAGACGGGATCAGCATATTATGCGCCCAGCGCGGCGGTCGCCCAAATGGTTGAAGCCATTATAAAAGATCATCGTTGGGTGCTGCCGTGTGCCGCATGGCTGGATGGGGAATATGGGATAGATGGACTGTACATAGGAGTACCTGTTAAGCTTGGTGCCGACGGTGTAGAGGAAATTGTGGAAGTACATCTGACAGAAGCAGAAACTGCCGCGCTTGCTAAATCCGCTGCCGCGGTTCAGGAGCTGGTCGACGAACTGAAAAATACAGGGGATGCGGCCGCACTCGAGCACCACCACCACCACCACTGA</t>
  </si>
  <si>
    <t>MKAVCVVGSGDVTGTIFFQQSGDGPVTVTGELNGLSPGKHGFHIHEFGDNTNGCISAGAHFNPFKKEHGGPTDAERHVGDLGNVVANSNGVAKVNITDSQISLTGENSIIGRTVVVHADPDDLGRGGHELSKTTGNAGGRLACGVIGVSKAAALEHHHHHH*</t>
  </si>
  <si>
    <t>ATGAAAGCGGTATGTGTAGTGGGGAGTGGTGATGTCACCGGAACAATCTTTTTCCAGCAAAGTGGCGACGGACCAGTGACCGTCACGGGCGAACTGAATGGTTTGTCGCCGGGTAAACACGGCTTCCATATCCACGAGTTTGGGGATAATACTAATGGATGCATTTCCGCAGGTGCACACTTCAACCCCTTTAAAAAAGAGCATGGGGGTCCGACCGATGCGGAACGGCACGTCGGAGATCTGGGAAACGTCGTAGCGAACTCAAATGGCGTTGCGAAAGTCAACATCACTGACAGTCAAATATCGCTTACGGGCGAAAACTCCATAATCGGCCGCACCGTCGTTGTGCATGCGGATCCAGATGATTTGGGCCGGGGTGGTCACGAGCTGAGCAAGACCACCGGGAACGCAGGAGGTCGCTTAGCATGTGGCGTTATTGGTGTTAGCAAAGCGGCCGCACTCGAGCACCACCACCACCACCACTGA</t>
  </si>
  <si>
    <t>MVAAVVVLSLSAGVKGTVQFFQEGDWPTRVTGFVSGLKPGKHGFHVHAYGDTSNGCMSTGPHFNPAGKEHGAPEDANRHAGDLGNVTADEDGTASFNITDKQIPLSGPRSIIGRAVVVHADPDDLGKGGHELSKSTGNAGGRVACGKTFIYYSCPIQPAAALEHHHHHH*</t>
  </si>
  <si>
    <t>ATGGTGGCTGCTGTTGTTGTGCTGAGCCTGAGCGCTGGTGTGAAAGGGACCGTCCAATTTTTTCAGGAAGGAGACTGGCCGACCCGTGTAACTGGTTTTGTTTCAGGCTTGAAACCCGGTAAACATGGTTTTCATGTTCATGCCTATGGTGATACGAGTAACGGATGTATGTCAACAGGCCCTCACTTCAATCCGGCTGGGAAAGAACATGGTGCCCCAGAAGATGCAAACCGACATGCCGGAGATTTGGGCAATGTTACGGCCGATGAGGACGGCACCGCCAGCTTTAATATAACAGACAAACAGATTCCATTGAGTGGTCCGCGCTCAATTATTGGTCGCGCCGTTGTAGTCCACGCTGATCCAGATGATCTGGGCAAGGGCGGCCATGAACTCTCAAAATCTACAGGTAATGCAGGCGGGCGTGTAGCGTGCGGTAAAACTTTTATCTATTATTCCTGCCCGATTCAACCGGCGGCCGCACTCGAGCACCACCACCACCACCACTGA</t>
  </si>
  <si>
    <t>MSVTKAVCVSWSETVTGTVYFTQDGPNDPVKVTGEIQGCADGKHGFHVHEFGDNTNGCTSAGPHFNPECKEHGAPEDADRHVGDLGNVVASSNVAAHVDIDDLIITLTGNNNIIGRTLVVHADPDDLGKGGHELSKTTGNAGARLACGVIGITKAAALEHHHHHH*</t>
  </si>
  <si>
    <t>ATGAGCGTTACCAAAGCCGTTTGTGTGTCGTGGTCGGAAACAGTCACAGGGACGGTCTATTTTACACAGGATGGACCCAATGATCCCGTAAAGGTAACAGGGGAAATCCAGGGTTGCGCCGACGGAAAGCATGGTTTTCACGTTCATGAATTTGGCGACAATACGAACGGCTGTACTAGTGCTGGTCCACACTTCAATCCCGAATGCAAAGAGCATGGAGCGCCAGAAGATGCCGATCGCCATGTGGGGGATCTGGGAAATGTCGTTGCTTCCTCCAATGTAGCGGCTCATGTTGATATAGATGATTTAATTATTACATTAACCGGTAATAACAACATAATCGGTAGAACCTTGGTTGTCCATGCCGACCCAGATGATCTGGGTAAAGGCGGGCACGAGTTAAGCAAAACGACGGGCAATGCTGGTGCACGTCTGGCGTGCGGTGTTATTGGAATTACAAAAGCGGCCGCACTCGAGCACCACCACCACCACCACTGA</t>
  </si>
  <si>
    <t>MPLKAVCVLNGEEVKGTVYFEQEWPHSCVSINGEIRGLSKGLHGFHVHEFGDNTNGCTSAGGHFNPYSKEHGAPEDENRHVGDLGNVQAGDDGYAKVNICDKQISLTGPRSVIGRTFVVHADPDDLGKGGHELSKTTGNAGARVACGVIGITEAAALEHHHHHH*</t>
  </si>
  <si>
    <t>ATGCCGCTGAAAGCTGTATGCGTCCTGAACGGTGAGGAAGTTAAAGGCACAGTATATTTTGAACAAGAATGGCCCCACAGTTGTGTGAGCATAAACGGAGAGATTAGAGGTCTGTCAAAAGGCCTCCATGGATTCCATGTCCATGAGTTTGGTGACAACACCAACGGGTGTACATCCGCCGGCGGTCATTTTAACCCTTATTCTAAGGAGCATGGCGCCCCTGAAGACGAAAATCGTCATGTTGGCGATCTGGGGAACGTACAGGCAGGGGACGATGGTTACGCCAAGGTGAACATTTGCGATAAACAAATCTCACTTACAGGACCTCGGAGCGTTATTGGGCGGACCTTCGTAGTACATGCAGATCCCGATGATCTGGGCAAAGGCGGCCACGAGCTGTCTAAAACTACCGGGAACGCAGGAGCACGAGTTGCATGTGGTGTTATTGGGATCACCGAAGCGGCCGCACTCGAGCACCACCACCACCACCACTGA</t>
  </si>
  <si>
    <t>MVKAVAVLRGDSKVTGVVTFTQPSEDSPVTISWDIKNNDPSAERGFHIHEFGDNTNGCTSAGPHFNPHGKNHGAPSDSERHVGDLGNIKTDGSGNAKGSITDSSLSLIGPESILGRTVVIHEGTDDLGRGGHPDSKKTGNAGPRSACGVIGIAAAAALEHHHHHH*</t>
  </si>
  <si>
    <t>ATGGTAAAAGCGGTAGCCGTCTTGCGGGGTGATAGCAAAGTGACTGGCGTTGTGACGTTTACACAGCCCAGTGAAGATTCACCAGTGACCATTAGTTGGGATATCAAGAACAATGATCCATCCGCAGAACGGGGCTTTCATATACATGAATTCGGTGATAATACGAACGGATGTACCAGTGCAGGCCCCCACTTCAACCCACATGGTAAGAATCATGGCGCACCTTCTGATTCCGAGCGACATGTGGGGGACTTAGGAAACATAAAGACTGATGGCAGTGGGAATGCAAAGGGGTCTATAACAGATTCTTCTCTGTCTTTGATTGGTCCTGAGTCGATACTCGGCCGTACCGTCGTGATTCATGAAGGAACTGATGATCTGGGTCGTGGGGGGCACCCCGACAGCAAAAAAACTGGTAATGCTGGTCCGCGTTCGGCCTGTGGGGTGATTGGTATTGCCGCGGCGGCCGCACTCGAGCACCACCACCACCACCACTGA</t>
  </si>
  <si>
    <t>MAKAVCVLRGDQGVTGVVTFEQAAPDSPTTISAEFNGLSKGNHGFHIHEFGDNTNGCISAGGHFNPHNVNHGDRTASVRHVGDMGNVVSSGADKPTTVNLEDRMISLFGPTSIIGRTVVVHGGADDLGLGGDAGSLLNGNAGSRAACGVIGITNAAALEHHHHHH*</t>
  </si>
  <si>
    <t>ATGGCCAAGGCCGTTTGTGTGCTTCGGGGCGATCAGGGAGTAACAGGCGTTGTCACCTTCGAACAGGCAGCTCCGGACTCTCCCACAACAATTAGTGCTGAGTTTAATGGTCTGTCGAAGGGCAACCACGGTTTTCATATCCATGAGTTCGGTGATAATACGAATGGTTGCATCTCGGCCGGTGGACATTTTAATCCTCATAACGTTAACCATGGCGACCGTACAGCCAGTGTTAGACATGTTGGTGACATGGGGAATGTAGTAAGTTCTGGGGCGGACAAGCCCACCACGGTAAACTTAGAGGATCGCATGATCTCTCTGTTTGGTCCGACGTCCATTATCGGCAGAACGGTTGTAGTACATGGCGGCGCTGATGACCTTGGTCTTGGCGGTGATGCGGGGAGTCTTCTGAATGGGAATGCCGGATCCCGCGCCGCGTGTGGTGTGATTGGAATTACCAATGCGGCCGCACTCGAGCACCACCACCACCACCACTGA</t>
  </si>
  <si>
    <t>MSQALELSGRKAHFGSQGVPDDFLVSAAVAEFKGPVIFGVVRLAQVNMELARIEANFSGLPPGKHGWSINEFGDLTKGAASTGKVFNPTNNGNGKEPLGDLGTLDVDDKGEAFFSGVKEKLRVADLIGRAIVVYGTEDKSDEGLTAAVVARSAGVGENYKKLCTCDGTTIWEATNADFVTSKVAAALEHHHHHH*</t>
  </si>
  <si>
    <t>ATGTCTCAGGCCCTGGAACTGAGCGGTAGAAAAGCCCACTTCGGCTCTCAGGGCGTCCCCGATGATTTCTTAGTTTCTGCCGCCGTCGCGGAGTTTAAAGGTCCGGTTATCTTTGGTGTGGTACGCTTAGCCCAGGTAAATATGGAACTGGCTCGTATAGAAGCCAATTTTTCGGGCCTCCCACCCGGGAAACACGGCTGGTCCATTAATGAATTCGGTGATTTAACAAAGGGCGCCGCGTCCACCGGGAAAGTCTTTAATCCAACGAACAATGGTAATGGTAAGGAGCCGCTTGGTGACTTAGGTACATTAGATGTGGACGATAAAGGTGAAGCATTTTTCAGTGGTGTTAAAGAGAAGCTGCGGGTTGCCGACTTGATTGGACGAGCCATCGTGGTATATGGGACTGAAGATAAATCAGACGAAGGGTTGACCGCAGCCGTCGTGGCGCGCAGTGCGGGAGTGGGAGAAAATTATAAGAAATTATGTACGTGCGATGGTACGACGATTTGGGAAGCAACTAACGCGGACTTTGTCACCTCTAAGGTTGCGGCCGCACTCGAGCACCACCACCACCACCACTGA</t>
  </si>
  <si>
    <t>MISSQSSCCCKSKVLGVIRFQQSSAGPLVGDGSVDGLAPGAHGLHVHHTGDLSMGCESIGEHYNPYNAPHGGPNDPADRRHAGDLGNIVADEEGRATFRIVDNVLKIHEIVGRSIAVTERADDLGRGSSPASKIDGDSGKAIACGIIARSAGVFQNPKRICACDGVVVWDERDRPLAGKGRTSEGVGRTSEGRCCQGQGRGQGQGRGQGASTGCCKIAAALEHHHHHH*</t>
  </si>
  <si>
    <t>ATGATCAGCTCCCAGAGTAGTTGCTGCTGCAAATCTAAAGTATTAGGTGTGATCCGTTTTCAGCAGAGCAGCGCCGGGCCTCTGGTAGGAGATGGATCAGTTGATGGGCTGGCACCGGGCGCACACGGCTTACATGTACATCATACTGGCGATCTGAGCATGGGATGTGAGTCTATTGGCGAGCATTATAATCCCTATAATGCTCCTCACGGCGGACCGAATGACCCAGCGGATCGTAGACACGCTGGGGATTTAGGAAACATAGTGGCTGATGAAGAAGGACGAGCAACTTTCCGGATTGTGGATAACGTACTCAAGATTCATGAGATTGTCGGACGCTCCATTGCAGTGACCGAACGAGCCGACGATCTGGGACGGGGCAGCTCGCCCGCTTCAAAAATAGATGGTGACTCCGGAAAAGCAATAGCCTGTGGTATCATCGCTAGATCTGCGGGTGTTTTCCAAAACCCGAAACGAATTTGCGCATGCGATGGAGTGGTGGTCTGGGATGAACGGGATCGCCCGCTCGCTGGAAAGGGTAGAACCTCAGAGGGCGTCGGGCGTACGTCGGAAGGCCGTTGTTGTCAGGGTCAGGGTCGCGGTCAGGGTCAGGGACGTGGTCAGGGGGCGAGCACGGGTTGTTGCAAGATCGCGGCCGCACTCGAGCACCACCACCACCACCACTGA</t>
  </si>
  <si>
    <t>MSLKAVCVLKGDGAVTGTVTFEQAADGPVTVKGTITGLTPGKHGFHVHEFGDNTNGCTSAGPHFNPFGKEHGAPEDTERHVGDLGNVEANADGVAEFEIKDSKISLTGPNSIIGRSVVVHEGVDDLGKGGHELSKTTGNAGGRLACGVIGIAKAAALEHHHHHH*</t>
  </si>
  <si>
    <t>ATGTCACTGAAGGCTGTTTGTGTTTTAAAGGGGGATGGTGCCGTGACTGGAACAGTCACTTTTGAACAGGCCGCAGATGGGCCTGTGACAGTCAAAGGTACTATTACCGGTCTTACCCCAGGCAAACACGGCTTTCACGTCCATGAATTCGGTGACAACACGAATGGCTGTACGTCGGCTGGACCTCATTTCAATCCTTTTGGCAAAGAACACGGTGCACCGGAAGATACAGAGCGCCATGTAGGCGACCTCGGCAACGTGGAAGCGAATGCAGATGGCGTAGCCGAGTTCGAAATTAAAGATAGCAAAATCAGTCTGACGGGCCCGAATTCAATTATCGGTAGATCTGTGGTGGTACACGAAGGTGTTGATGACCTGGGGAAAGGTGGTCATGAATTAAGTAAGACGACAGGAAATGCCGGAGGCCGGCTCGCATGCGGAGTAATCGGCATTGCTAAAGCGGCCGCACTCGAGCACCACCACCACCACCACTGA</t>
  </si>
  <si>
    <t>MKAVCVLKGGDVKGVIHFTQEGPGAPVTVTGTISGLTAGKHGFHVHEFGDNTNGCVSAGAHFNPHNKTHGGPGDEVRHVGDLGNVTAGADGVAKVDITDKQISLSGPLSIIGRTLVVHADPDDLGKGGHELSLTTGNAGARVACGVIGIAKAAAALEHHHHHH*</t>
  </si>
  <si>
    <t>ATGAAGGCTGTCTGCGTGCTCAAAGGAGGGGATGTAAAAGGCGTGATTCATTTTACACAGGAGGGGCCCGGGGCGCCCGTTACGGTTACTGGCACTATTTCGGGACTGACCGCTGGCAAACATGGGTTCCATGTCCATGAATTCGGTGACAACACGAACGGGTGCGTGTCCGCGGGAGCCCACTTTAATCCTCACAATAAGACTCATGGTGGTCCCGGTGATGAAGTCCGGCACGTCGGGGATTTAGGAAATGTTACCGCCGGTGCCGATGGCGTTGCCAAAGTTGATATTACTGATAAACAGATCAGCCTCAGTGGTCCTCTCAGCATTATTGGCCGCACTTTAGTCGTACATGCAGACCCAGATGATCTGGGTAAAGGGGGCCATGAATTAAGCCTGACGACCGGCAATGCAGGGGCTAGAGTTGCATGTGGCGTAATCGGGATTGCCAAGGCAGCGGCCGCACTCGAGCACCACCACCACCACCACTGA</t>
  </si>
  <si>
    <t>MMKAAVVVHYGEWIQGLYFEFWEDDPVKVTGEITGLAKGNHGFHVHQFGDNTNGCTSAGPHFNPFNKEHGAPWDAVRHAGDLGNVEAGADGVAKVDIKDKYISLSGPHSIIGRTLVVHADPDDLGKGGHELSKTTGNAGARVACGVIGLAKSAAALEHHHHHH*</t>
  </si>
  <si>
    <t>ATGATGAAGGCTGCGGTTGTAGTGCATTATGGGGAATGGATCCAGGGATTATATTTTGAGTTTTGGGAAGATGACCCCGTTAAAGTGACTGGTGAGATTACTGGTTTAGCTAAAGGTAACCACGGGTTTCATGTCCACCAATTTGGTGATAATACAAATGGATGTACGTCTGCCGGCCCGCATTTTAACCCGTTTAACAAGGAGCATGGTGCCCCCTGGGATGCGGTACGCCACGCTGGAGATCTCGGCAACGTTGAAGCAGGTGCGGATGGTGTTGCGAAAGTTGATATTAAAGATAAATATATCTCTTTGTCCGGACCGCACAGTATAATTGGTCGCACACTGGTGGTTCACGCTGACCCGGATGATCTGGGCAAAGGTGGCCATGAATTATCAAAGACTACAGGTAACGCCGGGGCACGTGTTGCGTGCGGGGTGATCGGTCTGGCAAAATCAGCGGCCGCACTCGAGCACCACCACCACCACCACTGA</t>
  </si>
  <si>
    <t>MVLKAVCVLKGDGPVTGTVHFEQSIAGAPVVLKGQITGLAEGLHGFHVHAFGDNTNGCTSAGPHFNPHNKKHGGPNDEERHVGDLGNVKAGNDGVANVDIKDKLLSLSGPNSIIGRTMVVHEKRDDLGKGGDEESLKTGNAGGRLACGVIGIAQAAALEHHHHHH*</t>
  </si>
  <si>
    <t>ATGGTCCTGAAAGCGGTCTGCGTGTTAAAAGGCGATGGACCTGTGACTGGCACTGTCCATTTTGAACAAAGTATAGCAGGGGCCCCGGTTGTCCTGAAAGGTCAAATCACAGGGCTTGCAGAAGGGCTGCACGGTTTCCACGTACACGCCTTCGGTGATAATACTAATGGCTGCACATCCGCTGGGCCGCACTTTAATCCTCACAACAAAAAACATGGCGGTCCGAACGACGAGGAACGACATGTTGGGGATTTAGGGAACGTAAAGGCCGGGAACGATGGGGTCGCAAACGTGGATATAAAAGATAAATTACTGAGCCTGTCGGGACCGAATAGCATAATTGGCCGTACGATGGTAGTGCATGAAAAACGTGATGATCTCGGCAAGGGAGGCGATGAAGAATCTCTGAAAACGGGCAATGCAGGCGGTCGCCTCGCATGTGGCGTGATTGGTATTGCGCAGGCGGCCGCACTCGAGCACCACCACCACCACCACTGA</t>
  </si>
  <si>
    <t>MVKAVAVLRGDSKVTGVITFTQPSEGSPTTVSWDIKNNDPNAERGFHVHEFGDNSNGCTSAGPHYNPHGKTHGAPTDSERHVGDLGNIKTDGSGNATGSITDSSISLIGPESILGRTVVIHEGTDDLGRGGHPESKKTGNAGPRPACGVIGIAAAAALEHHHHHH*</t>
  </si>
  <si>
    <t>ATGGTGAAAGCAGTGGCCGTGCTCCGAGGTGACTCGAAGGTTACAGGCGTTATAACATTCACACAGCCATCGGAAGGCTCTCCTACAACTGTTTCATGGGATATAAAAAACAACGATCCCAATGCTGAGCGGGGCTTTCATGTACATGAATTTGGGGACAATTCAAATGGATGCACCTCCGCAGGACCGCATTATAATCCTCACGGCAAAACGCATGGCGCGCCCACGGATAGTGAACGACACGTTGGCGATTTAGGTAACATCAAAACCGACGGTTCTGGAAATGCTACCGGCAGTATCACGGACTCCTCCATCAGTTTAATAGGTCCGGAATCTATATTAGGCAGAACTGTAGTAATCCATGAGGGAACTGATGATTTAGGCCGGGGGGGTCACCCGGAGAGCAAAAAAACTGGTAACGCGGGCCCACGACCAGCTTGCGGCGTGATTGGTATAGCGGCGGCGGCCGCACTCGAGCACCACCACCACCACCACTGA</t>
  </si>
  <si>
    <t>MALKAVCVLKGDGPVQGTIYFEQDPAGEAVKISGQVSGLAEGLHGFHVHEFGDNTNGCTSAGPHFNPHNKTHGGPTDEERHVGDLGNVIADSDGIANVNIKDKLISLTGPLSIIGRTMVVHEKRDDLGKGGDEESRKTGNAGARLACGVIGIARAAALEHHHHHH*</t>
  </si>
  <si>
    <t>ATGGCGCTTAAAGCCGTTTGTGTGCTGAAAGGCGATGGCCCGGTGCAAGGTACCATCTACTTCGAGCAGGATCCGGCAGGAGAAGCTGTCAAAATTTCCGGCCAGGTGAGTGGCCTGGCAGAGGGTTTACATGGTTTTCATGTTCATGAATTTGGCGATAACACGAACGGCTGCACGTCGGCTGGTCCGCATTTTAATCCTCATAATAAGACGCATGGTGGTCCCACTGATGAGGAACGACATGTGGGTGATCTGGGGAATGTTATCGCGGACAGTGACGGAATTGCAAATGTCAACATTAAAGACAAACTTATAAGTCTCACTGGCCCGCTGAGTATCATAGGTCGTACGATGGTCGTACATGAAAAACGTGATGATCTGGGCAAGGGCGGAGATGAAGAGTCACGCAAAACGGGAAATGCGGGCGCGCGCCTTGCTTGCGGCGTTATTGGGATTGCACGTGCGGCCGCACTCGAGCACCACCACCACCACCACTGA</t>
  </si>
  <si>
    <t>MMAWWGASKGTALITGPDNNSSAVRGGSHFFQQPDAGYTVVCGKITGLAPGLHGFHIHSFGDNTNGCNSTGPHFNPCNKSHGAPWDIERHAGDLGNIVANPDGVANVSLEDSQIPLSGPNSILGRAVVVHADPDDLGRGGNELSKSTGNAGARLGCGIIGLQSADAAALEHHHHHH*</t>
  </si>
  <si>
    <t>ATGATGGCCTGGTGGGGAGCAAGCAAAGGTACCGCACTGATTACCGGTCCGGATAACAATTCCTCAGCCGTACGTGGCGGATCTCACTTTTTCCAGCAGCCTGACGCTGGGTATACTGTCGTATGTGGGAAAATCACTGGCCTTGCCCCCGGGCTGCACGGTTTTCACATCCATTCTTTTGGCGACAATACCAATGGTTGTAACAGTACCGGCCCACACTTTAACCCCTGCAATAAGAGCCACGGAGCACCATGGGACATTGAACGTCATGCAGGCGATCTGGGAAATATAGTTGCCAATCCCGACGGGGTTGCTAACGTCAGTCTGGAAGACTCGCAGATTCCTCTCTCCGGCCCGAATTCTATTCTGGGCCGTGCCGTTGTGGTTCATGCAGATCCCGATGATCTTGGTCGTGGTGGTAATGAGCTGTCTAAAAGCACAGGCAATGCCGGAGCACGGTTGGGTTGCGGCATTATAGGACTGCAGTCAGCTGACGCGGCCGCACTCGAGCACCACCACCACCACCACTGA</t>
  </si>
  <si>
    <t>MALKAVCVLKGDGPVKGTIYFEQSPAGGPVRLKGQITGLAEGLHGFHVHEFGDNTNGCTSAGPHFNPHSKKHGGPSDEERHVGDLGNVKAGDDGVANVDLKDKLLSLTGPMSIIGRTMVVHEKRDDLGKGGDEESLKTGNAGGRLACGVIGIAQAAALEHHHHHH*</t>
  </si>
  <si>
    <t>ATGGCCCTTAAAGCGGTCTGTGTGCTGAAAGGGGATGGTCCGGTTAAGGGAACCATCTATTTCGAACAATCCCCCGCTGGTGGCCCTGTTCGTCTGAAAGGCCAAATCACTGGCTTGGCGGAGGGTTTACATGGATTTCACGTACACGAATTCGGCGATAACACAAACGGTTGCACCTCTGCGGGTCCTCATTTCAATCCTCACAGTAAAAAGCACGGCGGGCCGTCCGATGAAGAGCGGCATGTAGGTGATCTCGGAAATGTAAAAGCAGGCGATGACGGAGTGGCAAACGTGGATCTCAAAGATAAACTCTTGTCTCTGACCGGCCCGATGAGTATTATCGGTCGGACCATGGTTGTACATGAGAAGCGTGATGACCTGGGCAAAGGCGGGGACGAGGAATCATTAAAAACTGGCAACGCGGGAGGCCGTTTGGCATGCGGCGTTATTGGTATTGCTCAAGCGGCCGCACTCGAGCACCACCACCACCACCACTGA</t>
  </si>
  <si>
    <t>MRRKVTVVGAGNVGASTAQRLAERELADVVLVDIVEGVPQGKGLDLAEAGPIDGYDSRVCGSNDYRDTAGSDIVVITAGPRFPGMSRDDLLKKNADIVKGCTENVVKHSPKSIIIVVTNPLDAMCQVAWRVSGFPRERVIGMAGVLDSARFRAFIAEELHVSVCNTQAYVLGGHGDTMVPLPRYSTVAGIPITELMPQERIDAIVQRTADGGGEIVKLLKTGSAFYAPGSASVEMVDAILNDRKKILPCATFLQGEYGINGLYVGVPVKLGAGGVEKIIEIKLTKDERAALQKSAGAVKELVDVLGVAAALEHHHHHH*</t>
  </si>
  <si>
    <t>ATGAGACGTAAGGTAACGGTTGTAGGTGCCGGGAACGTGGGAGCTAGTACTGCACAGAGACTTGCAGAACGTGAGCTGGCGGACGTGGTCTTAGTTGATATTGTGGAGGGTGTTCCACAGGGCAAAGGCTTGGATCTGGCTGAAGCTGGACCTATCGATGGCTACGATTCGCGGGTGTGTGGTTCTAACGATTATCGCGATACAGCAGGTTCCGATATTGTGGTTATTACCGCCGGCCCGCGTTTCCCTGGTATGAGCCGCGACGACTTGTTGAAGAAAAACGCAGATATTGTTAAAGGGTGTACCGAAAACGTTGTTAAACACTCGCCGAAAAGTATCATCATAGTGGTAACCAACCCACTCGACGCCATGTGCCAGGTCGCCTGGCGGGTTTCCGGTTTTCCGCGCGAACGTGTTATTGGGATGGCAGGCGTCCTGGATAGCGCTAGATTTCGCGCGTTCATTGCAGAGGAGCTGCACGTATCTGTTTGCAATACTCAAGCGTATGTACTGGGTGGTCACGGCGATACCATGGTACCACTCCCTCGTTATAGTACCGTTGCAGGTATTCCCATAACCGAACTGATGCCACAGGAACGAATCGATGCAATAGTTCAACGCACAGCGGATGGTGGCGGTGAAATAGTGAAATTACTTAAGACTGGAAGTGCCTTTTATGCTCCAGGTTCGGCCAGCGTTGAGATGGTCGATGCTATTTTAAATGATCGCAAAAAAATTTTACCGTGTGCAACGTTTTTGCAGGGGGAATACGGGATAAATGGCTTATACGTAGGTGTACCTGTTAAGTTAGGTGCTGGCGGAGTCGAGAAAATCATAGAAATTAAACTGACCAAAGACGAACGGGCAGCCCTGCAGAAAAGTGCAGGCGCAGTAAAAGAACTGGTGGATGTTCTCGGTGTGGCGGCCGCACTCGAGCACCACCACCACCACCACTGA</t>
  </si>
  <si>
    <t>MVKAVCVLKGEGATGTVHFTQEGDGPVTVTGEIKGLTPGKHGFHVHEFGDNTNGCTSAGPHFNPFKKKHGGPTAEERHVGDLGNVEADASGVAKVSIKDSQISLTGPHSVIGRTLVVHAKPDDLGLGGNEESTTTGNAGGRLACGVIGIAKAAALEHHHHHH*</t>
  </si>
  <si>
    <t>ATGGTTAAAGCCGTTTGTGTATTGAAAGGTGAAGGTGCCACCGGAACTGTGCACTTTACACAGGAAGGCGATGGCCCCGTTACCGTGACCGGAGAAATTAAAGGACTTACACCCGGAAAACACGGTTTTCACGTCCACGAATTTGGAGATAACACAAACGGCTGCACCAGTGCTGGGCCACATTTTAACCCGTTCAAAAAAAAACACGGAGGTCCAACGGCCGAAGAACGTCATGTAGGAGATCTGGGTAATGTGGAAGCCGATGCCTCCGGTGTAGCGAAGGTCAGTATCAAAGATTCACAAATCAGCTTGACAGGCCCACACAGCGTTATCGGTAGAACGTTAGTGGTTCATGCAAAACCGGATGATCTCGGACTTGGTGGTAACGAAGAATCCACTACCACCGGGAACGCTGGCGGGCGCTTAGCGTGTGGGGTTATTGGGATCGCAAAAGCGGCCGCACTCGAGCACCACCACCACCACCACTGA</t>
  </si>
  <si>
    <t>MVKAVAVLKGDSSVTGTIHFEQAAEGGPVKVTGEIKGLDPSAKHGFHVHQFGDNTNGCTSAGPHFNPFGKEHGAPEDAERHVGDLGNVTADADGVAKVSIEDKLISLTGPNSIIGRSVVVHADPDDLGKGGHELSKTTGNAGGRLACGVIGIAKAAALEHHHHHH*</t>
  </si>
  <si>
    <t>ATGGTGAAAGCAGTTGCGGTGCTTAAAGGCGATTCAAGTGTCACCGGGACTATCCATTTTGAACAGGCCGCTGAGGGGGGTCCTGTCAAAGTTACCGGGGAGATTAAGGGATTAGATCCCTCAGCGAAACATGGTTTCCATGTCCATCAGTTCGGAGATAATACAAATGGTTGCACCAGTGCGGGACCTCACTTTAATCCGTTTGGTAAAGAACACGGTGCCCCGGAAGATGCTGAGCGGCATGTAGGCGACCTGGGTAATGTTACGGCAGACGCAGATGGTGTCGCGAAAGTTTCCATCGAAGACAAACTTATTTCGCTGACCGGACCCAATTCTATAATCGGTAGATCGGTCGTTGTCCACGCTGATCCCGATGATTTAGGAAAAGGCGGCCATGAATTATCAAAAACAACTGGAAATGCCGGGGGCCGTCTTGCATGTGGGGTGATTGGTATAGCCAAAGCGGCCGCACTCGAGCACCACCACCACCACCACTGA</t>
  </si>
  <si>
    <t>MFGDFSQGLTSAGGIFNPFGKNHGAPDDEERMVGDLGNIEVDEEGRAQVHIEDRLVKLIGPHSVIGRSIVITAGEDDLGRGGHELSLTNGNSGPRVAGGVIGIASSKAAALEHHHHHH*</t>
  </si>
  <si>
    <t>ATGTTTGGTGACTTTTCCCAGGGCTTAACTTCTGCTGGGGGAATTTTCAACCCGTTTGGAAAGAACCACGGTGCACCAGACGACGAAGAACGGATGGTTGGGGACTTGGGTAATATAGAAGTTGATGAAGAAGGACGCGCGCAGGTACATATTGAAGACCGTCTCGTCAAGTTAATTGGTCCGCATTCTGTGATAGGACGTAGCATAGTTATTACTGCCGGTGAAGATGACTTAGGCCGCGGTGGGCACGAATTATCACTTACAAATGGAAACTCCGGGCCGCGTGTGGCAGGCGGGGTCATCGGGATCGCGTCCAGCAAGGCGGCCGCACTCGAGCACCACCACCACCACCACTGA</t>
  </si>
  <si>
    <t>MVKAVCVLKGEKVDGTVFFNQEEEGGPVKVTGELTGLSEGLHGFHVHEFGDNTNGCTSAGPHFNPDGCSHGAPTDAERHVGDLGNVTAGSDGVAKVNIEDKFISLSGPNSILGRTVVIHADPDDLGKGGHELSKTTGNAGARSACGVIGIAKAAALEHHHHHH*</t>
  </si>
  <si>
    <t>ATGGTCAAAGCCGTGTGCGTGTTGAAAGGTGAAAAAGTTGATGGCACGGTCTTCTTTAATCAGGAGGAAGAGGGAGGCCCCGTGAAAGTAACGGGTGAACTCACAGGGCTTTCAGAAGGCCTCCATGGCTTCCACGTTCATGAATTTGGGGATAATACCAATGGCTGTACTAGTGCTGGTCCCCATTTTAATCCAGACGGTTGTTCCCATGGCGCGCCAACTGATGCCGAACGTCATGTCGGGGATCTGGGCAATGTTACAGCCGGGAGTGATGGTGTGGCAAAGGTTAATATTGAAGATAAATTCATTTCTCTGAGCGGCCCCAATAGCATCTTAGGCCGCACCGTGGTCATTCACGCCGACCCCGATGACCTGGGCAAAGGTGGCCATGAGCTGTCCAAAACGACTGGTAATGCCGGCGCCCGTTCAGCGTGTGGGGTAATAGGTATCGCTAAAGCGGCCGCACTCGAGCACCACCACCACCACCACTGA</t>
  </si>
  <si>
    <t>MASSASSASSSWTNKHLAHSIESNMETGSAAGAKGTVKAVAVISGADNVKGFVQFIQQPAGSTHVKGRISGLSPGLHGFHIHALGDTTNGCNSTGPHFNPLKKDHGSPLDDERHAGDLGNIVAGSDGVADISITDSQIPLTGQHSILGRAVVVHADPDDLGKGGHELSKTTGNAGARVGCGIIGLQSSVAAALEHHHHHH*</t>
  </si>
  <si>
    <t>ATGGCCTCAAGCGCGAGCTCCGCTAGCAGCTCGTGGACGAATAAACACCTGGCACATAGTATAGAAAGTAATATGGAGACTGGCTCAGCAGCGGGGGCGAAAGGGACGGTTAAAGCGGTTGCTGTCATTTCTGGCGCAGACAATGTTAAAGGTTTTGTGCAGTTTATTCAGCAACCGGCTGGGAGTACGCACGTGAAGGGACGTATAAGTGGCCTGTCCCCAGGTCTGCATGGGTTTCATATTCATGCCTTAGGTGATACCACGAACGGTTGCAACTCTACAGGCCCTCATTTTAATCCCTTAAAAAAAGATCATGGTTCTCCTTTAGATGATGAACGCCACGCAGGAGATTTAGGCAACATTGTCGCAGGCTCTGATGGCGTAGCCGATATATCGATTACTGACTCCCAGATACCACTCACTGGTCAGCACAGCATCCTTGGTCGCGCGGTTGTGGTTCATGCCGATCCAGACGACTTAGGCAAGGGCGGCCACGAACTGTCAAAAACCACGGGCAATGCGGGTGCCCGCGTGGGCTGTGGAATCATAGGGTTACAATCAAGTGTTGCGGCCGCACTCGAGCACCACCACCACCACCACTGA</t>
  </si>
  <si>
    <t>MALKAVCVLKGDGDVTGTVYFEQKEGAPVKICGEIKGLAPGEHGFHVHEFGDNTNGCTSAGPHFNPFKKNHGGPDDEERHVGDLGNVTAGKNGVAKICIEDKMITLSGPHSIIGRTIVVHEKQDDLGKGGNDESKATGNAGSRLACGVIGIAQAAALEHHHHHH*</t>
  </si>
  <si>
    <t>ATGGCGCTGAAAGCTGTGTGCGTGCTTAAAGGTGACGGCGACGTTACAGGGACTGTTTACTTTGAGCAAAAAGAAGGCGCTCCGGTGAAAATATGCGGTGAGATTAAAGGACTGGCTCCTGGGGAACATGGCTTCCATGTTCACGAATTTGGCGATAACACGAATGGCTGTACCTCAGCTGGCCCCCATTTCAATCCTTTCAAAAAGAATCATGGGGGTCCTGATGATGAAGAACGGCACGTAGGTGACCTGGGTAATGTTACTGCAGGCAAAAATGGGGTCGCGAAAATTTGCATTGAAGACAAAATGATTACACTGTCTGGTCCCCACTCCATAATTGGTCGCACTATTGTGGTTCACGAAAAACAAGATGACCTGGGCAAAGGCGGAAACGATGAATCTAAAGCTACAGGAAATGCTGGCAGTAGACTGGCGTGTGGAGTTATTGGGATTGCCCAGGCGGCCGCACTCGAGCACCACCACCACCACCACTGA</t>
  </si>
  <si>
    <t>MAVNAICVLKGDSQVKGTIKFSQNSQSEPVQISGEVTGLHEGKHGFHVHEFGDNTNGCTSAGSHYNPFNKEHGGPEDQERHVGDLGNIEANNSGVASVEISDKFISLTGPHSIIGRTLVVHADEDDLGKGGHELSKTTGNAGARVACGVIGITKHAAALEHHHHHH*</t>
  </si>
  <si>
    <t>ATGGCGGTAAATGCCATCTGCGTGCTGAAAGGGGATAGTCAGGTTAAAGGAACGATAAAATTTTCCCAGAATAGTCAAAGTGAACCAGTCCAGATATCCGGCGAAGTCACTGGGCTTCACGAAGGCAAGCACGGGTTCCATGTACACGAGTTTGGCGATAATACGAACGGTTGCACCTCAGCTGGTTCACATTACAATCCGTTCAATAAAGAACATGGCGGCCCCGAAGATCAAGAACGCCATGTCGGAGATCTTGGAAATATCGAAGCCAATAATAGTGGCGTGGCCAGCGTAGAAATTAGTGATAAGTTTATCTCCCTGACGGGCCCGCATAGTATTATTGGGCGGACACTGGTCGTTCATGCCGATGAAGACGATCTTGGAAAAGGGGGTCATGAGTTGAGCAAAACCACAGGTAACGCAGGCGCAAGAGTAGCATGCGGTGTCATTGGTATAACCAAGCACGCGGCCGCACTCGAGCACCACCACCACCACCACTGA</t>
  </si>
  <si>
    <t>MSVKAVCVLVGENVKGTVFFSQENSHAPVSLTGEITGLMFGLHGFHVHEFGDNTNGCISAGAHFNPFSKDHGGPDDEVRHVGDLGNVVADDDGVAKVDICDKMISLVGPLSVIGRTMVVHADQDDLGKGGHELSLTTGNAGARVACGVIGIAKAAALEHHHHHH*</t>
  </si>
  <si>
    <t>ATGTCTGTTAAAGCTGTTTGTGTTTTGGTTGGGGAAAATGTTAAAGGTACCGTTTTCTTCTCTCAAGAAAACTCACACGCACCGGTCAGTCTTACCGGGGAAATCACTGGCTTGATGTTCGGTTTACATGGGTTTCATGTGCACGAATTCGGAGATAACACAAATGGTTGCATAAGCGCTGGCGCCCATTTTAACCCCTTTTCAAAAGATCATGGGGGACCGGACGACGAGGTACGCCATGTCGGTGATTTGGGTAACGTCGTAGCAGATGATGATGGCGTTGCGAAAGTAGATATCTGTGACAAGATGATCAGTCTGGTCGGCCCACTGAGTGTGATTGGTCGTACTATGGTCGTGCACGCAGATCAAGATGATCTGGGCAAAGGTGGTCATGAATTGTCACTCACTACTGGGAACGCAGGGGCCCGTGTTGCATGTGGTGTGATCGGGATCGCCAAAGCGGCCGCACTCGAGCACCACCACCACCACCACTGA</t>
  </si>
  <si>
    <t>MALKAVCVLKGEGNVNGTVYFEQSYVDAPVKLTGQISGLAPGLHGFHVHEFGDNTNGCTSAGAHFNPHNKDHGGPTDEERHVGDLGNVTADSDGVANVNISDKILSLTGPNSIIGRTMVVHEKVDDLGRGGDEESLKTGNAGARLACGVIGIAQAAALEHHHHHH*</t>
  </si>
  <si>
    <t>ATGGCCTTGAAAGCTGTTTGTGTTCTTAAAGGTGAAGGTAATGTTAATGGTACTGTTTATTTTGAACAGTCTTATGTGGATGCACCGGTAAAACTTACAGGCCAAATAAGTGGCCTGGCTCCGGGTTTGCATGGTTTTCATGTCCATGAGTTCGGCGATAATACAAACGGTTGTACCTCTGCGGGCGCCCACTTCAATCCACATAACAAAGATCACGGAGGACCTACGGATGAAGAACGGCATGTGGGCGATTTGGGTAATGTAACCGCCGATTCAGACGGTGTTGCAAATGTCAACATCAGCGATAAAATCTTGTCGCTTACCGGTCCGAATTCAATCATCGGGCGTACAATGGTAGTTCATGAAAAAGTGGATGATTTGGGAAGAGGTGGTGACGAGGAGTCACTGAAAACGGGCAATGCAGGAGCGCGCTTAGCATGTGGAGTAATAGGGATCGCTCAAGCGGCCGCACTCGAGCACCACCACCACCACCACTGA</t>
  </si>
  <si>
    <t>MIKAVCVLKGEVVNGTLYFNQDSPKSPVKVTGEISGLVKGLHGFHVHEFGDNTNGCTSAGAHFNPHNWEHGGPNDSDRHVGDLGNIFADNDGVAKVNIYDKIISLSGPLSVVGRTLVVHADPDDLGKGGHELSKTTGNAGARVACGVIGIAKAAALEHHHHHH*</t>
  </si>
  <si>
    <t>ATGATTAAGGCGGTGTGCGTATTGAAAGGAGAGGTGGTAAATGGCACTTTGTATTTCAATCAGGATAGCCCTAAGAGTCCCGTTAAAGTTACGGGCGAAATCTCAGGCTTAGTGAAAGGACTGCATGGCTTTCATGTTCATGAGTTTGGTGATAATACAAATGGTTGTACGAGTGCCGGGGCGCATTTTAATCCGCACAACTGGGAGCATGGAGGCCCGAATGATTCCGATCGACACGTGGGGGATTTAGGCAATATTTTCGCTGATAATGATGGTGTCGCAAAAGTTAATATTTATGATAAGATCATCAGTTTAAGCGGGCCACTCAGCGTAGTCGGTCGAACGCTTGTTGTGCATGCTGACCCAGATGATTTAGGAAAAGGCGGTCATGAACTGTCTAAAACAACTGGTAACGCAGGAGCACGTGTTGCATGCGGTGTTATAGGAATCGCGAAAGCGGCCGCACTCGAGCACCACCACCACCACCACTGA</t>
  </si>
  <si>
    <t>MDVKAVCVLKGDGDVKGTIYFEQENEGSPVKLTGEIKGLAPGEHGFHVHEFGDNTNGCTSAGAHFNPFNKTHGGPDDEERHVGDLGNVTADDSGVAHIEFSDKLIQLTGPNSIIGRTMVVHEGVDDLGKGGHDESKATGNAGGRLACGVIGIKAAALEHHHHHH*</t>
  </si>
  <si>
    <t>ATGGACGTTAAAGCAGTGTGCGTTCTGAAAGGCGATGGAGATGTAAAAGGCACAATTTACTTTGAGCAGGAGAACGAGGGCTCTCCCGTTAAATTGACTGGAGAAATCAAAGGTCTGGCCCCAGGTGAGCATGGCTTTCACGTTCACGAGTTTGGCGACAACACCAACGGCTGCACAAGTGCTGGTGCTCATTTTAATCCGTTCAACAAAACTCATGGCGGACCAGATGATGAAGAACGTCATGTCGGCGATTTAGGGAACGTAACGGCCGATGATAGTGGTGTTGCGCACATAGAATTTTCAGACAAGCTGATTCAATTAACAGGCCCAAATAGTATAATTGGAAGAACTATGGTAGTTCACGAGGGTGTAGATGATCTTGGGAAAGGTGGCCACGACGAAAGTAAAGCCACGGGAAACGCCGGTGGACGTCTTGCCTGTGGCGTGATCGGCATCAAAGCGGCCGCACTCGAGCACCACCACCACCACCACTGA</t>
  </si>
  <si>
    <t>MVFKAVCVLFGDVKGTVHFEQENEHACVRITGEITGLNKGLHGFHVHEFGDNTNGCISAGAHFNPFSCDHGGPNDEVRHVGDLGNIEAGDDGVAKVNISDNVISLCGRHNIIGRSLVVHADQDDLGKGGHELSKTTGNAGARLACGVIGITKAAALEHHHHHH*</t>
  </si>
  <si>
    <t>ATGGTATTTAAAGCGGTTTGTGTATTATTTGGGGACGTGAAAGGTACCGTGCACTTTGAACAAGAAAACGAACACGCATGTGTTCGTATTACCGGTGAAATTACCGGACTGAATAAAGGACTGCATGGCTTCCATGTGCATGAATTCGGTGACAATACCAACGGCTGTATTAGCGCAGGTGCTCACTTTAATCCTTTCAGCTGCGATCATGGCGGTCCGAATGATGAAGTTCGTCACGTGGGCGATCTGGGGAATATCGAAGCCGGTGACGACGGCGTAGCTAAAGTGAACATCTCGGATAATGTTATTAGCTTATGTGGTCGTCACAACATTATTGGCCGTTCCCTGGTAGTCCATGCGGATCAGGATGACTTAGGTAAAGGGGGACATGAACTGTCCAAAACAACCGGTAACGCAGGAGCACGGTTAGCTTGCGGTGTGATCGGAATAACCAAAGCGGCCGCACTCGAGCACCACCACCACCACCACTGA</t>
  </si>
  <si>
    <t>MAPLKAVAIIAGVNNYKKALQFFQQYSTGATWITGRITGLHPGLHGFWIHALGDTSNGCRSTGPHFNPNNSDHGAPTDNERHAGDLGNIVAGLDGWAEVSLSDWHIPLSGPHSILGRAVVVHADPDDLGRGGHELSKTTGNAGARVACGIIGLQSSVAAALEHHHHHH*</t>
  </si>
  <si>
    <t>ATGGCCCCGCTTAAGGCAGTGGCCATTATTGCTGGAGTCAATAATTACAAGAAGGCCCTGCAGTTTTTCCAGCAGTATTCGACCGGCGCAACCTGGATAACTGGCAGAATCACTGGTCTGCATCCTGGACTGCACGGATTCTGGATCCATGCATTGGGAGATACGTCGAATGGTTGCCGCTCTACTGGCCCTCATTTCAACCCTAATAATTCTGATCATGGAGCACCTACCGATAACGAACGCCATGCAGGTGACTTGGGGAACATCGTGGCTGGACTGGATGGATGGGCCGAAGTTTCACTGTCCGATTGGCACATCCCTCTCTCTGGGCCGCACTCCATTCTGGGGCGCGCGGTAGTTGTCCACGCGGATCCCGATGATCTGGGTCGGGGTGGGCATGAATTATCTAAGACCACAGGGAATGCCGGCGCCCGCGTCGCCTGTGGTATAATTGGACTGCAATCTTCTGTAGCGGCCGCACTCGAGCACCACCACCACCACCACTGA</t>
  </si>
  <si>
    <t>MALKAVCVLKGDGPVTGTIFFEQTPAGAAVKLKGQITGLAEGLHGFHVHAFGDNTNGCTSAGPHFNPHSKKHGGPTDEERHVGDLGNVKANSDGVANVRIEDKLISLTGPLSIIGRTMVVHEKRDDLGKGGDDESLKTGNAGSRLACGVIGIARAAALEHHHHHH*</t>
  </si>
  <si>
    <t>ATGGCGCTGAAGGCTGTCTGTGTCCTCAAGGGTGATGGCCCTGTGACCGGTACTATATTTTTTGAACAGACTCCAGCCGGTGCTGCAGTAAAATTAAAAGGTCAGATTACAGGGCTGGCTGAGGGTTTGCATGGTTTTCATGTACATGCATTTGGGGACAATACGAATGGGTGCACCAGTGCAGGACCGCACTTCAATCCCCATTCAAAAAAGCATGGTGGTCCAACCGATGAAGAACGCCATGTTGGTGATCTGGGTAACGTAAAAGCTAATTCGGACGGGGTCGCGAATGTGCGCATAGAGGATAAATTAATTAGCCTGACCGGGCCACTGTCGATCATAGGTCGCACTATGGTGGTTCACGAAAAAAGAGATGACCTGGGCAAAGGTGGCGATGATGAGAGTTTAAAAACCGGCAATGCGGGTAGCCGATTGGCGTGCGGCGTGATAGGCATCGCTAGAGCGGCCGCACTCGAGCACCACCACCACCACCACTGA</t>
  </si>
  <si>
    <t>MAVKAVCVLKGDVEGTIYFEQWNEHWCVYVTGEINGLNNGLHGFHVHEFGDNTNGCTSAGAHFNPFGKEHGGPTDAVRHVGDLGNVVADGNGVAKVDITDKVISLCGPLSVLGRSLVVHADVDDLGKGGHELSKTTGNAGARLACGVIGITKAAALEHHHHHH*</t>
  </si>
  <si>
    <t>ATGGCAGTTAAAGCGGTATGCGTGCTTAAAGGTGACGTTGAAGGGACAATATATTTTGAACAGTGGAACGAACATTGGTGCGTATATGTAACAGGGGAAATCAACGGTCTTAATAATGGACTGCATGGCTTTCATGTCCACGAATTTGGCGACAACACTAACGGTTGTACGAGTGCGGGTGCCCACTTTAATCCATTTGGCAAGGAGCATGGAGGCCCAACTGACGCGGTACGCCATGTGGGGGACCTTGGTAATGTAGTCGCCGATGGCAACGGCGTTGCGAAGGTCGACATTACCGATAAAGTGATTAGTTTATGCGGCCCGCTTAGTGTACTTGGAAGATCATTAGTAGTGCATGCGGATGTTGATGATCTGGGCAAAGGGGGACATGAACTGAGCAAGACCACTGGCAATGCGGGGGCGCGCTTGGCCTGTGGAGTAATTGGCATTACGAAGGCGGCCGCACTCGAGCACCACCACCACCACCACTGA</t>
  </si>
  <si>
    <t>MVVKAVCVLKGSGDVKGVVHFEQQGDGPVTVEGKIEGLTPGKHGFHVHAFGDNTNGCISAGPHFNPENKNHGGPKDEERHVGDLGNVTADENGVANFKITDSLISLKGPHSIIGRTMVVHEKEDDLGKGGNDESLKTGNAGGRLACGVIGIAKAAALEHHHHHH*</t>
  </si>
  <si>
    <t>ATGGTTGTTAAAGCTGTCTGTGTTCTGAAAGGATCAGGTGATGTGAAAGGCGTCGTGCATTTCGAGCAGCAAGGCGATGGGCCAGTGACCGTTGAAGGCAAAATCGAAGGCTTAACACCAGGAAAACATGGGTTTCACGTGCATGCTTTCGGCGATAACACGAATGGCTGTATTAGCGCGGGCCCTCATTTCAATCCTGAAAACAAAAATCATGGTGGCCCCAAGGACGAAGAGCGTCATGTGGGCGATCTCGGTAACGTTACCGCGGATGAAAATGGTGTAGCGAATTTCAAAATTACTGATTCGTTAATCAGCTTAAAGGGTCCGCACTCAATCATTGGACGTACAATGGTTGTGCATGAAAAAGAAGATGATCTTGGGAAGGGAGGTAACGACGAATCTCTGAAAACTGGCAATGCTGGTGGGCGGCTCGCATGCGGTGTTATTGGTATTGCAAAAGCGGCCGCACTCGAGCACCACCACCACCACCACTGA</t>
  </si>
  <si>
    <t>MKAVCVLKGDDKVKGTVTFTQTAEGVTVTGEITGLTPGKHGFHVHEKGDLTNGCTSAGGHFNPFGKTHGAPGDEERHVGDLGNVEADASGVAKVSITDKLISLTGPNSIIGRALVVHEGEDDLGKGGHEDSLKTGNAGGRLACGVIGIAAAALEHHHHHH*</t>
  </si>
  <si>
    <t>ATGAAGGCGGTCTGCGTTTTAAAAGGCGATGATAAAGTGAAAGGTACCGTTACCTTCACGCAGACCGCTGAAGGTGTCACCGTTACAGGCGAAATCACCGGGCTGACTCCCGGTAAACACGGCTTCCACGTTCATGAAAAGGGCGATCTGACCAATGGTTGCACATCAGCGGGGGGCCACTTTAATCCCTTTGGCAAAACCCACGGCGCGCCAGGGGACGAAGAACGTCACGTGGGAGATCTGGGTAACGTAGAGGCCGACGCATCCGGCGTTGCGAAAGTAAGCATCACGGATAAATTGATAAGCTTAACAGGCCCCAACTCCATTATTGGCAGAGCCTTAGTAGTTCATGAAGGAGAGGATGATCTCGGTAAGGGCGGACATGAAGATAGCCTCAAAACGGGTAACGCCGGGGGGCGGTTGGCCTGCGGAGTCATTGGAATAGCGGCGGCCGCACTCGAGCACCACCACCACCACCACTGA</t>
  </si>
  <si>
    <t>MVKAVAVLRGDSNVTGTITFEQPTYPGPVTVSGEISGLDPNAERGFHIHQFGDLTNGCTSAGPHFNPFGKTHGAPSDSERHVGDLGNIKTDANGKATFSITDSVISLNGSIIGRAVVVHAGTDDLGKGGNEESLKTGNAGPRAACGVIGISAAAALEHHHHHH*</t>
  </si>
  <si>
    <t>ATGGTCAAAGCCGTAGCGGTTCTGCGAGGGGATAGCAACGTCACTGGGACGATAACCTTCGAGCAGCCGACATATCCTGGGCCAGTCACCGTGTCCGGGGAAATCTCAGGGCTGGATCCAAACGCCGAACGCGGGTTTCATATCCATCAGTTCGGTGATCTTACAAACGGCTGCACTTCTGCGGGGCCCCACTTCAACCCTTTCGGAAAAACTCATGGAGCACCGTCAGATAGCGAACGACATGTGGGGGATTTAGGCAATATCAAAACCGACGCCAATGGTAAAGCTACGTTTAGTATCACAGACAGCGTTATCAGTCTGAACGGCAGCATTATTGGCCGTGCAGTGGTGGTGCATGCGGGTACCGATGATCTTGGTAAAGGCGGCAATGAAGAATCTTTAAAAACAGGAAACGCCGGTCCGCGCGCCGCCTGCGGTGTTATTGGGATCTCCGCTGCGGCCGCACTCGAGCACCACCACCACCACCACTGA</t>
  </si>
  <si>
    <t>MKAVCVLKGDAGVKGTVTFTQEADGAPVTVTGEISGLAAGKHGFHVHEFGDNTNGCTSAGAHFNPHGKTHGAPEDEERHVGDLGNVTADASGVAKVNITDKLISLTGPHSIIGRTVVVHENEDDLGKGGHELSKTTGNAGGRLACGVIGITKAAAALEHHHHHH*</t>
  </si>
  <si>
    <t>ATGAAAGCTGTGTGCGTACTTAAAGGTGATGCGGGGGTGAAAGGTACGGTGACATTTACGCAAGAAGCGGACGGCGCCCCGGTGACAGTAACTGGCGAGATTTCAGGCCTGGCGGCGGGGAAACACGGGTTTCATGTGCATGAATTTGGTGATAATACAAACGGCTGTACCTCTGCTGGGGCGCATTTTAACCCTCACGGTAAGACACACGGGGCGCCGGAGGATGAGGAGCGCCACGTTGGCGATCTGGGTAACGTTACCGCCGATGCCTCTGGTGTCGCAAAGGTAAATATAACAGATAAGCTCATTTCACTTACCGGTCCTCATTCCATTATTGGTCGTACTGTTGTTGTACATGAAAACGAAGACGATTTAGGCAAGGGCGGCCATGAATTATCTAAAACAACCGGAAACGCAGGTGGTAGATTGGCCTGCGGCGTAATTGGTATAACAAAGGCAGCGGCCGCACTCGAGCACCACCACCACCACCACTGA</t>
  </si>
  <si>
    <t>MKAVAVLKGDKVSGVIHFTQESPDSPVTVTGEITGLTPGEHGFHVHEFGDNTNGCTSAGPHFNPFGKTHGAPEDENRHVGDLGNITADKDGKAKVNITDKLISLTGENSIIGRTVVVHAGTDDLGKGGNEESLKTGNAGARPACGVIGLAKAAALEHHHHHH*</t>
  </si>
  <si>
    <t>ATGAAGGCGGTTGCAGTTTTGAAAGGTGATAAAGTTTCAGGAGTTATTCATTTTACCCAAGAAAGTCCTGACAGCCCAGTAACGGTTACCGGCGAAATTACTGGCCTGACCCCGGGCGAACATGGATTTCACGTCCACGAGTTCGGTGATAACACCAACGGTTGTACATCGGCGGGCCCGCATTTCAATCCGTTTGGGAAAACCCATGGGGCACCGGAAGATGAAAACCGGCATGTAGGGGATCTTGGCAATATCACAGCAGATAAAGATGGTAAGGCCAAAGTAAATATTACTGACAAGCTGATTAGTCTCACCGGTGAAAATTCAATAATTGGACGCACAGTGGTGGTTCATGCTGGGACGGATGACTTAGGCAAAGGCGGAAACGAAGAAAGTCTTAAAACTGGGAATGCAGGTGCTCGCCCAGCGTGCGGTGTAATAGGTTTAGCGAAAGCGGCCGCACTCGAGCACCACCACCACCACCACTGA</t>
  </si>
  <si>
    <t>MLKATCVFATHLMGYILLIQKDLYAPVYMTGEIHGLKPGHHGFHVHEFGDFRNGCTSAGSHYNPLKKTHGAPHDHERHAGDLGNIEADDYGVAYIEIEDQFLDLYGEYSVLGRSFVVHSDPDDLGRGGNAESKKTGNAGSRVDCCVIGWGEVKKPQPSYYQPQAAALEHHHHHH*</t>
  </si>
  <si>
    <t>ATGCTGAAAGCTACCTGCGTGTTCGCAACTCACTTAATGGGCTATATTCTGCTGATACAGAAAGATCTGTATGCACCTGTGTATATGACCGGGGAGATTCATGGTCTCAAACCGGGCCACCATGGCTTCCACGTGCACGAATTTGGGGACTTTCGCAATGGTTGCACATCTGCAGGCTCACATTATAATCCCCTGAAAAAGACGCATGGTGCACCACATGATCATGAACGCCATGCTGGTGATCTTGGAAATATTGAGGCTGATGATTATGGTGTCGCATATATCGAAATAGAAGATCAGTTCTTAGACCTTTATGGTGAGTACTCGGTGTTGGGACGCTCTTTCGTGGTGCACTCAGATCCCGATGATTTAGGACGTGGCGGAAACGCGGAATCAAAGAAAACGGGCAATGCAGGTAGCCGAGTCGATTGCTGCGTAATAGGTTGGGGTGAAGTGAAAAAGCCGCAACCGTCCTATTATCAACCCCAGGCGGCCGCACTCGAGCACCACCACCACCACCACTGA</t>
  </si>
  <si>
    <t>MAKAVCVLTSDEGVKGTLTFTPDGDGKTKVTGTVTGLKPGKHGFHIHQFGDTTNGCASTGGHFNPAGKTHGGPEDENRHAGDLGNIVAGEDGKAVVNITDAQIPLTGPNSIIGRAVVVHAGEDDLGKGGNEESLKTGNAGGRVACGVIGLAAAPSKLAAALEHHHHHH*</t>
  </si>
  <si>
    <t>ATGGCTAAGGCAGTATGTGTTCTGACCTCTGATGAAGGCGTGAAGGGAACTTTAACGTTTACCCCCGACGGCGATGGGAAGACTAAAGTTACAGGAACCGTCACCGGGCTCAAACCGGGAAAACACGGTTTTCACATTCACCAGTTTGGAGATACAACTAATGGTTGTGCTTCTACCGGTGGTCATTTCAACCCAGCTGGCAAAACCCATGGAGGGCCTGAAGATGAGAATCGGCATGCAGGCGACCTTGGCAACATCGTGGCTGGCGAAGATGGGAAAGCTGTAGTGAATATTACGGACGCCCAGATCCCACTGACAGGTCCTAACAGCATAATTGGCCGTGCAGTAGTGGTCCATGCCGGCGAAGATGACCTGGGAAAGGGGGGGAACGAAGAATCATTGAAAACCGGTAACGCCGGCGGACGTGTAGCCTGTGGTGTGATTGGCTTGGCAGCTGCGCCGTCTAAACTGGCGGCCGCACTCGAGCACCACCACCACCACCACTGA</t>
  </si>
  <si>
    <t>MVKAVCVLKGTEDVKGTIYFEQEGDGPVKVTGEISGLKPGLHGFHVHEFGDNTNGCTSAGPHFNPEGKTHGGPEDEERHVGDLGNVTADENGVATVSITDKLISLTGPHSIIGRTMVVHEKEDDLGKGGNEESLKTGNAGGRLACGVIGIAKAAALEHHHHHH*</t>
  </si>
  <si>
    <t>ATGGTTAAAGCGGTCTGCGTATTGAAAGGTACCGAAGATGTTAAAGGTACGATCTATTTTGAGCAGGAAGGCGACGGCCCGGTTAAAGTGACCGGAGAAATTTCGGGCTTGAAACCGGGCTTGCATGGATTTCATGTTCACGAGTTCGGTGATAATACCAACGGTTGTACCTCTGCCGGACCGCATTTTAACCCGGAAGGCAAAACCCATGGAGGACCAGAAGATGAGGAGAGACACGTAGGTGATTTAGGCAACGTTACCGCTGATGAGAACGGTGTTGCCACTGTTAGTATCACCGATAAGTTGATATCACTGACTGGTCCGCACAGTATTATTGGACGTACAATGGTCGTTCACGAGAAGGAAGACGATTTAGGGAAAGGAGGCAACGAGGAATCTCTGAAAACGGGAAACGCAGGAGGCCGGCTGGCTTGTGGTGTGATCGGCATCGCCAAAGCGGCCGCACTCGAGCACCACCACCACCACCACTGA</t>
  </si>
  <si>
    <t>MVNKRPVCVSGGFNVGGVIHFIQQNSGGPVVVKGQITGLTEGLHGFHVHEFGDNTNGCTSAGPHFNPYGKKHGGPADSERHVGDLGNVIAGNDGVANVDIRDSVLSLSGEHSIIGRTMVVHEKEDDLGKGGNDESLKTGNAGSRLACGVIGIARAAALEHHHHHH*</t>
  </si>
  <si>
    <t>ATGGTGAACAAAAGACCGGTTTGCGTATCAGGGGGCTTCAACGTAGGGGGTGTGATACATTTCATCCAGCAAAATTCAGGTGGCCCGGTAGTTGTTAAAGGTCAGATTACGGGATTAACAGAAGGGTTACACGGGTTCCACGTTCATGAGTTTGGCGATAACACAAACGGTTGCACCAGTGCTGGCCCTCATTTCAATCCGTATGGCAAGAAACATGGGGGTCCAGCGGACTCAGAGCGCCATGTTGGTGATCTGGGCAATGTGATTGCAGGAAATGATGGAGTGGCGAATGTGGATATCCGAGATTCCGTACTGAGCCTCAGCGGTGAACATTCGATCATTGGTCGCACGATGGTCGTTCATGAAAAAGAAGACGATTTAGGTAAAGGCGGGAACGATGAATCATTAAAGACGGGGAATGCCGGTAGCAGACTTGCGTGTGGCGTCATAGGCATCGCGCGGGCGGCCGCACTCGAGCACCACCACCACCACCACTGA</t>
  </si>
  <si>
    <t>MTKRNKITVVGAGNVGATAAHWAASKELGDIVLVDIVEGVPQGKALDLKEAGPVLGFDSRVVGTNNYEDTAGSDVVIITAGLARKPGMSRDDLLFTNYKIVGSVTEQVAKRSPDAILVVVSNPLDAMAQVARKVSGFPKNRVIGMAGVLDSARFRTFIARELGCSVEDVTAFVLGGHGDEMVPVVRYTSVAGIPIEELIAKDRLDAIVERTRNGGGEIVNLLKTGSAYFAPSAAAVQMVEAILKDKKRILPCAAYLDGEFGIKGLFLGVPVVLGARGVEQVIEIPLTDEEKEALRKSAAHVRELVQLLDLAAALEHHHHHH*</t>
  </si>
  <si>
    <t>ATGACCAAACGTAACAAAATTACGGTAGTAGGTGCCGGCAATGTCGGGGCTACGGCTGCTCACTGGGCCGCTTCTAAAGAACTCGGCGATATAGTACTGGTAGATATTGTTGAAGGTGTGCCTCAAGGTAAAGCGCTTGATCTGAAAGAAGCGGGTCCAGTTCTTGGCTTCGACTCTCGCGTTGTTGGGACGAACAATTATGAGGATACCGCAGGTTCAGACGTAGTTATTATTACTGCAGGCCTGGCACGTAAACCTGGAATGAGCCGGGATGATCTGTTGTTTACAAACTATAAAATCGTAGGCAGCGTTACTGAACAAGTCGCAAAAAGATCCCCCGATGCCATCCTGGTGGTCGTGAGTAACCCGCTGGATGCTATGGCACAGGTTGCCAGAAAAGTCTCTGGATTCCCCAAAAATCGAGTTATCGGGATGGCTGGCGTCTTAGACTCCGCGCGGTTTCGCACGTTTATAGCACGAGAACTGGGCTGCTCCGTAGAAGATGTGACAGCGTTTGTGCTCGGCGGCCATGGTGATGAAATGGTTCCAGTGGTCAGATATACAAGCGTTGCCGGTATTCCGATAGAAGAATTGATCGCCAAAGATAGACTGGATGCCATTGTAGAACGCACCCGCAACGGAGGCGGTGAAATTGTAAATTTGCTGAAAACCGGGTCAGCGTATTTCGCACCAAGTGCTGCAGCAGTTCAAATGGTGGAAGCCATATTAAAAGACAAAAAACGTATCCTGCCGTGCGCAGCCTATCTCGATGGTGAGTTTGGAATCAAAGGGTTATTTCTGGGTGTACCGGTAGTTCTGGGAGCTCGCGGTGTTGAACAGGTGATTGAGATCCCGCTGACCGATGAAGAAAAAGAGGCACTGCGAAAATCCGCAGCACACGTTCGTGAGCTGGTGCAGTTGTTAGATCTGGCGGCCGCACTCGAGCACCACCACCACCACCACTGA</t>
  </si>
  <si>
    <t>MSKVTVVGAGNVGATCAEVIAIKKIADEVVLIDIKEGLSEGKALDMMQTATTLGFNTVIKGVTNDYKWTADSDVVVITSGIPRKPGMTREELIGVNAGIVKSVTDNILKYSPKAIIVIVSNPMDTMTYLALKVSGLEKNKVIGMGGALDSSRFKYYLSKALNKPSEIQGMVIGGHGDTTMIPLTRLASYNGIPVSNFLSAEQLKKVAAATMVGGATLTGLLGTSAWYAPGASVAYLVDSILNNQKRIIPCSVYLDGEYGLKDICIGVPCIIGRNGIEKIIDIKLNDKEKELFQKSAAAVRNMNEALKSLLAAALEHHHHHH*</t>
  </si>
  <si>
    <t>ATGTCTAAAGTCACTGTTGTGGGGGCTGGTAACGTAGGAGCTACGTGCGCCGAAGTAATTGCGATCAAAAAAATAGCAGATGAAGTTGTACTCATCGATATCAAAGAGGGTCTGTCGGAAGGTAAAGCACTGGATATGATGCAGACAGCTACTACACTGGGTTTCAACACAGTTATCAAGGGAGTCACCAATGATTATAAGTGGACAGCAGATTCGGATGTTGTCGTAATCACGTCAGGTATTCCCAGAAAGCCAGGAATGACTCGGGAAGAGCTTATCGGTGTGAACGCGGGAATAGTCAAATCCGTTACCGATAATATACTGAAATATTCCCCGAAAGCTATCATTGTGATTGTTTCGAATCCTATGGATACCATGACGTATCTCGCGCTGAAGGTTAGCGGTCTCGAAAAGAATAAGGTTATCGGCATGGGAGGTGCACTCGATAGTTCTCGGTTCAAATACTATCTGAGTAAAGCCCTCAATAAACCGTCCGAAATTCAGGGTATGGTAATTGGTGGTCACGGGGATACCACCATGATTCCATTGACGCGATTAGCTTCGTACAATGGGATTCCGGTTAGCAACTTTTTAAGTGCAGAGCAACTGAAGAAAGTCGCAGCAGCAACTATGGTGGGAGGCGCAACCCTGACAGGGCTTTTAGGGACAAGCGCTTGGTACGCCCCGGGCGCTTCGGTAGCGTATTTAGTTGATAGTATATTGAACAACCAGAAACGTATTATTCCGTGTTCAGTGTATTTGGACGGTGAGTATGGCCTGAAAGATATTTGCATTGGAGTGCCATGCATCATCGGTCGCAATGGTATTGAAAAAATTATTGACATCAAACTGAACGACAAGGAGAAAGAACTCTTCCAAAAGTCAGCAGCAGCCGTTCGAAACATGAACGAAGCGTTAAAATCCCTGCTCGCGGCCGCACTCGAGCACCACCACCACCACCACTGA</t>
  </si>
  <si>
    <t>MVNAVAVLKGENVTGTVKFTQENPDAPVKIEVEITGLKPGKHGFHVHEFGDNTNGCTSAGPHFNPFGKTHGAPDAEVRHVGDLGNVEASEDGKATATITDKLVSLTGPNSIIGRTIVVHEDVDDLGLGGHELSKTTGNAGGRLACGVIGITKAAALEHHHHHH*</t>
  </si>
  <si>
    <t>ATGGTTAATGCAGTTGCCGTTCTTAAAGGTGAAAATGTGACAGGAACGGTTAAGTTTACGCAAGAAAACCCGGATGCGCCAGTTAAAATAGAGGTGGAAATTACCGGCCTGAAACCGGGTAAGCACGGTTTCCATGTGCACGAATTCGGTGATAACACCAATGGATGTACCTCCGCAGGGCCCCATTTCAATCCGTTTGGAAAGACGCATGGGGCACCCGATGCCGAGGTGCGTCATGTGGGTGACCTGGGAAACGTCGAAGCCAGTGAGGATGGGAAAGCGACCGCTACGATTACGGACAAACTGGTCAGTCTGACAGGCCCGAACAGTATTATTGGCCGTACGATTGTCGTGCATGAAGACGTGGATGACCTCGGTCTGGGCGGCCACGAACTGTCGAAAACAACCGGCAATGCGGGTGGACGTCTTGCTTGTGGTGTCATAGGTATTACGAAGGCGGCCGCACTCGAGCACCACCACCACCACCACTGA</t>
  </si>
  <si>
    <t>MAGTLEFTQSGPNDPVHVNGTITGVTPGKHGFHIHEFGDLDNGCVSAGAHFNPLGKTHGAPDDTNRHVGDIGNVEADANGVVNIDITDKIITLNGPNSIIGRSVVVHQGPDDLGLGNGLDSKKTGNAGSRLFCGVIGITAAALEHHHHHH*</t>
  </si>
  <si>
    <t>ATGGCCGGCACCCTGGAGTTCACTCAATCTGGTCCTAATGACCCGGTGCATGTTAATGGCACGATCACTGGTGTTACCCCTGGTAAACATGGTTTTCACATCCATGAGTTTGGTGATCTGGATAATGGGTGCGTGAGTGCCGGCGCACACTTCAATCCCTTAGGCAAAACCCATGGAGCGCCTGACGACACTAATCGCCATGTGGGGGATATCGGTAATGTCGAGGCCGATGCCAACGGAGTTGTAAATATTGACATCACGGATAAAATCATTACCCTTAATGGCCCGAACTCGATCATCGGCCGTAGTGTGGTAGTACATCAGGGGCCGGATGATCTCGGCCTTGGCAATGGCCTGGATTCTAAGAAGACCGGGAATGCCGGATCTAGATTATTTTGTGGAGTAATAGGCATCACAGCGGCCGCACTCGAGCACCACCACCACCACCACTGA</t>
  </si>
  <si>
    <t>MVKAVAVLRGDSKVSGTVTFEQESENSPVKVTGEISGLTPGQHGFHVHEFGDNTNGCTSAGPHFNPFGKTHGAPTDEERHVGDLGNVTADANGKATINITDKLIKLTGPHSIIGRTVVVHADVDDLGKGGHELSKTTGNAGGRLACGVIGISKAAALEHHHHHH*</t>
  </si>
  <si>
    <t>ATGGTCAAAGCCGTTGCTGTCTTGCGTGGAGATAGTAAAGTTTCAGGTACTGTAACTTTCGAACAGGAATCTGAAAACAGTCCGGTTAAGGTCACGGGTGAGATTTCAGGACTGACACCGGGCCAGCACGGGTTCCACGTTCATGAATTTGGAGACAATACTAACGGCTGTACATCTGCCGGCCCACATTTTAATCCCTTTGGGAAGACACACGGCGCACCCACCGATGAAGAACGCCACGTGGGTGACCTGGGTAACGTTACCGCCGATGCAAACGGGAAGGCAACTATTAATATAACCGATAAGCTCATCAAACTGACGGGCCCACATTCAATTATCGGTCGTACGGTTGTAGTTCATGCTGACGTCGATGACCTGGGTAAAGGCGGTCATGAACTGAGCAAAACGACGGGTAATGCCGGCGGGCGATTAGCCTGCGGTGTCATCGGCATAAGTAAAGCGGCCGCACTCGAGCACCACCACCACCACCACTGA</t>
  </si>
  <si>
    <t>MKVTVVGAGNVGATCADVVAYKEWWNEIILLDIKKGDLEGKSADDAQQSAILDYYTKRLIGTEDYHDTADSDVVVITAGLPRKPGMSRDDLISTNAGIVKNVTQNIIKHSPQPIIIVVSNPLDVMTYVAYKVSGFHKKKVFGMAGILDTARYRAFLSEELDVSPKNIQAMILGGHGDTMVPLPRYTTVSGIPVTELIDKDKLNAIIERTKVGGGELVKLMGTSAWYAPGSAAAQMVESIIKDQRRIFPVCVYLDGEYGLDDIYLGVPVKLGKNGIEHIIELDLNKDERAALAKSAKAVREVHDIYKKMDAAALEHHHHHH*</t>
  </si>
  <si>
    <t>ATGAAAGTCACCGTTGTGGGTGCTGGCAACGTGGGTGCAACATGTGCCGATGTCGTGGCCTATAAGGAATGGTGGAACGAAATTATCCTGCTGGATATTAAAAAAGGCGACCTGGAGGGCAAATCAGCAGATGATGCGCAGCAGTCCGCCATCCTTGATTATTACACGAAACGTCTGATCGGAACGGAGGACTATCATGATACTGCGGATTCGGATGTAGTTGTAATCACTGCTGGTCTTCCGAGAAAGCCTGGTATGAGCCGCGATGACTTGATTAGTACTAATGCAGGTATCGTGAAAAACGTTACGCAGAATATCATTAAACACTCCCCGCAGCCTATCATTATTGTTGTTAGCAACCCTTTAGACGTGATGACTTATGTAGCGTATAAGGTGAGTGGATTTCATAAAAAAAAGGTGTTTGGAATGGCAGGCATCCTGGACACGGCGCGCTATAGAGCCTTCTTATCGGAAGAGCTCGACGTCTCCCCAAAAAATATCCAAGCAATGATTCTGGGTGGCCATGGAGACACCATGGTGCCCCTGCCGCGTTATACGACCGTGTCAGGGATTCCCGTCACCGAGCTCATAGATAAGGATAAATTAAATGCCATTATAGAGCGCACCAAAGTTGGAGGGGGTGAGTTAGTTAAGCTGATGGGGACTAGCGCCTGGTACGCGCCAGGCAGTGCGGCCGCACAAATGGTTGAATCGATTATCAAGGACCAACGGAGAATATTCCCGGTGTGCGTCTACCTGGATGGTGAATATGGGTTAGATGATATTTACTTGGGTGTACCCGTCAAACTGGGGAAGAATGGTATCGAACATATCATTGAGCTTGACCTGAATAAAGACGAGCGTGCGGCTCTGGCCAAAAGTGCAAAAGCCGTGCGGGAAGTGCACGATATTTACAAGAAGATGGATGCGGCCGCACTCGAGCACCACCACCACCACCACTGA</t>
  </si>
  <si>
    <t>MRDFCTECIDPEATATVDTTVRQPATCDCPWTHPPPDEPTFIHAVCSMVPDPNAPYNITGTVDLVQAVTSLNYPLGLLEVRVQLEGFPSDDRVIDHGMHVHVYGDISTGCSSAGGHFNPLKSVHGARTSPVRHVGDFGNIREDGQGRVNTMFKDKMASLVGDYSIMGRTLIVHESMDDLGLGGNEESLKTGNSGTRVACCVIAYAPATNWQGIQNLSILAAALEHHHHHH*</t>
  </si>
  <si>
    <t>ATGCGTGATTTTTGCACTGAATGTATTGATCCCGAGGCAACAGCGACGGTTGATACAACCGTACGACAACCCGCAACTTGCGACTGCCCATGGACACATCCGCCGCCTGACGAACCTACTTTTATCCACGCTGTTTGCTCTATGGTCCCGGATCCGAATGCGCCCTACAACATTACAGGGACAGTTGATTTAGTTCAGGCCGTGACATCGTTAAATTATCCGTTGGGTCTGCTTGAAGTTCGTGTGCAACTCGAGGGCTTTCCGTCGGATGATCGTGTTATTGATCATGGCATGCATGTTCATGTTTATGGTGATATCTCGACTGGGTGTTCCAGCGCTGGCGGCCACTTTAACCCACTGAAATCTGTGCATGGTGCTCGCACAAGCCCGGTACGTCATGTGGGCGATTTTGGGAATATTAGAGAGGATGGTCAAGGCCGGGTTAATACCATGTTTAAAGACAAGATGGCGTCATTAGTAGGTGACTACTCCATCATGGGACGTACTTTGATTGTTCATGAATCTATGGATGACCTGGGCTTAGGCGGTAATGAAGAGAGCTTAAAAACTGGAAATAGCGGCACACGCGTGGCCTGTTGCGTAATCGCTTATGCCCCTGCGACCAATTGGCAGGGTATTCAGAACTTGAGTATCCTTGCGGCCGCACTCGAGCACCACCACCACCACCACTGA</t>
  </si>
  <si>
    <t>MAKAVCVLEGKVKGTITFTQEGDGPTKVTGKVTGLTPGKHGFHIHQFGDYTAGCVSAGSHFNPFGKEHGGPEDEDRHAGDLGNIVADADGVAVVDITDSQIPLSGANSIIGRSVVVHADEDDLGKGGHDDSKTTGHAGARLSCGVIGIAKPEAAALEHHHHHH*</t>
  </si>
  <si>
    <t>ATGGCTAAAGCGGTTTGCGTTCTCGAAGGCAAAGTGAAGGGTACCATAACATTTACGCAGGAGGGCGATGGCCCGACAAAAGTGACCGGCAAAGTGACAGGTCTGACACCGGGGAAACATGGCTTCCATATTCACCAGTTTGGCGATTATACGGCGGGCTGTGTCTCAGCGGGGTCCCATTTTAACCCGTTCGGAAAAGAACACGGAGGACCTGAAGATGAAGATCGTCATGCAGGAGACCTCGGAAACATAGTTGCTGATGCTGATGGCGTTGCCGTTGTTGATATTACGGACAGTCAGATCCCGCTGTCTGGTGCGAATAGTATTATTGGTCGTAGCGTGGTTGTTCATGCCGATGAAGACGATCTGGGTAAGGGTGGTCACGACGATTCCAAAACGACGGGACACGCGGGTGCACGTCTTAGCTGTGGTGTGATTGGCATAGCAAAACCTGAAGCGGCCGCACTCGAGCACCACCACCACCACCACTGA</t>
  </si>
  <si>
    <t>MVKAVAVLGSSEGVKGTIFFTQEGDGPTTVTGSVSGLKPGLHGFHVHALGDTTNGCMSTGPHFNPAGKEHGAPEDENRHAGDLGNVTAGEDGVANISITDSQIPLTGPNSIIGRAVVVHADPDDLGKGGHELSKSTGNAGGRVACGKFIYNPCSSSSSHNWVSFSINRTSSTPSSRSRSSSAAALEHHHHHH*</t>
  </si>
  <si>
    <t>ATGGTAAAAGCCGTGGCCGTACTGGGATCCAGTGAAGGTGTAAAAGGTACTATCTTCTTTACCCAGGAAGGTGATGGACCGACCACAGTCACGGGGTCTGTTTCCGGGCTGAAGCCGGGTTTACATGGGTTTCATGTTCACGCCCTGGGCGATACTACAAACGGTTGCATGTCTACTGGGCCACATTTCAATCCCGCTGGCAAGGAACATGGTGCCCCAGAAGACGAGAATCGCCATGCCGGTGATCTTGGAAATGTGACCGCCGGGGAAGATGGCGTAGCTAACATATCAATTACGGATTCACAAATCCCGTTGACCGGACCGAACAGTATAATTGGTCGCGCAGTTGTTGTGCATGCTGATCCGGATGACCTGGGCAAGGGTGGACACGAGTTAAGTAAATCTACTGGGAACGCAGGGGGCCGAGTGGCATGTGGCAAATTTATCTATAATCCTTGCAGCAGCAGCTCAAGCCATAATTGGGTGTCCTTTTCCATTAATCGTACTTCTAGCACACCGAGCTCTCGGTCGCGGTCCTCTAGCGCGGCCGCACTCGAGCACCACCACCACCACCACTGA</t>
  </si>
  <si>
    <t>MAKAVCVLKASDNVTGTLTFTQEGDGPTKVTGEVTGLKPGLHGFHIHEFGDTTNGCISAGPHFNPAGKQHGGPTDENRHAGDLGNITAGDDGVAKVDITDSQIPLTGPNSIIGRSLVVHADPDDLGKGGHELSLTTGNAGGRIACGIIAAALEHHHHHH*</t>
  </si>
  <si>
    <t>ATGGCTAAAGCTGTTTGCGTGCTGAAAGCAAGCGATAATGTAACCGGTACCCTGACATTCACACAGGAGGGGGACGGACCAACCAAAGTGACCGGCGAGGTAACCGGGTTGAAACCAGGCTTACATGGTTTTCATATTCATGAATTTGGCGATACTACGAATGGGTGCATTTCAGCGGGCCCTCATTTCAACCCTGCCGGGAAACAGCATGGGGGACCTACGGATGAAAATAGACACGCGGGTGATCTGGGTAATATAACGGCCGGTGACGACGGCGTTGCAAAAGTTGACATTACAGATAGCCAGATTCCGCTTACCGGTCCGAATAGCATCATTGGTCGATCGCTCGTAGTCCACGCGGATCCGGATGATTTGGGAAAAGGGGGTCATGAACTGAGTCTTACAACTGGAAACGCGGGGGGGCGAATTGCGTGTGGAATTATAGCGGCCGCACTCGAGCACCACCACCACCACCACTGA</t>
  </si>
  <si>
    <t>MQSNSPQEATVLIQGGSVSGFLKLTQTNPPVGETHITGTITGLTPGPHGFHIHQTGNLTEGCKSTGGHYNPFQRTHGAPTDHVRHVGDLGNIVAGADGKAVVNITDHQVTLVGPNSVVGRAFVVHEGRDDLGLGGHETSLTTGNAGGRVGCGVIARAAAALEHHHHHH*</t>
  </si>
  <si>
    <t>ATGCAGAGCAATTCTCCACAGGAAGCGACCGTTCTTATTCAGGGCGGAAGCGTGTCTGGCTTCCTGAAGCTTACTCAGACTAACCCGCCGGTAGGTGAAACCCACATCACTGGCACTATAACGGGTCTTACTCCCGGACCGCATGGCTTCCACATTCACCAGACGGGGAATCTGACGGAAGGCTGTAAATCTACGGGTGGACATTACAACCCGTTCCAACGTACACATGGGGCACCGACCGATCATGTGCGTCATGTAGGTGATCTTGGTAATATAGTCGCGGGTGCCGATGGAAAAGCGGTAGTCAATATCACAGATCATCAGGTGACGTTAGTTGGCCCGAATAGTGTCGTCGGGCGGGCATTTGTGGTGCATGAGGGCCGCGATGACTTGGGTTTGGGAGGGCACGAAACTTCACTGACTACCGGTAACGCCGGCGGTCGAGTGGGTTGTGGCGTAATTGCCCGTGCGGCGGCCGCACTCGAGCACCACCACCACCACCACTGA</t>
  </si>
  <si>
    <t>MKITVIGAGNVGATTAQRIIQYELAHDVVLIDVAEGIPQGKGLDLRESAPLEGSDASIIGTNSYEDSADSDLIIITAGIARKPGMSRDDLLSTNAGIVKSVAEQAAAYSPQAILIIVSNPLDVMTYVALKVSGFERHRVVGMAGVLDSARFRTFIAAELGVSVENVQAFVLGGHGDSMVPLPRYSTVAGIPIPELLDQATIDRLAKRTRWGGAEIVGYLKTGSAYYAPASAAVEMAESIVRDRKKILPCAAYLHGEYGINGLFVGVPIKLGKNGIEQIIEIKLTSDEQAALHKSAAAVRANVDKLKHLAAALEHHHHHH*</t>
  </si>
  <si>
    <t>ATGAAAATCACGGTAATTGGCGCTGGTAATGTCGGGGCAACAACTGCTCAAAGAATTATTCAGTATGAATTGGCTCACGATGTCGTGCTCATTGACGTAGCTGAAGGTATTCCTCAAGGTAAAGGATTGGATTTGCGTGAATCCGCCCCACTCGAAGGGTCTGATGCGTCTATCATTGGAACTAACTCATATGAAGATAGCGCCGATTCTGATCTGATAATAATCACTGCTGGGATTGCCCGCAAGCCAGGTATGAGCCGTGATGATCTGCTGTCCACCAATGCGGGCATTGTGAAGTCAGTGGCCGAACAGGCTGCGGCGTATAGTCCTCAGGCTATTTTGATTATTGTTTCAAATCCCTTAGACGTAATGACTTATGTTGCATTGAAGGTGTCTGGTTTTGAGCGCCACCGAGTAGTCGGAATGGCAGGGGTACTGGATTCGGCCCGTTTCCGTACTTTTATAGCTGCTGAGCTGGGTGTGAGTGTCGAGAACGTTCAAGCATTCGTGTTAGGCGGTCATGGCGACTCAATGGTCCCACTGCCCAGATATAGTACAGTGGCGGGAATCCCTATTCCTGAATTGTTAGACCAGGCAACAATTGATCGTCTCGCTAAGCGTACACGTTGGGGTGGGGCGGAAATCGTGGGATATCTGAAAACGGGAAGTGCTTATTATGCTCCTGCCAGTGCGGCAGTCGAAATGGCAGAGTCGATTGTTCGTGATCGTAAAAAAATCTTACCTTGCGCAGCATACCTTCATGGTGAGTATGGTATAAACGGGCTGTTTGTCGGAGTGCCGATTAAATTAGGCAAAAATGGCATCGAGCAAATCATAGAAATTAAATTAACGAGCGATGAACAAGCCGCCCTGCATAAATCAGCAGCAGCTGTACGTGCCAACGTAGACAAATTGAAACATCTTGCGGCCGCACTCGAGCACCACCACCACCACCACTGA</t>
  </si>
  <si>
    <t>MVLNAICVLKGDGQVTGTVHFEQAKEGSPVKLSGEIKGLAPGEHGFHVHEFGDNTNGCTSAGPHFNPFGKTHGGPDDEERHVGDLGNVTADQDGIAKIEISDKLIQLTGPNSIIGRTMVVHEKEDDLGKGGNEESKTTGNAGGRLACGVIGIKDAAALEHHHHHH*</t>
  </si>
  <si>
    <t>ATGGTTTTAAATGCGATATGCGTTCTGAAAGGAGATGGGCAAGTAACGGGAACCGTCCATTTTGAACAGGCAAAGGAAGGAAGCCCTGTGAAGCTGAGCGGGGAGATCAAGGGGCTGGCACCAGGAGAACATGGGTTCCATGTACATGAGTTCGGTGACAATACAAATGGCTGTACCAGTGCTGGTCCGCATTTTAACCCGTTTGGCAAGACACATGGAGGACCAGATGATGAGGAACGCCATGTGGGCGATTTAGGTAACGTGACAGCCGATCAGGATGGTATTGCGAAGATAGAAATCAGCGACAAACTCATCCAATTAACTGGACCTAATTCTATAATTGGTAGAACCATGGTGGTTCATGAAAAAGAAGATGATTTAGGCAAAGGTGGGAACGAGGAATCGAAAACAACAGGCAATGCAGGTGGTCGCTTGGCATGTGGAGTGATTGGAATTAAAGACGCGGCCGCACTCGAGCACCACCACCACCACCACTGA</t>
  </si>
  <si>
    <t>MTKRNKVTVVGAGNVGATAAYWIASKELADVVLIDIVEGWPQGKGLDLAEAGPIEGFDRVVGTNSYEDTQNSDVVIITAGLPRKPGMSRDDLLKTNAEIVGNVVEQVAKHSPNAILVIVSNPLDAMAQVALRRSGFPKNRVVGMAGVLDSARFRTFIARELGVSVEDVTAFVLGGHGDTMVPLVRYSTVAGIPITELISKDKLDAIVQRTANGGAEIVNLLKTGSAFYAPSAAAVQMTEAILKDKKRILPCAVYLDGEYGINGLFVGVPVKLGARGLEEIMEIPLNPEERAALRKSAAAVQELVAKLGLAAALEHHHHHH*</t>
  </si>
  <si>
    <t>ATGACGAAGCGGAATAAAGTGACAGTTGTTGGGGCGGGGAATGTAGGGGCGACAGCAGCATATTGGATTGCATCTAAAGAACTGGCTGATGTGGTCTTAATCGATATCGTTGAAGGTTGGCCTCAAGGCAAAGGTCTGGACCTGGCAGAAGCCGGCCCAATCGAAGGCTTTGATCGCGTTGTAGGCACAAACTCCTACGAAGATACGCAGAACAGCGATGTCGTTATCATTACTGCCGGGCTCCCGCGCAAACCCGGAATGTCACGTGATGACCTGCTCAAAACCAACGCTGAGATTGTTGGTAATGTGGTAGAGCAAGTTGCTAAACATAGCCCAAATGCCATCCTGGTTATTGTTTCTAATCCGCTGGATGCCATGGCGCAGGTGGCTCTTAGACGCTCAGGCTTTCCAAAAAATCGCGTTGTTGGTATGGCCGGAGTTCTGGATTCCGCGCGATTTCGCACATTTATCGCACGGGAACTGGGTGTATCTGTGGAAGATGTTACAGCCTTCGTGCTTGGAGGTCACGGCGATACCATGGTGCCTTTGGTGCGGTACTCAACCGTAGCTGGGATTCCAATTACCGAACTCATCTCAAAAGACAAGTTAGATGCAATTGTTCAACGGACAGCGAATGGAGGTGCCGAAATTGTGAACCTGCTGAAGACGGGCTCCGCCTTTTACGCTCCGTCTGCTGCGGCTGTCCAGATGACAGAGGCTATTCTGAAAGACAAAAAACGCATCCTGCCCTGTGCGGTTTATTTGGATGGGGAGTATGGGATAAATGGTCTGTTTGTCGGCGTGCCGGTTAAATTAGGGGCGCGTGGCCTGGAAGAAATAATGGAGATCCCGTTAAACCCAGAGGAGCGGGCGGCATTAAGAAAAAGTGCCGCGGCAGTCCAAGAGCTCGTTGCAAAACTGGGCTTAGCGGCCGCACTCGAGCACCACCACCACCACCACTGA</t>
  </si>
  <si>
    <t>MNKISIVGAGNVGATAAQRLAEKELAREIVLIDIVEGVPQGKALDQWETAPIEGFDTRVIGSNDYGPAAGSEIVIVTAGIARKPGMSRDDLVRTNAGIVRAVSAEIKRVAPNSIIIVVSNPLDVMTWVAREVTGFPRERVIGMAGVLDTARFRAFLAEALDVSVEDIQALVLGGHGDTMVPLVSYTSVSGIPLSQLLSRDKIDALVERTRKGGAEIVAFLKTGSAYYAPSAAAVQMAEAIVRDKKRVLPCAAFLEGEYGQEGIYLGVPCKLGEGGLEQIVEVELTDDEKAELEKSAEAVRETMPAVKIAAALEHHHHHH*</t>
  </si>
  <si>
    <t>ATGAATAAAATTTCTATAGTTGGTGCTGGAAACGTGGGTGCTACCGCGGCGCAGCGTCTGGCTGAGAAAGAATTGGCGCGTGAAATCGTTTTAATCGATATTGTCGAAGGTGTGCCGCAGGGCAAAGCTCTTGATCAGTGGGAAACCGCCCCTATCGAAGGCTTTGATACCCGTGTAATAGGTAGTAATGATTATGGGCCGGCCGCAGGCAGCGAGATAGTTATTGTAACAGCAGGTATTGCGCGTAAGCCTGGCATGTCCAGAGATGACCTGGTTCGGACCAACGCGGGTATCGTCCGGGCGGTTAGTGCGGAAATTAAACGTGTGGCACCCAACAGCATTATAATTGTGGTTTCAAACCCTTTGGATGTGATGACGTGGGTAGCCCGTGAAGTCACCGGGTTTCCGCGTGAGCGGGTGATTGGTATGGCTGGTGTACTGGATACGGCGAGATTCCGTGCTTTCCTGGCTGAAGCTCTCGATGTCAGCGTGGAAGATATCCAGGCTCTTGTACTTGGCGGCCACGGCGATACCATGGTGCCTCTTGTGTCATACACATCTGTGTCTGGTATTCCGCTGTCCCAGTTGCTCTCAAGAGATAAGATCGACGCTCTGGTAGAGCGTACGCGTAAGGGTGGAGCGGAAATTGTCGCATTTCTGAAGACCGGCTCGGCATATTACGCTCCGAGTGCAGCCGCCGTACAGATGGCCGAAGCCATTGTTCGCGATAAGAAACGGGTTCTGCCCTGTGCCGCTTTCCTGGAGGGCGAGTATGGACAGGAAGGCATATATTTAGGCGTGCCATGCAAACTCGGTGAAGGAGGGCTGGAACAAATTGTGGAGGTAGAGCTCACCGATGATGAAAAAGCGGAACTCGAAAAATCCGCCGAAGCTGTGCGTGAAACCATGCCGGCTGTTAAGATCGCGGCCGCACTCGAGCACCACCACCACCACCACTGA</t>
  </si>
  <si>
    <t>MAVNAVCVLKGDSDIKGTVHFTQEKADGPVKLTGEISGLTPGKHGFHVHEFGDNTNGCTSAGAHYNPFNKEHGGPEDQDRHCGDLGNVTANDSGVASFEISDKFISLTGPNSIIGRTLVVHADEDDLGKGGHELSKTTGNAGGRLACGVIGITKNAAALEHHHHHH*</t>
  </si>
  <si>
    <t>ATGGCAGTTAACGCGGTTTGCGTTCTGAAGGGCGATTCTGATATCAAAGGGACGGTGCATTTTACGCAAGAAAAGGCGGATGGACCTGTGAAGCTGACCGGTGAAATTTCCGGTTTGACGCCTGGAAAACATGGTTTTCATGTTCACGAATTTGGTGATAATACTAACGGTTGCACATCAGCCGGCGCCCACTATAACCCGTTCAACAAGGAACATGGAGGGCCTGAGGACCAGGATCGGCACTGTGGGGACCTGGGTAACGTTACAGCCAATGATAGTGGAGTGGCCTCATTTGAGATTTCGGATAAATTTATTAGTTTGACTGGTCCAAATAGCATAATAGGACGGACGCTCGTGGTACACGCCGACGAGGATGATCTGGGCAAAGGGGGGCATGAACTTAGCAAAACTACTGGGAATGCAGGGGGTCGCCTGGCTTGTGGAGTAATTGGCATCACAAAAAATGCGGCCGCACTCGAGCACCACCACCACCACCACTGA</t>
  </si>
  <si>
    <t>MVKAVAVLRGDSSVSGVVTFEQPSEGSPTTISWDIKNNDPNAERGFHIHEFGDNTNGCTSAGPHYNPFGKNHGGPYDAERHVGDLGNVSTDASGNATGSITDSSIKLIGPESILGRTVVIHDGTDDLGRGGHPESKKTGNAGPRPACGVIGIAAAAALEHHHHHH*</t>
  </si>
  <si>
    <t>ATGGTGAAGGCCGTTGCGGTGCTGCGAGGTGATTCCAGTGTTTCAGGTGTTGTTACCTTCGAACAGCCGAGCGAAGGCAGTCCCACAACAATTTCATGGGATATCAAGAACAATGATCCGAATGCGGAGCGTGGGTTTCATATTCATGAATTCGGTGATAACACTAATGGCTGCACCAGCGCCGGACCCCACTACAATCCGTTCGGCAAAAATCATGGTGGCCCCTACGATGCAGAACGTCATGTGGGTGATCTGGGTAATGTTTCTACGGATGCAAGTGGCAATGCAACAGGTTCGATTACCGATTCATCCATTAAATTGATTGGTCCCGAATCCATTCTCGGCCGTACGGTTGTTATACATGATGGCACGGATGACCTTGGCCGTGGTGGACATCCTGAATCGAAAAAGACGGGAAATGCTGGGCCCCGCCCCGCGTGTGGTGTGATAGGTATTGCCGCAGCGGCCGCACTCGAGCACCACCACCACCACCACTGA</t>
  </si>
  <si>
    <t>MFSLLRILFMSVKAVCVLVGETVKGTVNFVQEGDGPVRVTGEVTGLAKGLHGFHVHEFGDNTNGCTSAGAHFNPFGKEHGAPEDENRHVGDLGNITAGDDGVAKVDITDKLISLTGPNSIIGRTVVVHADPDDLGKGGHELSKTTGNAGGRLACGVIGIAAAAALEHHHHHH*</t>
  </si>
  <si>
    <t>ATGTTCTCGCTCTTACGCATTTTATTTATGTCGGTTAAAGCCGTTTGCGTTCTGGTGGGTGAAACCGTGAAAGGGACGGTGAACTTTGTACAGGAAGGCGATGGACCAGTGCGTGTAACCGGAGAAGTAACTGGCCTGGCAAAGGGCCTTCACGGTTTTCACGTTCATGAGTTCGGCGACAATACCAATGGTTGCACGTCGGCCGGGGCTCACTTCAATCCTTTCGGGAAGGAACACGGCGCACCGGAAGATGAGAACAGACATGTGGGTGATTTGGGCAACATTACTGCCGGGGATGATGGTGTTGCTAAAGTCGACATTACTGATAAACTGATAAGTTTGACTGGCCCTAACAGCATAATTGGCCGTACGGTGGTCGTGCATGCCGATCCGGATGACCTGGGAAAAGGGGGTCATGAATTAAGTAAGACGACGGGGAATGCTGGGGGTAGATTGGCCTGTGGTGTCATCGGTATAGCGGCAGCGGCCGCACTCGAGCACCACCACCACCACCACTGA</t>
  </si>
  <si>
    <t>MLGGFRTHTHRAHMHGIHVHTEGNLTESCQSTGRHYNPTEARHGSRKGSIRHVGDWGNIVCDKHGEVNVVFTDTVASLTGNYSIVGRSINVHAHMDDLGKNPDIPASAWNGNAGPRVACCVIERVNKLPHLTTRAAKRMLREIIEPLQGGKNTMAAALEHHHHHH*</t>
  </si>
  <si>
    <t>ATGTTAGGAGGCTTTCGTACTCATACCCACCGCGCCCACATGCACGGGATACACGTGCATACGGAAGGTAATCTTACAGAGAGCTGCCAGTCAACCGGGCGTCATTATAATCCGACCGAGGCACGTCACGGCTCTAGAAAAGGGAGTATTCGCCATGTGGGAGATTGGGGCAACATTGTGTGCGATAAACATGGAGAGGTGAACGTCGTTTTTACGGATACCGTCGCCTCACTGACCGGTAACTACAGTATCGTAGGACGGAGCATCAACGTGCATGCCCACATGGATGATTTAGGGAAAAATCCAGACATCCCTGCCTCTGCCTGGAATGGCAACGCTGGTCCACGGGTGGCCTGCTGTGTTATTGAACGAGTCAATAAGCTGCCTCACCTGACAACCAGAGCCGCCAAACGCATGTTGCGGGAAATTATAGAACCGCTGCAGGGTGGTAAGAATACAATGGCGGCCGCACTCGAGCACCACCACCACCACCACTGA</t>
  </si>
  <si>
    <t>MKKAVCVLKGTGKVTGTVYFEQKDADGPVKVTGEITGLTPGKHGFHVHQFGDNTNGCTSAGPHFNPHGKTHGGPDDENRHVGDLGNVTAGEDGVAKVDITDKLITLTGPNSIIGRAVVVHEKEDDLGKGGNEESLKTGNAGGRLACGVIGIAAAALEHHHHHH*</t>
  </si>
  <si>
    <t>ATGAAAAAAGCGGTGTGCGTCCTGAAAGGCACCGGAAAAGTGACTGGGACGGTATACTTTGAACAAAAAGACGCAGACGGACCTGTTAAAGTTACTGGAGAGATCACAGGATTAACCCCGGGCAAGCATGGATTCCACGTACACCAGTTTGGTGATAACACCAATGGTTGTACTTCAGCCGGTCCGCATTTCAACCCTCATGGTAAAACACATGGAGGTCCGGATGATGAAAACCGACACGTTGGGGATCTGGGTAACGTTACCGCAGGAGAAGACGGCGTGGCAAAGGTGGACATTACTGATAAACTGATAACTTTAACGGGCCCTAACTCTATTATTGGCCGTGCAGTTGTCGTTCACGAGAAAGAGGATGATCTTGGTAAAGGCGGCAATGAGGAGTCCCTGAAGACCGGGAATGCCGGCGGCCGACTGGCGTGCGGCGTTATTGGCATAGCCGCGGCCGCACTCGAGCACCACCACCACCACCACTGA</t>
  </si>
  <si>
    <t>MKAVVVGGAGGIGGPLSLLLLTSPPVDELDLLDDVNITGVVAAQSFISSTARITGGYPADDGALKAATKAAIIVIPAGIPPKPGMTRDDLYNINAGIVRGLILQIAEFAPKAHIIVISNPVNSTVPIAAEVLKWKGVYDPQRLFGVTTLDDVRAETFVAEITGKKRPSKTTIPVVGGHSGETIVPLFSKAKPSVEIPDDKLDALVYRVQFGGDEVVKAKDGAGSATLSMAYAGFRFAEKVLKAAAGEKGIVEPSFVYLYGVPGGAEIAKYTGFDFFSVPIYLGPNGALKAHNPLGEITDHERKLVEAAADGLKGNIEKGVEFAFYPPQQAAALEHHHHHH*</t>
  </si>
  <si>
    <t>ATGAAAGCTGTGGTCGTTGGAGGTGCGGGTGGGATTGGGGGGCCCCTTTCATTACTGCTCCTGACCTCTCCACCGGTGGACGAATTAGATCTGCTGGACGATGTCAATATTACTGGCGTTGTCGCCGCCCAGTCATTCATCAGCAGTACCGCCCGCATAACCGGGGGATATCCGGCTGATGATGGTGCTCTGAAAGCAGCTACCAAAGCAGCCATTATTGTAATCCCAGCCGGTATCCCTCCGAAGCCGGGCATGACACGCGACGATCTCTATAATATCAATGCCGGAATAGTCAGAGGCTTGATTCTGCAGATAGCTGAGTTTGCCCCAAAAGCTCATATTATCGTGATATCTAATCCCGTAAACTCGACTGTGCCGATCGCGGCCGAGGTCCTCAAGTGGAAGGGGGTTTACGATCCGCAAAGACTGTTTGGTGTCACCACTCTTGACGATGTGCGCGCTGAAACCTTCGTGGCCGAAATCACAGGGAAAAAACGGCCAAGCAAGACAACAATTCCGGTTGTAGGGGGACATTCTGGTGAGACCATTGTCCCATTATTCTCAAAGGCTAAGCCAAGTGTAGAAATTCCAGATGATAAATTGGACGCCCTGGTTTACAGAGTGCAATTCGGAGGGGATGAGGTTGTGAAGGCTAAAGACGGTGCTGGCAGCGCGACCCTTTCCATGGCATATGCCGGCTTCCGCTTCGCGGAAAAAGTGTTGAAAGCGGCAGCTGGTGAGAAGGGTATTGTGGAACCCTCCTTTGTTTACCTCTATGGGGTTCCGGGTGGAGCAGAGATTGCAAAGTACACCGGTTTCGATTTCTTTTCTGTACCTATTTACCTGGGCCCTAATGGAGCTCTGAAAGCACACAATCCATTAGGTGAAATAACAGATCACGAAAGAAAGCTTGTTGAGGCAGCTGCAGATGGCCTTAAAGGTAATATCGAGAAAGGCGTTGAATTTGCATTCTATCCGCCGCAGCAGGCGGCCGCACTCGAGCACCACCACCACCACCACTGA</t>
  </si>
  <si>
    <t>MPLLKRVAILMGDHNVTGVIHFYQEGSGCTTVTGNISGLNPGLHGFHVHALGDTTNGCMSTGPHFNPYNLEHGAPEDENRHAGDLGNVTAGEDGVANVSICDNQIPLNGQNSILGRAVVVHADPDDLGRGGHELSKSTGNAGARVACGVIGLQSSAAALEHHHHHH*</t>
  </si>
  <si>
    <t>ATGCCGTTGTTAAAACGTGTTGCGATTCTCATGGGCGACCATAACGTGACTGGTGTCATTCACTTTTACCAAGAAGGTTCAGGCTGTACTACTGTGACGGGCAACATTAGTGGTCTTAACCCGGGTTTACATGGCTTCCATGTACATGCGCTGGGGGATACAACGAATGGATGTATGTCCACCGGTCCTCATTTTAACCCGTATAATCTGGAGCACGGTGCTCCTGAGGACGAGAATCGTCATGCTGGGGATCTGGGGAATGTAACTGCTGGGGAAGATGGGGTGGCAAACGTCAGCATATGTGACAATCAGATACCGTTAAACGGCCAGAATTCTATCCTGGGACGCGCGGTGGTTGTGCACGCTGATCCTGACGATCTGGGACGAGGAGGCCATGAATTATCGAAAAGTACAGGCAATGCTGGCGCTAGAGTCGCGTGTGGTGTAATCGGTCTTCAGTCGTCAGCGGCCGCACTCGAGCACCACCACCACCACCACTGA</t>
  </si>
  <si>
    <t>MVLKAVCVLKGDGPVTGTIYFEQSPAGGAVRLTGQITGLAEGLHGFHVHQFGDNTNGCISAGPHFNPHNKKHGGPNDEERHVGDLGNVKANSDGVANVNLRDKMISLSGPCSIIGRTMVVHEKRDDLGRGGDDESLKTGNAGSRLACGVIGIARAAALEHHHHHH*</t>
  </si>
  <si>
    <t>ATGGTGCTGAAAGCGGTTTGTGTGTTAAAAGGCGATGGTCCCGTTACTGGCACAATTTACTTTGAGCAATCACCGGCCGGCGGCGCGGTACGTCTGACCGGGCAGATTACTGGGCTTGCCGAAGGGCTTCACGGTTTTCACGTACATCAATTTGGAGACAACACTAACGGTTGCATCTCTGCCGGACCGCACTTCAATCCCCACAATAAAAAACACGGCGGCCCAAACGACGAAGAACGTCATGTTGGGGATCTGGGTAATGTGAAGGCGAACTCTGATGGGGTGGCCAATGTTAATCTGCGGGATAAAATGATCTCTTTGTCAGGTCCGTGCAGCATAATTGGTCGAACCATGGTCGTTCATGAAAAACGTGATGATCTTGGACGTGGCGGAGATGATGAATCATTAAAAACAGGCAACGCCGGGTCGCGCCTTGCGTGTGGGGTCATCGGTATAGCGCGCGCGGCCGCACTCGAGCACCACCACCACCACCACTGA</t>
  </si>
  <si>
    <t>MKTRVRVTVTGAAGQIGYSLLFRIARGDMLGKDQPVILQLLEVEPALKALRGVVMELDDCAFPLLAGVETTDDPNVAFKDADALLVGARPRGPGMERKDLLEANGAIFTQGKALNEHASRDVKVWVVGNPANTNALIAMHNAPDLDPEQFTALMRLDQNRALAQLAEKLGKPVADVRNMIIWGNHSWTQYPDVWHAEVNGRAAFDLVDESWYFDTFIPTVQTRGGAAIIAAGGSSSAASAANAIIHHWHWWYGGTEWDWWVTMSVPSDGSEGIEGGVFYFPPVICRGGVYSIVQGLEISEFSRERMEATLKELIEERAAVADALAAALEHHHHHH*</t>
  </si>
  <si>
    <t>ATGAAGACTCGCGTACGCGTAACGGTTACTGGCGCAGCGGGACAAATTGGATACTCCCTTCTGTTTCGCATTGCACGGGGGGATATGCTGGGCAAAGACCAGCCAGTCATACTGCAATTATTAGAGGTGGAACCAGCGCTTAAAGCGCTGCGGGGAGTGGTTATGGAACTGGACGACTGCGCATTTCCGCTCCTGGCCGGGGTAGAAACCACAGATGATCCAAATGTGGCCTTTAAAGATGCGGACGCGCTGCTGGTGGGTGCGCGGCCGAGAGGCCCTGGGATGGAGCGTAAAGATCTGTTGGAAGCTAATGGCGCGATTTTTACGCAAGGTAAAGCTTTAAATGAACACGCATCTCGAGATGTGAAAGTATGGGTTGTCGGTAATCCGGCAAATACGAACGCGCTTATCGCTATGCATAATGCACCTGATCTGGATCCAGAGCAATTTACCGCACTTATGCGTTTGGACCAGAATCGTGCCTTAGCACAATTAGCAGAAAAGCTGGGTAAACCTGTGGCAGATGTACGTAACATGATTATCTGGGGGAACCATTCTTGGACCCAGTATCCAGACGTATGGCACGCAGAGGTAAATGGCCGCGCGGCCTTTGATCTGGTGGATGAGTCCTGGTATTTTGACACCTTTATCCCGACGGTCCAAACCCGTGGGGGCGCTGCAATTATCGCTGCCGGTGGGAGCAGTTCCGCGGCAAGTGCAGCGAATGCTATAATTCATCATTGGCATTGGTGGTATGGCGGCACCGAGTGGGATTGGTGGGTTACCATGTCTGTTCCATCCGACGGGAGCGAGGGAATTGAGGGAGGCGTTTTTTATTTTCCCCCAGTAATATGTCGTGGGGGAGTTTACTCCATTGTTCAAGGTCTTGAAATTTCAGAATTTTCTCGTGAGCGGATGGAAGCGACTTTGAAAGAACTGATAGAAGAGAGAGCCGCAGTGGCTGACGCTTTGGCGGCCGCACTCGAGCACCACCACCACCACCACTGA</t>
  </si>
  <si>
    <t>MGRKKVTIVGAGNVGATCAHWAAAKELADIVLIDIVEGVPQGKALDLMEAKPIEKYDCRIIGTNDYRDTANSDIVVITAGIARKPGMSRDDLLATNYKIMHDVVGKVVAYSPNAIIIIVSNPLDVMAYVARRWSGFPRNRVVGMAGVLDSTRFRTFIALELHVSVENVTAFVLGGHGDGMVPLPRYSTAAGIPITELMPKDTIARMVQRTRWGGAEIVKFLKTGSAYYAPSSAAVEMVEAILKDKKKILPVAVYLQGEYGQNDIYVGVPCKIGARGLEQIIEIKLTPEEKTALQKSAASVRKLCKVIGIAAALEHHHHHH*</t>
  </si>
  <si>
    <t>ATGGGACGGAAGAAGGTCACAATTGTCGGCGCAGGTAACGTTGGGGCGACATGCGCACATTGGGCTGCGGCAAAGGAGTTGGCTGATATTGTTCTGATAGACATCGTAGAAGGTGTGCCACAGGGCAAAGCACTGGATCTGATGGAAGCTAAACCAATTGAAAAATATGATTGTCGTATTATCGGTACGAACGATTATCGTGATACAGCTAACTCAGATATTGTTGTCATAACAGCGGGTATAGCCAGAAAACCGGGTATGAGTCGAGATGACCTTCTGGCAACGAACTACAAAATTATGCATGACGTGGTTGGTAAGGTCGTTGCATATTCCCCAAATGCTATCATTATTATTGTGAGCAACCCGCTTGATGTCATGGCCTATGTAGCCAGAAGATGGAGCGGGTTTCCGCGTAATCGCGTCGTAGGGATGGCGGGCGTTTTGGATAGCACCCGTTTCCGCACATTTATAGCGCTTGAACTTCATGTCAGTGTCGAAAACGTTACAGCCTTTGTTCTGGGCGGTCACGGGGATGGTATGGTTCCCCTCCCGAGATATAGCACGGCTGCCGGTATCCCGATCACTGAACTGATGCCCAAAGATACGATCGCCCGCATGGTTCAACGGACCCGATGGGGAGGTGCAGAAATTGTAAAATTTTTAAAAACGGGTTCCGCGTATTATGCTCCGAGTTCGGCAGCCGTGGAGATGGTTGAAGCGATCCTGAAGGATAAAAAAAAGATTTTACCCGTGGCCGTGTATCTTCAAGGCGAGTATGGACAAAATGATATATATGTTGGGGTACCCTGTAAAATAGGTGCTCGTGGTCTCGAACAGATCATTGAAATTAAATTAACCCCAGAGGAAAAGACCGCCCTGCAGAAATCAGCAGCTAGCGTGCGCAAACTGTGTAAAGTTATCGGGATTGCGGCCGCACTCGAGCACCACCACCACCACCACTGA</t>
  </si>
  <si>
    <t>MVKAIAVLRGDSKVSGVVTFTQPSEDSPTTVSWDIQNNDPNAERGFHIHEFGDNTNGCTSAGPHYNPHGKSHGAPTDEERHVGDLGNIKTDATGNSKGSITDMSLKLIGPESILGRTVVIHAGTDDLGRGGNPDSKKTGNAGPRPACGVIGIAAAAALEHHHHHH*</t>
  </si>
  <si>
    <t>ATGGTCAAAGCAATCGCAGTGCTTCGGGGAGATAGCAAAGTTTCTGGCGTTGTAACGTTCACGCAGCCATCTGAGGATAGCCCTACCACGGTTTCCTGGGATATACAGAATAACGATCCTAATGCAGAACGGGGGTTTCATATTCACGAATTCGGAGACAATACGAACGGCTGCACGTCTGCCGGGCCCCACTATAATCCGCACGGTAAAAGCCACGGAGCGCCAACAGACGAGGAGCGGCATGTGGGCGATCTTGGTAACATTAAGACGGATGCCACGGGCAACTCAAAGGGATCCATTACAGATATGTCATTAAAATTAATAGGCCCTGAGAGTATTTTAGGACGCACTGTGGTAATACATGCGGGTACCGATGATCTGGGTCGGGGTGGCAATCCTGATAGCAAAAAGACTGGTAATGCCGGACCTCGTCCGGCGTGCGGGGTGATCGGGATTGCCGCTGCGGCCGCACTCGAGCACCACCACCACCACCACTGA</t>
  </si>
  <si>
    <t>MTKRNKITVVGAGVVGATAAHLIASKELGDVVLVDIVEGVPQGKGLDLWESAPIEGFDSKVVGANSYEETAGSDIFIITAGLARKPGMSRDDLLKTNSGIVGSVADQVAKVSPDSIIVVVSNPLDAMAQVALRRSGFPRNRVIGMAGVLDTARMRTFLAEELDVSVEDVQAFVLGGHGDDMVPLISYTSVSGIPVTHLIAPDRLDAIIKRTRNGGAEIVNLLKTGSAYYAPSAAAVEMAEAILKDKKRILPCAVYLEGEFGINDLFLGVPVKLGRNGLEQIIEIGLTADERDALRRSADAVQELIDVLGAAALEHHHHHH*</t>
  </si>
  <si>
    <t>ATGACTAAACGCAATAAAATTACAGTGGTTGGTGCGGGTGTGGTCGGGGCGACGGCAGCGCACCTGATTGCATCCAAAGAACTGGGGGATGTAGTACTTGTAGACATAGTTGAAGGCGTGCCTCAGGGGAAAGGATTGGATCTGTGGGAGAGTGCGCCGATAGAAGGTTTTGATAGCAAGGTCGTCGGCGCGAATTCCTACGAAGAAACCGCTGGCTCTGATATATTCATTATTACCGCCGGTCTGGCCCGTAAGCCGGGTATGAGTCGTGACGATCTCTTAAAGACAAATAGTGGGATAGTTGGTTCAGTTGCTGATCAGGTCGCAAAAGTGAGTCCCGATAGTATTATAGTGGTTGTAAGCAACCCGCTCGACGCGATGGCCCAGGTTGCTCTGCGTCGCAGTGGTTTCCCGCGCAATAGAGTTATTGGTATGGCGGGTGTTCTGGATACAGCGCGTATGCGTACGTTTCTTGCCGAGGAACTTGATGTAAGCGTTGAGGATGTGCAAGCGTTCGTCTTAGGGGGGCACGGTGACGACATGGTGCCACTCATTAGCTATACCTCAGTGTCCGGGATTCCAGTCACGCACTTAATTGCACCCGATCGCCTGGATGCCATCATTAAACGAACTCGTAATGGAGGAGCAGAGATTGTTAACCTGTTGAAGACGGGGTCCGCATACTATGCTCCCAGTGCAGCAGCCGTTGAGATGGCAGAAGCGATACTCAAAGATAAAAAGCGTATTCTGCCTTGTGCTGTTTATCTGGAAGGAGAGTTTGGGATAAATGATCTGTTCCTGGGCGTGCCCGTTAAATTAGGACGGAACGGGCTCGAGCAAATTATTGAAATTGGTCTTACCGCCGATGAACGTGATGCTTTGCGCCGGAGCGCCGATGCAGTACAGGAACTGATTGATGTCCTGGGCGCGGCCGCACTCGAGCACCACCACCACCACCACTGA</t>
  </si>
  <si>
    <t>MAMTARALLRVAVTGAAGQIGYALLFRIASGDMLGKDQPVYLQLLEIPDEPAQKALKGVMMELDDCAFPLLAGVTATSDAWEAFKDVDIALLVGARPRGPGMERKELLSANGAIFTAQGRALDAVAKRNVKVLVVGQPANTNALIAMKHAPDLPRKNFYAMLRLDHNRALSQIAARAGVCVADIEKLTVWGNHSPTMYADYRFARTNGEPIREVVDWAWNANTFLPTVGKRGAAIIEARGLSSAASAANAAIDHMHDWALGSNGKWVTMGVPSDGSYGIPEGIVFGFPVTCEDGDWRIVEELRIDDFSRERMKKTLKELVEQRAGVAHLLAAALEHHHHHH*</t>
  </si>
  <si>
    <t>ATGGCCATGACGGCTCGGGCTCTTCTTCGAGTGGCGGTGACAGGTGCCGCTGGGCAAATAGGTTATGCCCTGTTATTTAGAATCGCCTCGGGCGATATGCTGGGTAAGGACCAGCCCGTTTATTTACAGCTGCTGGAAATTCCGGATGAACCAGCCCAAAAAGCTTTAAAAGGGGTGATGATGGAACTGGATGATTGTGCCTTTCCCCTGCTTGCCGGGGTCACCGCAACATCGGATGCATGGGAGGCTTTTAAGGATGTTGATATTGCTCTGCTGGTCGGCGCTAGACCACGCGGTCCGGGTATGGAAAGAAAAGAACTTCTGTCCGCGAATGGTGCGATTTTTACGGCACAGGGGCGCGCACTTGATGCTGTGGCCAAACGTAACGTTAAAGTGCTGGTCGTAGGTCAACCTGCGAATACGAATGCACTGATCGCGATGAAACATGCCCCAGACCTGCCGCGTAAAAACTTTTACGCAATGTTACGCCTTGATCACAATCGCGCTTTGAGCCAAATTGCCGCAAGAGCTGGTGTGTGCGTAGCAGATATTGAAAAACTGACCGTGTGGGGGAATCATTCCCCAACAATGTATGCTGATTATAGATTTGCGCGTACTAACGGCGAACCGATAAGAGAAGTCGTTGACTGGGCCTGGAACGCTAACACTTTTTTGCCGACAGTAGGAAAGAGAGGTGCGGCCATTATTGAAGCTCGCGGACTGTCCTCGGCCGCGAGTGCTGCGAATGCCGCAATTGATCACATGCATGATTGGGCTTTAGGTAGCAATGGAAAATGGGTGACCATGGGTGTTCCATCAGACGGGTCCTATGGTATTCCAGAAGGAATCGTATTTGGTTTTCCGGTTACTTGCGAAGATGGTGACTGGCGGATAGTGGAAGAGCTGCGGATCGATGACTTCTCTAGAGAGCGCATGAAAAAAACGCTGAAAGAGCTGGTCGAACAGCGCGCCGGAGTAGCACATCTTTTGGCGGCCGCACTCGAGCACCACCACCACCACCACTGA</t>
  </si>
  <si>
    <t>MSKVTVVGAGNVGATCANVIAYNQIADEVVLLDIKEGFAEGKAMDMMQTATLLGFNTVIKGVTNDYAKTAGSDVVVITSGIPRKPGMTREELIGVNAGIVKSVTDNALKHSPEAIIVIVSNPMDTMTYLALKASGLPKNRIIGMGGALDSSRFKYYLSDALGCPASEIEGMVIGGHGDTTMIPLTRLATYQGIPVSEFLSAEELQKVAADTMVGGATLTGLLGTSAWYAPGAAVAFVVDSILHDQKRIIPCSVYLDGEYGESDICIGVPVIIGKNGIEHIVDVNLNDEEKELFKKSACAVRNMNDALSSLLAAALEHHHHHH*</t>
  </si>
  <si>
    <t>ATGAGCAAAGTAACAGTGGTAGGGGCTGGCAACGTAGGCGCAACCTGTGCTAATGTAATCGCCTACAACCAAATCGCGGACGAGGTGGTGCTGCTGGACATAAAAGAAGGATTTGCCGAGGGAAAAGCAATGGACATGATGCAGACCGCAACACTGCTTGGCTTCAATACCGTGATTAAAGGAGTGACTAACGACTACGCTAAAACGGCCGGCTCAGATGTTGTAGTCATAACATCCGGTATTCCGCGGAAGCCCGGCATGACACGTGAAGAGCTGATAGGTGTAAACGCGGGCATCGTAAAATCTGTTACAGATAATGCTCTGAAACATAGCCCAGAAGCGATTATCGTTATTGTTTCAAATCCTATGGATACTATGACGTACCTCGCACTTAAAGCATCGGGTCTCCCTAAAAATCGTATCATTGGAATGGGTGGAGCCCTTGACTCAAGCAGATTTAAATATTATCTTTCTGATGCGCTCGGGTGTCCTGCCAGTGAGATTGAAGGTATGGTAATCGGCGGCCACGGTGACACCACTATGATTCCGCTCACACGTTTAGCTACTTATCAGGGCATTCCAGTAAGTGAATTTTTATCTGCAGAGGAGTTACAAAAAGTGGCCGCGGATACCATGGTCGGCGGCGCTACCCTGACTGGCTTATTAGGTACCTCAGCGTGGTATGCTCCCGGAGCAGCTGTAGCATTTGTAGTAGACTCGATCTTGCATGATCAGAAACGTATTATCCCCTGCAGCGTCTACTTGGACGGCGAATATGGCGAGTCCGATATATGCATAGGCGTCCCAGTTATAATTGGCAAAAATGGTATCGAGCATATTGTGGACGTTAATCTGAATGATGAAGAGAAAGAGCTCTTCAAAAAATCAGCTTGCGCGGTAAGAAACATGAATGATGCCCTGAGCTCTCTGTTAGCGGCCGCACTCGAGCACCACCACCACCACCACTGA</t>
  </si>
  <si>
    <t>MARNKIALIGAGNIGGTLAHLAGLKNLGDVVMFDIVDGVPQGKALDLSQSSPVEGFNADIRGTNNYAALKNADVVIVTAGCARKPGMSRDDLLGINTNVMCAVGAGIKEYCPNAFVICITNPLDAMVWALREASGLPRNKVVGMAGVLDSARFRYFLAEEFGVSVEDVTAFVLGGHGDTMVPLTRYSTVAGIPLPDLIKMGWSTQERLDEIVQRTRDGGGEIVWLLETGSAFYAPASSAIEMAESYLKDKKRVLPCAAYLNGQYGVKNLYVGVPVVIGKDGVEKVIEINLSDKEKKEFRKSIGAVKKLIDVCKKIFGKLAAALEHHHHHH*</t>
  </si>
  <si>
    <t>ATGGCGCGCAATAAAATTGCCCTGATTGGCGCCGGTAACATTGGCGGCACACTGGCCCATCTGGCCGGACTGAAAAATCTGGGTGACGTCGTGATGTTTGATATCGTGGATGGGGTACCGCAGGGTAAAGCCTTGGATCTGAGCCAGTCATCCCCCGTAGAGGGTTTCAATGCTGACATACGCGGGACTAACAATTACGCGGCGCTCAAAAACGCGGATGTAGTTATCGTTACTGCAGGCTGCGCGCGGAAACCGGGGATGAGCAGAGACGACCTTCTGGGGATTAATACAAATGTGATGTGTGCAGTTGGGGCCGGTATCAAAGAATATTGCCCGAACGCATTTGTAATTTGTATCACCAACCCCCTGGACGCCATGGTGTGGGCCCTGCGTGAGGCCTCTGGACTGCCCCGTAACAAAGTCGTGGGAATGGCCGGAGTGCTGGACTCAGCTCGGTTCCGTTATTTTTTGGCAGAAGAATTTGGTGTCAGTGTTGAAGATGTAACCGCCTTTGTGTTAGGGGGGCATGGAGACACCATGGTCCCATTGACTCGCTACTCCACAGTCGCCGGTATCCCACTGCCCGACCTGATCAAAATGGGGTGGAGTACTCAAGAGCGCCTGGATGAGATTGTGCAACGAACTCGGGATGGCGGCGGGGAGATAGTATGGCTCCTGGAGACCGGCAGCGCCTTTTATGCTCCAGCAAGTTCTGCAATTGAAATGGCCGAAAGTTATTTGAAAGACAAGAAGCGCGTGCTCCCATGTGCCGCCTATCTGAATGGACAGTATGGAGTGAAAAATTTATACGTGGGTGTGCCTGTAGTCATTGGAAAAGATGGCGTAGAAAAAGTTATAGAAATCAATTTATCAGATAAGGAGAAAAAAGAGTTTCGTAAGTCCATAGGTGCTGTGAAAAAACTTATTGATGTCTGCAAGAAGATTTTTGGGAAGCTCGCGGCCGCACTCGAGCACCACCACCACCACCACTGA</t>
  </si>
  <si>
    <t>MVKAVAVLRGDSKVTGVVTFTQPSESSPTTVSWDIKNNDPNAERGFHIHEFGDNTNGCTSAGPHFNPFGKTHGAPTDSERHVGDLGNVSTDASGNATGSITDSSISLIGPRSIIGRTVVIHAGTDDLGRGGHPDSKKTGNAGPRPACGVIGIAAAAALEHHHHHH*</t>
  </si>
  <si>
    <t>ATGGTGAAGGCTGTCGCAGTTCTCCGAGGTGATTCGAAAGTGACGGGGGTAGTCACATTTACGCAGCCTAGCGAATCCTCTCCAACCACGGTTTCCTGGGATATTAAAAACAATGACCCCAACGCCGAGAGAGGTTTCCACATCCATGAATTTGGTGATAATACGAACGGCTGTACTTCTGCGGGTCCCCACTTTAATCCTTTTGGGAAAACCCACGGCGCCCCGACAGATTCGGAACGTCATGTCGGTGATCTGGGTAATGTTTCCACCGATGCCTCAGGCAATGCGACTGGTAGCATTACCGATAGTTCTATATCACTGATTGGTCCGCGTTCTATTATCGGCCGGACGGTAGTTATTCACGCCGGCACCGACGATTTGGGGCGGGGTGGTCATCCAGACTCCAAAAAAACGGGCAATGCAGGACCAAGACCCGCTTGCGGTGTGATAGGTATCGCTGCAGCGGCCGCACTCGAGCACCACCACCACCACCACTGA</t>
  </si>
  <si>
    <t>MHARNKITVVGAGNVGATCAQWVAQRDLADVVLIDIVDGMPQGKALDMKQAGPIYGHDSRVVGTNDYEDTAGSDVVVITAGLPRKPGMSRDDLLKTNTKIVGSVTEQVAKRSPDAIIVVVANPLDAMCYIARKVSGFPSNRVVGMAGILDSARFRTFIARELGVSVEDVTAFVLGGHGDDMVPLPRYTSVGGIPITKLMSADRIQELVQRTRNGGAEIVNLLKTGSAFYAPAAATVEMVEAILKDKRRVLPCAAYLDGEYGIKGLFVGVPAKIGARGVEKVIELDLPPEERAALRKSAAAVRKLVKKLWLAAALEHHHHHH*</t>
  </si>
  <si>
    <t>ATGCATGCGCGTAACAAAATCACCGTGGTTGGTGCGGGAAATGTAGGCGCCACGTGCGCTCAGTGGGTCGCCCAACGTGATCTGGCGGACGTTGTTCTGATTGATATCGTCGATGGTATGCCTCAAGGGAAGGCACTCGATATGAAACAGGCTGGCCCCATTTACGGCCATGACTCACGCGTAGTAGGCACCAACGATTACGAAGATACGGCTGGTTCTGATGTTGTAGTAATCACCGCTGGGCTTCCACGTAAGCCTGGAATGAGCCGTGATGATCTGTTAAAGACCAATACGAAAATTGTGGGCTCGGTGACAGAACAGGTTGCTAAGCGTTCTCCCGACGCCATTATCGTGGTCGTAGCTAATCCTCTGGATGCGATGTGTTACATCGCGCGCAAAGTCTCAGGCTTCCCGAGTAATCGAGTGGTTGGGATGGCCGGTATTCTTGATAGCGCACGCTTTCGTACGTTTATTGCCCGGGAGTTAGGTGTGTCGGTAGAAGATGTCACCGCATTCGTTCTGGGGGGGCATGGTGATGATATGGTTCCTTTACCCCGCTACACCAGCGTTGGTGGGATTCCCATAACGAAGCTTATGTCCGCGGATCGTATTCAGGAACTGGTTCAACGTACACGGAATGGAGGGGCGGAAATAGTTAATTTATTGAAAACCGGAAGCGCCTTTTATGCGCCGGCTGCGGCTACCGTAGAAATGGTAGAAGCAATTTTAAAAGATAAAAGACGCGTGTTACCATGCGCAGCATATTTAGATGGCGAGTACGGTATTAAAGGTCTTTTTGTGGGAGTACCAGCTAAAATCGGTGCTCGGGGTGTTGAAAAGGTTATCGAGCTGGATCTGCCGCCGGAAGAACGGGCAGCTCTGCGGAAATCCGCAGCTGCGGTGCGTAAGCTGGTCAAAAAACTCTGGCTGGCGGCCGCACTCGAGCACCACCACCACCACCACTGA</t>
  </si>
  <si>
    <t>MPLKAVCVLNGEVVNGTVYFEQDRPNAPVKVYGEVSGLSRGLHGFHIHEFGDTTNGCTSAGFHFNPHNKEHGGPTDSDRHVGDLGNVFADNDGVAKVYIQDKQISLTGPMSIIGRTVVVHADPDDLGKGGHELSKTTGNAGARVACGVIGITRAAAALEHHHHHH*</t>
  </si>
  <si>
    <t>ATGCCTCTGAAGGCAGTATGTGTGCTGAACGGCGAAGTAGTAAATGGCACCGTCTACTTTGAACAGGACCGCCCGAATGCCCCGGTTAAGGTTTATGGTGAGGTAAGCGGCCTGTCGCGCGGACTGCATGGTTTTCACATCCACGAATTTGGCGATACGACCAACGGGTGCACTTCGGCGGGGTTCCATTTTAATCCTCACAACAAGGAACATGGCGGCCCGACAGATAGTGATAGACACGTTGGTGATTTGGGAAACGTTTTTGCGGACAATGACGGCGTGGCGAAAGTGTACATTCAGGATAAACAAATATCTCTGACTGGACCGATGAGTATTATTGGACGCACGGTAGTAGTCCATGCAGACCCTGATGATTTAGGCAAAGGTGGCCACGAACTGTCTAAAACTACGGGCAACGCAGGCGCACGGGTAGCCTGTGGCGTGATAGGTATTACCCGGGCCGCGGCCGCACTCGAGCACCACCACCACCACCACTGA</t>
  </si>
  <si>
    <t>MKTLRIAVTGAAGQIGYSLLPRIAAGEQFGSNARVSLQLLEIDWALDALKGVAMELQDCAFPLLHNVTVTSNPDDAFYGADLWLLVGSKPRGPGMERSDLLKDNGKIFVGQGKSIAHNAADDCRIVVVGNPCNTNCMIAAAQSERFDPIRFTAMTRLDQNRAAAMLAHKADNDSAEVSRMVIWGNHSPTMFPDYSNAVIGKPATDTASNDEWLKNDFINAVGKRGAAIIKARGLSSAFSAARALINHIQSLQTVSECHWVAVPSRGEYGFPEGVWAGMPVRTVNWGSWEVVDRSEYDAFAKAALAKTWAELVRERALVSEHLAAALEHHHHHH*</t>
  </si>
  <si>
    <t>ATGAAAACGCTCAGAATTGCTGTCACGGGTGCCGCAGGGCAAATCGGGTATTCATTGCTGCCTCGCATAGCGGCTGGTGAACAGTTCGGATCGAATGCCCGCGTGTCCCTGCAACTGCTCGAAATAGATTGGGCTCTGGACGCCTTGAAAGGTGTCGCAATGGAACTGCAAGATTGTGCGTTTCCGTTACTTCATAATGTAACTGTTACTAGTAATCCTGATGATGCCTTCTATGGCGCTGACCTGTGGCTTCTGGTGGGTAGTAAACCACGCGGTCCCGGAATGGAGCGGTCTGACTTATTGAAGGATAATGGAAAAATCTTTGTAGGTCAGGGTAAGTCTATCGCACACAACGCCGCTGATGACTGTCGCATCGTAGTCGTCGGAAATCCATGTAATACTAATTGCATGATAGCCGCGGCTCAATCTGAACGTTTCGACCCTATCCGTTTTACAGCTATGACTCGATTAGATCAAAACCGGGCAGCGGCGATGTTGGCACACAAAGCTGACAATGATAGTGCAGAAGTATCCCGCATGGTCATCTGGGGCAACCACTCTCCGACCATGTTCCCTGACTATTCTAATGCGGTGATTGGTAAGCCGGCCACTGATACGGCCTCCAATGACGAATGGCTCAAAAATGATTTCATTAATGCCGTCGGTAAACGTGGAGCAGCAATCATTAAGGCACGTGGCCTGTCCTCTGCGTTCTCAGCCGCACGAGCGTTAATCAATCATATCCAGAGCTTACAGACTGTATCTGAGTGTCACTGGGTGGCCGTGCCTAGCCGGGGCGAATACGGTTTTCCTGAAGGTGTTTGGGCGGGTATGCCAGTACGTACAGTAAATTGGGGATCTTGGGAAGTTGTTGACCGTTCCGAGTACGATGCATTCGCAAAAGCGGCCCTTGCGAAGACTTGGGCCGAGCTGGTCCGCGAACGAGCACTGGTATCTGAACACTTGGCGGCCGCACTCGAGCACCACCACCACCACCACTGA</t>
  </si>
  <si>
    <t>MNAPVTVTVTGAAGQIGYALLFRIAAGWMLGPDQPVRLHLLEITPALPAAEGTVMELNDCAFPTLKGIETTDDPRAAFDGVNVALLVGARPRWAGMERYDLLEANGGIFGPQGKALNAGAADDVRVLVVGNPANTNALIAQANAPDVPPEQFTAMTRLDHNRALSQLAEKTGAGTTDIKKMTIWGNHSATQYPDLHHTQVRGKPASELVDQAWYANTFIPTVQQRGAAIIEARGASSAASAASAAIDHMRSWVGTEEGDWVSMGVPSDGSYGVPPGVISGFPVTSKDGKYEIVQGLEIDDFSRERIDASAAELREERAAVEHLFAVKAAALEHHHHHH*</t>
  </si>
  <si>
    <t>ATGAACGCCCCGGTTACGGTAACCGTGACGGGGGCGGCCGGGCAGATCGGATACGCGCTTCTTTTTAGAATTGCAGCAGGGTGGATGCTTGGCCCGGACCAGCCGGTTCGGTTACATCTGCTGGAAATCACCCCCGCGCTGCCGGCAGCGGAAGGTACTGTCATGGAGCTGAATGATTGTGCATTTCCCACATTGAAAGGAATTGAAACTACAGATGATCCCCGCGCGGCTTTTGACGGGGTCAATGTTGCACTCCTTGTCGGCGCACGCCCTCGTTGGGCCGGAATGGAACGCTATGATCTGTTAGAGGCTAATGGTGGGATTTTCGGACCTCAAGGGAAAGCGCTCAACGCCGGTGCCGCGGATGATGTTCGAGTTTTGGTTGTGGGCAACCCAGCAAATACAAACGCGCTGATTGCACAGGCAAACGCCCCGGACGTGCCACCCGAACAGTTTACCGCCATGACGCGCCTCGATCATAATAGAGCACTGTCACAACTGGCTGAGAAAACGGGCGCAGGGACGACCGACATCAAGAAGATGACAATTTGGGGGAATCATTCAGCGACTCAGTACCCTGATCTGCATCATACCCAGGTACGCGGCAAACCTGCCAGTGAATTAGTAGATCAAGCCTGGTATGCCAACACATTTATACCAACAGTACAGCAGCGGGGTGCTGCCATCATAGAAGCTCGCGGTGCTAGCAGCGCAGCTTCAGCGGCTAGTGCAGCCATTGATCATATGCGTTCGTGGGTGGGTACGGAGGAAGGTGATTGGGTTTCCATGGGCGTTCCATCAGATGGGTCATATGGAGTCCCTCCAGGGGTTATCAGCGGGTTTCCAGTTACGTCGAAAGACGGTAAATACGAAATTGTTCAGGGACTTGAGATTGATGACTTTTCTCGCGAGCGCATTGACGCAAGTGCAGCCGAGCTGCGCGAGGAACGCGCAGCAGTAGAACACCTGTTTGCTGTCAAAGCGGCCGCACTCGAGCACCACCACCACCACCACTGA</t>
  </si>
  <si>
    <t>MQSTSAVVVLRGDSSVTGTVTFRQRSKGPVTISGKIQGLSPNALRGFHVHQLGDLSGGCLSAGSHFNPYGKTHGPPTASTRHVGDLGNIKTDENGEANFEFTDHLISLQGPNSIIGRSVVVHAGTDDLGAGGDDESLKTGNAGARAACGVIGLAAAALEHHHHHH*</t>
  </si>
  <si>
    <t>ATGCAGAGTACATCGGCCGTTGTTGTCTTACGGGGAGACTCCTCAGTTACTGGCACAGTCACCTTTCGGCAACGTTCCAAAGGTCCTGTAACCATCTCTGGGAAAATCCAGGGCCTGAGTCCAAACGCCCTTCGGGGGTTTCACGTCCACCAGCTGGGTGATTTATCCGGCGGCTGTCTGTCTGCGGGTTCTCACTTTAACCCTTACGGCAAGACCCATGGTCCGCCGACTGCTAGCACACGTCATGTCGGTGATCTTGGCAATATCAAAACGGACGAGAACGGGGAAGCCAATTTTGAATTCACCGATCATCTCATTTCTCTGCAAGGGCCCAATTCCATCATCGGAAGATCTGTGGTGGTTCACGCAGGGACAGATGATTTAGGGGCGGGTGGGGATGACGAGAGTCTGAAGACCGGTAACGCAGGTGCTCGTGCGGCGTGTGGGGTGATAGGGCTTGCCGCGGCCGCACTCGAGCACCACCACCACCACCACTGA</t>
  </si>
  <si>
    <t>MTAALRDAAGEVRGEAQFEQAGMGMRVTVQVSGLTPGMHGLHLHEFGRCTPGVDAAENKVVPFGGAGGHFDPGMSKNHDSPTAGNKYGHGGDLPMLEVGADGTGKVTFTTAKSSLTGANGVLNRSIVIHANMDDYKSDPSGKSGARERCGVILRNDFTARDYAAALEHHHHHH*</t>
  </si>
  <si>
    <t>ATGACGGCTGCCTTACGAGATGCAGCGGGTGAAGTTCGCGGGGAGGCACAGTTCGAGCAGGCAGGAATGGGCATGCGGGTAACGGTACAAGTTAGCGGTTTAACCCCCGGGATGCATGGACTTCATCTGCACGAATTCGGCCGTTGCACTCCAGGCGTGGATGCTGCTGAAAACAAAGTGGTTCCTTTCGGTGGTGCTGGAGGTCATTTCGACCCGGGTATGAGTAAGAATCATGACTCCCCTACAGCAGGGAATAAGTATGGCCATGGTGGCGATTTACCCATGTTGGAAGTAGGCGCGGATGGTACCGGAAAGGTTACCTTTACTACCGCAAAATCTTCCCTTACCGGTGCCAACGGCGTCTTGAATCGAAGTATAGTGATTCATGCCAACATGGATGATTATAAAAGTGACCCAAGCGGTAAATCCGGTGCCCGAGAACGCTGTGGTGTGATCCTGAGAAATGATTTCACTGCACGTGATTATGCGGCCGCACTCGAGCACCACCACCACCACCACTGA</t>
  </si>
  <si>
    <t>MQDKAGAEATLQGTDGREHGTVNFTEGPHGLLLKADLKDLPPGTHAFHLHATGVCSPDFKAAGGHYNPTGKKHGFMSADGPHAGDMPNIHVPESGKLQFELFLPDITVSEGSAALLDADGTAVLLHKDPDDYKTDPAGAAGDRIACGVVKAKAAALEHHHHHH*</t>
  </si>
  <si>
    <t>ATGCAGGATAAAGCCGGTGCTGAAGCGACCTTGCAGGGGACAGACGGGCGTGAGCACGGTACCGTAAACTTTACGGAAGGCCCTCATGGACTGTTACTGAAAGCCGATCTTAAAGATTTGCCGCCAGGGACGCATGCATTCCATCTTCACGCTACAGGTGTTTGCTCTCCCGATTTTAAGGCTGCTGGAGGACATTATAACCCGACCGGGAAAAAACATGGTTTTATGAGTGCTGACGGTCCGCACGCGGGTGACATGCCTAATATACATGTTCCTGAGAGCGGGAAACTGCAGTTTGAACTGTTTCTGCCTGATATTACAGTTTCAGAAGGCTCTGCTGCCTTATTAGATGCCGATGGTACGGCAGTTCTCCTTCATAAGGATCCGGACGACTATAAAACGGATCCGGCTGGGGCTGCAGGTGATCGAATTGCTTGCGGCGTTGTTAAGGCCAAAGCGGCCGCACTCGAGCACCACCACCACCACCACTGA</t>
  </si>
  <si>
    <t>MNLINTEGIGESIGTISARDTDQGLVIIPELSGLSEGEHGFHLHAGDQCAPQTNSEGASIAGLAALGHWDPDETNTHLGPFGNGHRGDLSRLVVDRDGNTTTSVVAPRLKASDLRGRALVVHAGGDTYSDTPPLGGGGARIACGVAAAALEHHHHHH*</t>
  </si>
  <si>
    <t>ATGAACCTTATCAATACAGAAGGCATTGGCGAGAGTATTGGTACTATTTCTGCACGCGACACTGATCAGGGATTAGTCATCATTCCAGAGTTAAGCGGACTGAGCGAGGGGGAGCATGGATTTCACTTACATGCAGGCGACCAATGTGCTCCACAAACTAACAGCGAAGGTGCGTCGATTGCTGGCTTGGCCGCTCTTGGGCATTGGGACCCGGATGAAACTAACACACACCTTGGCCCTTTCGGGAACGGACATCGCGGTGATCTGAGCCGTCTTGTTGTGGACCGCGACGGGAACACAACCACATCTGTGGTCGCCCCTCGTTTGAAAGCCAGTGACCTTCGTGGCCGTGCGCTGGTTGTTCATGCTGGCGGCGATACCTATTCCGATACACCCCCTTTAGGCGGAGGCGGGGCTCGTATCGCATGTGGGGTCGCGGCGGCCGCACTCGAGCACCACCACCACCACCACTGA</t>
  </si>
  <si>
    <t>MAQTKLFSSKSMKVSILGAASKTGNCLSLFLKQSPLIDEVAVFDNKCTYGLALDLNYIDTKCKVSTCNHPRRCLEQTLEGAKIVMIVGDETVKDESSLSRVLKSNANALSDLLPNIIKFCPQAMVAVVMNPINSLIPLAMEMYKKAGVYEPNRLFGVISLDCVRANTFAAEVVGCEPECTVVPVIGGSCSNTCIPLFSQAKPCNKISQVEASRLTHALRTSNEELSKANKGKERTCCAMAFGAARFCVSLCKALRHQSNVVECAYVRSCVIPELTYFAAPLELGPNGIQRHLGIPPLNDYECKLLEAAVPCLKKAIILGETLALGEENASSEAAALEHHHHHH*</t>
  </si>
  <si>
    <t>ATGGCACAGACGAAACTGTTTTCATCAAAGTCAATGAAGGTGAGCATTCTCGGCGCTGCAAGTAAGACTGGAAATTGCTTAAGTCTTTTTTTAAAACAAAGCCCACTGATCGACGAAGTTGCAGTATTTGATAATAAATGTACTTACGGCCTGGCACTTGACTTGAACTACATTGATACTAAATGTAAAGTTTCCACTTGTAATCACCCTCGTCGCTGCCTGGAGCAAACTTTAGAAGGGGCAAAGATTGTTATGATCGTAGGTGATGAAACCGTTAAAGACGAAAGCTCCCTTAGCCGTGTATTAAAATCTAACGCTAATGCATTGTCCGATCTGTTACCGAACATCATCAAATTCTGCCCGCAAGCAATGGTTGCTGTTGTCATGAACCCAATTAACAGCTTGATCCCGCTTGCCATGGAGATGTATAAGAAGGCTGGCGTCTACGAACCGAATCGCCTGTTTGGCGTGATCAGCTTGGATTGTGTCCGCGCTAATACTTTTGCGGCCGAAGTAGTTGGCTGTGAGCCAGAGTGTACCGTTGTTCCGGTCATAGGTGGGAGTTGCAGCAATACATGTATTCCTTTGTTCTCCCAAGCGAAACCGTGCAACAAAATTTCGCAGGTGGAGGCGAGCCGTCTGACCCACGCGCTTCGGACGTCCAACGAAGAATTATCGAAAGCTAACAAGGGGAAAGAACGCACGTGCTGCGCAATGGCCTTTGGTGCCGCCAGATTCTGTGTGTCCTTATGCAAAGCGTTACGGCATCAGTCCAATGTCGTTGAATGCGCATATGTACGTTCCTGTGTAATCCCAGAGTTAACTTACTTCGCAGCACCTCTGGAACTCGGCCCCAATGGCATTCAGCGGCATCTGGGGATTCCACCACTGAACGACTACGAATGTAAATTACTTGAGGCGGCCGTTCCCTGTCTGAAAAAGGCCATAATTTTAGGTGAGACGCTTGCACTGGGCGAGGAAAATGCAAGCTCCGAGGCGGCCGCACTCGAGCACCACCACCACCACCACTGA</t>
  </si>
  <si>
    <t>MQDKQTATADFVGKDGKEDGRATLTAAAGGGVLMEVEVTGLPANKWVAFHVHETGKCDAASHHESAGKHFNPTDAEHGLLAAKGPHAGDMPNQYVGPDGILRAQVFDSMVTLDDKKTGIRGRALMIHANSDDYRSQPAGDAGERLACGVIKAAALEHHHHHH*</t>
  </si>
  <si>
    <t>ATGCAGGACAAGCAGACGGCCACAGCGGATTTTGTAGGAAAAGACGGTAAGGAGGATGGCCGGGCGACGCTGACTGCCGCAGCAGGAGGCGGGGTCCTGATGGAAGTCGAGGTAACGGGCTTACCTGCCAACAAGTGGGTGGCATTTCATGTGCATGAAACGGGTAAATGTGACGCGGCGTCTCACCATGAGAGTGCAGGTAAACATTTTAACCCTACCGATGCGGAACATGGACTGCTGGCTGCGAAGGGTCCACATGCAGGGGACATGCCGAATCAGTATGTTGGTCCAGATGGCATCCTCCGCGCACAGGTATTTGATAGTATGGTGACCCTTGACGATAAAAAAACCGGCATTCGCGGTAGAGCCCTGATGATTCACGCAAACTCCGATGATTACAGATCCCAACCCGCAGGGGATGCAGGTGAGCGTCTGGCATGCGGTGTTATAAAAGCGGCCGCACTCGAGCACCACCACCACCACCACTGA</t>
  </si>
  <si>
    <t>MGPETTQDPRPITVTVTGAAGQIGYAALFRACAGDLFGPQQPVRLRLLELPQAARAAEGVAMELSDCAFDLLASVDVFDDPVQAFDGSELGLLIGARPRSKGMERADLLEANAGIFSEQGRAIAAGAQDSFRAVVVGNPANTNALIAASHAPEVSAQRFTALTRLDHLRAQAQLAQACDRAAADIDGVAIWGNHSATQFVDLSRAVVSGSPAVQALADRGLDRQWVAETYIPAVAKRGAEIIEVRGGSSVGSAAHALISHVRLWSQGTPEGSWTSMAVASDGSYGVPEGIVSSFPVTCADGQWSIVPDWQIDDFARERIDRSVAELVAERDAVAAAAAALEHHHHHH*</t>
  </si>
  <si>
    <t>ATGGGCCCAGAAACAACACAGGACCCGAGACCGATTACAGTAACGGTGACGGGAGCGGCCGGCCAGATCGGCTATGCAGCACTGTTTCGTGCATGCGCAGGTGACTTGTTTGGACCTCAGCAGCCGGTACGTCTCCGCTTACTTGAACTGCCGCAGGCGGCACGCGCCGCTGAAGGGGTCGCTATGGAGCTGTCGGACTGTGCTTTTGATCTCTTAGCGTCTGTCGATGTATTTGACGACCCAGTGCAGGCTTTTGACGGCTCAGAACTTGGATTACTGATCGGGGCCCGACCGCGATCCAAGGGTATGGAGCGCGCAGATCTGTTAGAAGCGAACGCCGGCATATTTTCCGAACAGGGTCGAGCGATTGCAGCAGGCGCTCAAGATAGTTTTCGTGCGGTGGTTGTTGGCAACCCTGCAAATACGAATGCACTTATTGCTGCATCACATGCTCCTGAGGTCAGTGCACAGCGATTCACTGCCTTAACCCGTTTAGACCATCTCCGAGCACAAGCTCAGCTGGCACAGGCATGCGACCGTGCTGCAGCTGATATTGACGGCGTTGCCATTTGGGGAAATCACAGCGCCACACAATTCGTTGACTTGTCACGCGCGGTTGTCTCGGGGAGCCCAGCGGTACAGGCTCTGGCAGATAGAGGGCTGGATCGCCAATGGGTCGCAGAGACATATATACCAGCGGTCGCGAAACGCGGTGCTGAAATTATAGAAGTGCGCGGTGGATCTAGCGTGGGGTCGGCGGCACACGCTCTGATTAGTCATGTGCGGTTATGGTCTCAGGGTACCCCTGAAGGATCCTGGACTTCTATGGCCGTGGCGTCTGACGGAAGTTACGGCGTCCCGGAAGGCATTGTGTCATCCTTCCCGGTTACGTGTGCAGACGGCCAGTGGAGTATTGTCCCAGACTGGCAAATAGATGATTTTGCACGCGAGCGCATCGATAGAAGTGTGGCTGAACTGGTCGCAGAGCGTGATGCCGTCGCAGCGGCGGCGGCCGCACTCGAGCACCACCACCACCACCACTGA</t>
  </si>
  <si>
    <t>MITIIGAGRVGASTAYSLLMNEVDTEITLIDIVQGLPQGEALDLNHAAAILGKSVTVRGSNDYKDMEGSDIVIITAGLARKPGMTREQLAAQNAEIVAGIADQVKKYAPNSIVMLTTNPSDVMVYVLYKRLGFPRERVIGFSGALDTRRLAYYASQIIGVSPSTIIPVVLGQHGENMYPVPEASMVYGKPLSEFLTKEQMDEIVKKTIQAGADITNLRKFSSNWGPGAGLTIMADAIKKDRKTVIEASVYLNGEYGVRDVFVEVPVVFGKKGAEKIIELNLNQEQRQKFLASVEAVKNNLKTVPPAAALEHHHHHH*</t>
  </si>
  <si>
    <t>ATGATTACTATTATTGGTGCCGGTCGCGTTGGCGCATCAACTGCGTATTCTTTATTAATGAACGAGGTCGATACCGAGATTACTCTGATCGACATCGTACAGGGACTGCCTCAAGGTGAGGCCCTCGATCTGAACCATGCTGCGGCCATTTTAGGTAAGTCAGTCACCGTTCGAGGCAGCAATGATTATAAGGATATGGAGGGTTCAGACATTGTAATTATTACCGCTGGACTTGCGCGTAAACCGGGTATGACTCGCGAGCAATTGGCCGCTCAGAATGCGGAAATCGTTGCCGGTATCGCCGATCAAGTGAAAAAATACGCTCCGAACTCCATCGTCATGTTAACAACGAACCCGTCCGATGTTATGGTGTACGTCCTCTATAAACGCCTCGGGTTTCCGCGGGAACGCGTAATTGGCTTTTCAGGTGCACTGGATACCCGACGTTTGGCGTATTATGCATCCCAAATAATCGGTGTATCACCGAGTACGATCATTCCGGTTGTGTTAGGCCAACATGGCGAGAATATGTATCCGGTGCCCGAGGCCAGTATGGTCTACGGCAAACCTTTATCGGAGTTCCTCACCAAAGAACAGATGGACGAAATTGTTAAGAAAACCATCCAAGCCGGCGCAGATATCACTAACTTGCGTAAATTTTCTTCTAATTGGGGGCCAGGCGCTGGTCTGACCATCATGGCAGACGCGATCAAAAAAGATAGAAAGACAGTTATCGAGGCGAGCGTGTACCTTAACGGTGAATACGGGGTTCGTGATGTTTTTGTCGAGGTTCCTGTGGTTTTCGGCAAAAAGGGCGCAGAAAAAATTATTGAATTAAATTTGAATCAAGAACAGAGACAAAAATTTCTTGCTTCTGTGGAAGCCGTGAAAAATAACCTCAAAACAGTGCCGCCCGCGGCCGCACTCGAGCACCACCACCACCACCACTGA</t>
  </si>
  <si>
    <t>MKAVCVMTGTAGVKGVVRFSQDTPDAPVSIHAEFSGLKPGKHGFHVHEFGDTTNGCTSAGAHFNPTNQEHGAPGDAIRHVGDLGNVTADNNGNAVYDATDKLLSLNGAHSIIGRTMVVHENEDDLGRGGHELSKVTGNAGGRVACGVIGVAQAAALEHHHHHH*</t>
  </si>
  <si>
    <t>ATGAAAGCCGTGTGCGTGATGACGGGCACCGCGGGCGTAAAAGGTGTAGTTAGATTCTCTCAAGATACTCCCGACGCCCCGGTCAGCATTCACGCTGAATTTAGCGGGCTGAAGCCGGGCAAACACGGTTTCCATGTCCATGAATTTGGCGACACCACCAACGGATGTACTTCAGCAGGTGCCCATTTTAATCCGACGAATCAGGAGCATGGTGCTCCCGGCGATGCAATACGCCATGTTGGGGACCTTGGTAACGTTACCGCGGATAATAACGGGAACGCGGTCTATGACGCTACCGACAAACTGCTGAGTTTAAACGGCGCGCATAGTATTATTGGACGAACAATGGTGGTTCATGAAAATGAAGATGATTTAGGACGAGGGGGACATGAGTTGAGCAAAGTTACGGGAAATGCGGGTGGTCGTGTAGCGTGCGGTGTCATTGGCGTAGCACAGGCGGCCGCACTCGAGCACCACCACCACCACCACTGA</t>
  </si>
  <si>
    <t>MVAIAHLISQNVTGSLTFTETANGIRVSGTITGLDVGKYGFHVHELGDTSTCDAAGAHFDPDDNTHGGRDHSVRHVGDLGNVQFVGNENPVANIDFVDNIISLRGRNSIIGRTLVLHEQEDDLGLGGNEASLNTGNAGPRVACGVIGIRSPSGPWNAAALEHHHHHH*</t>
  </si>
  <si>
    <t>ATGGTTGCCATTGCACATCTCATAAGCCAGAATGTTACAGGATCATTAACTTTTACTGAAACTGCTAATGGCATTCGTGTTAGTGGCACCATTACTGGACTGGATGTCGGTAAGTATGGTTTTCACGTTCATGAACTCGGCGACACATCAACTTGCGATGCAGCTGGGGCGCATTTTGATCCGGACGATAACACCCACGGTGGCCGCGATCATTCTGTTCGACATGTAGGTGATTTGGGAAATGTACAGTTTGTTGGAAACGAAAATCCAGTAGCTAATATTGACTTCGTGGACAATATTATTAGTCTCCGCGGCCGTAATAGTATTATTGGCCGCACGCTGGTATTACATGAACAGGAAGATGATCTGGGCTTGGGCGGTAATGAAGCCTCGCTTAATACTGGGAATGCCGGGCCTCGCGTTGCATGCGGTGTCATCGGCATACGTAGTCCATCAGGGCCTTGGAATGCGGCCGCACTCGAGCACCACCACCACCACCACTGA</t>
  </si>
  <si>
    <t>MGIKAVVAGASGGIGQPLSLLLKTSPLISELALYDVVNTPGVAADLSHISSPAKITGYLPKDDGAKLAMKDADIVVIPAGIPRKPGMTRDDLFNINAGIVKGLIEVIAEVAPKAYILIISNPVNSTVPIAAEVLKAKGVFDPKRLFGVTTLDVVRAETFVAEIIGEKNPQSLTIPVIGGHSGETIVPLFSQAKPSVDIPADKMPALVKRVQFGGDEVVAAKDGAGSATLSMAYAGFRFAEAVLKGLNGEKNIVEPSFVYLPGVSGGEAIHKETGCDFFSVPVELGTSGVEKVFNPLTNINDAEKTLLKACVEGLKGNIAKGVSFAHNPPQKAAALEHHHHHH*</t>
  </si>
  <si>
    <t>ATGGGTATAAAAGCCGTTGTTGCCGGCGCTTCCGGTGGAATCGGTCAGCCGCTGAGCCTGCTTCTTAAAACTAGCCCCCTCATTTCAGAGTTAGCTTTGTATGATGTCGTTAATACGCCAGGAGTTGCGGCCGACTTATCCCATATATCTTCCCCAGCAAAAATCACCGGATATCTGCCTAAAGACGATGGTGCGAAACTGGCGATGAAGGATGCAGACATTGTTGTCATTCCCGCTGGCATTCCCAGAAAGCCGGGCATGACCCGCGATGATCTGTTCAATATAAACGCTGGAATCGTTAAAGGTCTGATTGAAGTGATAGCGGAAGTGGCCCCAAAAGCCTATATTCTGATAATTTCCAATCCGGTGAACTCAACGGTACCAATCGCCGCAGAAGTACTTAAAGCTAAAGGCGTTTTTGATCCAAAACGACTGTTCGGAGTCACAACTCTGGACGTGGTACGAGCCGAAACCTTCGTTGCAGAAATTATTGGGGAGAAAAATCCTCAGAGTCTCACTATACCTGTGATCGGAGGCCATAGCGGTGAGACGATCGTACCCTTGTTCTCTCAGGCCAAACCGTCGGTAGATATACCGGCAGATAAAATGCCGGCCTTGGTAAAGCGTGTGCAATTCGGTGGGGACGAGGTAGTTGCTGCCAAAGATGGAGCGGGTTCCGCCACGTTATCCATGGCATATGCAGGTTTCAGATTCGCAGAAGCGGTATTAAAGGGACTGAACGGTGAGAAAAATATTGTAGAACCTAGCTTTGTATACCTGCCGGGTGTCTCAGGGGGAGAAGCGATCCACAAGGAAACAGGGTGTGATTTCTTTTCAGTACCTGTGGAGCTGGGTACGAGTGGAGTCGAAAAAGTTTTTAACCCACTTACCAACATTAACGATGCTGAAAAAACGCTCCTTAAAGCATGCGTCGAGGGATTGAAAGGGAATATTGCAAAAGGGGTGAGCTTTGCACATAACCCGCCTCAGAAAGCGGCCGCACTCGAGCACCACCACCACCACCACTGA</t>
  </si>
  <si>
    <t>MAAKAVCVLNGDVKGVVYFDQASPDAPVVLSGEVTGLTPGQHGFHVHEFGDNTNGCVSAGAHYNPHGKEHGGPDSAVRHAGDLGNIVADANGVGKVAISDKQISLSGQYSVIGRTLVVHADPDDLGLGGHELSKTTGNAGARVACGVIGIAKIAAALEHHHHHH*</t>
  </si>
  <si>
    <t>ATGGCAGCCAAAGCGGTCTGTGTCCTGAACGGTGATGTTAAAGGAGTTGTCTACTTTGATCAGGCTTCGCCAGACGCTCCTGTGGTGTTGAGCGGAGAGGTCACCGGGCTGACACCCGGCCAGCATGGGTTCCACGTACACGAATTTGGCGATAATACAAACGGATGCGTGAGCGCCGGAGCTCATTATAATCCGCACGGTAAAGAACATGGTGGTCCAGACAGCGCCGTCAGACATGCGGGTGACTTAGGGAACATAGTCGCAGACGCGAATGGTGTTGGAAAAGTGGCAATTTCCGATAAACAGATTTCTTTGTCTGGCCAGTATTCTGTGATTGGGCGGACCCTTGTAGTGCATGCAGATCCCGATGACCTGGGACTTGGCGGGCACGAGCTTTCTAAGACCACCGGTAACGCCGGTGCGAGAGTCGCGTGCGGAGTTATCGGCATTGCTAAAATCGCGGCCGCACTCGAGCACCACCACCACCACCACTGA</t>
  </si>
  <si>
    <t>MHKVSVLGAAGQIGQPLSLLLKTSPLVSALSLYDIVHAPGVAIDLNHIDTPAPVNGFLAADDGLRKALTGADLVVIPAGIARKPGMTRDQLFETNASVIRDLVTEIAKVCPKAFVLIITNPVNSTLPIAVETLKKHNVYDPKKVFGVTTLDVVRASTFTAQALQISDPKSLRIPVVGGHSGATILPLLSQANPLVKLTDDQRDAITYRVQFGGDEIVKAKAGAGSATTCMAYAGFRFVQSILKAASGEKGIKEECYLYLPGIPGGDKIAKSLGVDYFAVPVEFGVSGAEKALSVSEISKHEETLLATAIAELKGNIQKGIAFCAAALEHHHHHH*</t>
  </si>
  <si>
    <t>ATGCATAAGGTCAGCGTCTTAGGCGCGGCCGGACAAATTGGCCAGCCCCTTTCCTTACTGCTGAAAACCTCACCTTTAGTGTCAGCGCTGAGCCTGTATGACATTGTTCATGCACCGGGTGTGGCCATTGATCTGAATCACATTGACACGCCTGCACCTGTCAATGGTTTTTTAGCAGCCGACGATGGTTTACGCAAAGCTCTCACTGGAGCAGATTTGGTGGTCATTCCAGCTGGAATTGCGCGAAAGCCGGGTATGACTCGCGATCAGCTGTTTGAGACCAATGCCAGCGTTATACGTGATCTCGTTACCGAAATCGCCAAGGTATGTCCGAAAGCATTCGTTCTGATTATTACCAATCCGGTTAATAGTACACTGCCTATTGCGGTGGAAACGCTTAAGAAACACAATGTATATGACCCAAAAAAAGTCTTTGGCGTTACAACGCTCGACGTAGTGCGCGCCTCAACTTTTACGGCGCAGGCCCTGCAGATTAGCGACCCAAAATCCCTTCGTATACCGGTCGTCGGTGGACACTCTGGTGCGACAATTCTTCCTCTTCTTTCACAAGCCAACCCATTAGTAAAATTAACCGATGATCAGCGCGACGCCATTACTTACCGTGTGCAGTTTGGTGGAGACGAAATTGTGAAAGCAAAAGCAGGGGCTGGTTCTGCGACGACTTGTATGGCGTACGCCGGCTTTCGCTTCGTTCAGTCGATACTGAAAGCAGCGAGTGGGGAGAAAGGCATAAAGGAAGAATGTTATTTATATCTCCCCGGTATTCCTGGCGGAGATAAGATTGCAAAAAGCCTCGGTGTAGATTATTTTGCTGTACCCGTAGAGTTTGGGGTGTCCGGCGCGGAAAAGGCTTTGTCCGTCAGTGAGATCTCAAAACATGAGGAAACGTTGCTGGCTACCGCTATTGCGGAATTAAAAGGCAACATCCAGAAAGGCATTGCCTTTTGTGCGGCCGCACTCGAGCACCACCACCACCACCACTGA</t>
  </si>
  <si>
    <t>MIAYDRRLAPSGAQASLKAESTGGTTRTSLVVEGFVPNRRYGAHLHTGACATDPEASGPHYQHHPGQVTPSSEVWLDFKTDASGAGRATARHEWALDPAALPKSLVIHAQPTKKKGEQAGTAGPRIACLTAAALEHHHHHH*</t>
  </si>
  <si>
    <t>ATGATTGCGTACGATCGCCGACTGGCACCGTCTGGTGCACAGGCCTCCCTCAAAGCGGAATCTACTGGTGGAACTACACGCACGAGTCTCGTCGTGGAGGGTTTCGTTCCGAATCGTCGCTATGGTGCACACCTGCATACTGGTGCATGCGCCACAGACCCAGAAGCTTCCGGGCCTCACTATCAACACCATCCAGGCCAGGTTACGCCGAGTTCTGAGGTTTGGCTCGATTTCAAGACTGACGCTAGTGGAGCAGGTAGAGCGACGGCGCGGCATGAATGGGCACTGGATCCTGCGGCTCTGCCAAAAAGTCTGGTTATTCATGCGCAGCCCACGAAAAAAAAAGGAGAACAGGCCGGTACCGCTGGTCCGCGGATAGCCTGCTTAACCGCGGCCGCACTCGAGCACCACCACCACCACCACTGA</t>
  </si>
  <si>
    <t>MSALKAVVLIAGGDSNIRGTIQFVQDSNGATHVNGRISGLSPGLHGFHIHALGDTTNGCNSTGPHFNPLKKDHGGPGDSERHVGDLGNIYAGPDGVAEVSISDRLISLKGPHSIIGRAVVVHADLDDLGKGGHELSKTTGNAGARIGCGIIGIQSSVAAALEHHHHHH*</t>
  </si>
  <si>
    <t>ATGAGCGCTCTGAAGGCGGTAGTGCTGATAGCTGGCGGGGATTCCAATATACGTGGTACGATACAATTCGTACAAGACAGCAATGGCGCGACCCACGTGAATGGGCGGATTTCGGGACTTTCACCGGGATTGCATGGTTTCCATATTCATGCCTTAGGCGATACAACCAACGGCTGCAATTCAACGGGTCCACATTTCAATCCGCTCAAAAAAGACCACGGGGGTCCTGGGGACTCAGAGCGTCACGTTGGCGACCTGGGAAATATTTATGCAGGACCCGACGGTGTAGCGGAAGTTTCCATCTCAGATCGCTTGATTAGTTTAAAAGGTCCTCATAGTATTATCGGCAGAGCAGTGGTTGTGCATGCTGATCTTGATGACTTAGGAAAAGGCGGTCACGAGCTGAGCAAAACCACTGGCAATGCCGGGGCCCGCATCGGATGTGGTATCATCGGTATTCAGTCAAGTGTGGCGGCCGCACTCGAGCACCACCACCACCACCACTGA</t>
  </si>
  <si>
    <t>MYHTGKHDNKLKAKASLAGPGITGEADLYEEYEGRVRIKLKVQGTTESKLNPGLHGIHIHEVGSCEPFSAAKGHYDGNVDQNINPEASVNPGLGNHPYHLGDLQNLSVDENRKGALYTVTSRVTLSPGLNTLFDQDGSAFIIHELPDKYLPDPPNKDAPGGPRIACGVIVKQAAALEHHHHHH*</t>
  </si>
  <si>
    <t>ATGTACCACACAGGCAAGCATGATAACAAATTAAAAGCCAAAGCAAGTCTTGCTGGTCCGGGAATCACTGGCGAAGCCGACCTGTACGAGGAGTATGAAGGCCGGGTGCGCATTAAGTTAAAAGTTCAAGGAACAACTGAAAGCAAACTCAACCCGGGTCTGCATGGTATTCATATTCACGAAGTGGGTAGTTGTGAGCCGTTCTCTGCAGCGAAAGGACATTATGATGGTAACGTTGATCAAAATATTAATCCTGAGGCATCCGTTAATCCCGGCCTTGGCAATCACCCCTACCATCTTGGCGATCTGCAGAACCTGAGTGTGGATGAGAATCGGAAAGGAGCTTTATATACAGTCACATCTCGGGTGACATTATCTCCCGGCCTGAACACGCTCTTTGACCAGGACGGAAGTGCATTTATCATACATGAGCTGCCTGACAAATACTTGCCAGACCCGCCAAATAAAGATGCACCAGGCGGCCCACGTATTGCTTGTGGTGTGATAGTGAAGCAGGCGGCCGCACTCGAGCACCACCACCACCACCACTGA</t>
  </si>
  <si>
    <t>MVKVVVCGAAGGIGQPLSLLLKQSDLISHLALYDIVNAIGVAADLSHINTASKVTGHVGAGALAEALQGAHTVVIPAGVPRRPGMTRDDLFKVNASIVRDLAQACAEHCPKAFILVISNPVNSTVPIVCEVLKKANVFDPRRVFGVTTLDVVRSSRFVHEVKPQFEPHEIANRITVVGGHSGATIVPILSKINQQPHNQSISFTPEEIKTLTHRIQFGGDEVVKAKDGAGSATLSMAYAGARFTLSLLEASVRGKRGVVESTFVHLPGNPGSEWNQRFTGLDYFAQDVELGPDGVAKVLALPELSTEEQALVKIAINELKGNVTKGVKFITEPQPGAPPAAKLAAALEHHHHHH*</t>
  </si>
  <si>
    <t>ATGGTAAAAGTTGTGGTTTGTGGGGCGGCCGGTGGAATTGGGCAACCGCTGAGCTTGCTGCTGAAACAGAGTGACCTTATTTCCCACCTGGCTCTGTATGATATAGTCAACGCCATTGGAGTGGCAGCCGATCTCAGTCATATTAATACCGCTTCAAAAGTAACTGGCCATGTTGGAGCGGGTGCGCTCGCAGAAGCCTTACAAGGAGCCCACACAGTTGTTATACCAGCGGGGGTGCCCCGCCGTCCGGGGATGACGCGCGACGATTTATTCAAAGTGAATGCTTCAATCGTTCGCGATCTCGCCCAAGCATGTGCGGAACATTGCCCGAAAGCCTTCATTTTGGTAATTAGTAATCCCGTGAATAGTACAGTTCCGATTGTGTGCGAAGTCCTTAAGAAAGCGAATGTCTTTGATCCCCGTAGAGTATTTGGTGTGACAACCCTCGATGTGGTTCGTTCGAGCCGCTTTGTTCATGAAGTAAAACCACAGTTTGAACCACATGAAATAGCGAACCGGATCACAGTGGTCGGTGGCCATTCAGGTGCCACCATCGTTCCGATTTTGTCTAAAATAAACCAGCAACCGCATAACCAAAGCATCTCTTTTACCCCGGAAGAAATTAAAACATTAACGCACCGCATTCAGTTTGGTGGAGACGAAGTGGTGAAGGCAAAGGATGGGGCAGGGAGCGCCACTCTTTCGATGGCATACGCGGGTGCAAGATTCACACTTTCCCTTCTGGAAGCTAGCGTACGTGGAAAAAGAGGCGTTGTGGAAAGCACATTTGTGCATTTACCAGGAAATCCCGGAAGTGAATGGAATCAGCGGTTCACAGGTCTGGATTATTTCGCTCAAGACGTGGAACTGGGTCCGGATGGAGTGGCAAAGGTCTTAGCGCTGCCGGAATTATCAACGGAGGAACAGGCCTTGGTCAAGATAGCCATTAACGAATTAAAGGGGAATGTGACCAAGGGAGTGAAGTTTATTACGGAGCCGCAGCCGGGTGCCCCACCAGCGGCTAAGTTGGCGGCCGCACTCGAGCACCACCACCACCACCACTGA</t>
  </si>
  <si>
    <t>MTCRFNSSDTNIAGRADLRQFVFGDFPVDIRIQVWGLPRSPVDTQRGIHIHEFGDVGAKCSRVGPHLNPAQTRHGGRNTFAFLRHVGDLGNMLQSPQGVTSTQFRDGVISLQGPTSVIGRSLVIKYERDDEGFGTNVDSLQNGNARTPLACCTLARSGPANWNDAAALEHHHHHH*</t>
  </si>
  <si>
    <t>ATGACGTGTCGTTTTAATTCCTCAGATACTAACATTGCCGGCAGAGCAGATCTTAGACAGTTCGTGTTTGGTGATTTCCCAGTTGATATCCGCATTCAGGTGTGGGGACTGCCGCGTTCGCCGGTTGACACTCAGCGGGGAATACATATCCACGAATTTGGCGATGTGGGTGCGAAGTGTAGTCGCGTGGGTCCTCATTTAAATCCCGCCCAGACTCGCCATGGCGGTCGTAATACTTTTGCGTTCCTCCGTCATGTTGGTGACCTGGGTAATATGCTGCAGAGCCCGCAGGGGGTTACATCCACGCAGTTCCGCGATGGGGTAATTTCTTTACAAGGGCCGACCTCAGTGATCGGTCGGAGCTTGGTCATCAAATATGAACGAGATGATGAAGGCTTTGGTACCAACGTTGATTCACTTCAAAACGGCAATGCCCGTACACCTCTGGCGTGCTGCACTTTAGCTCGCTCAGGCCCGGCAAACTGGAATGATGCGGCCGCACTCGAGCACCACCACCACCACCACTGA</t>
  </si>
  <si>
    <t>MEPVAGGQMATAAMRTSTGADAGRATAREVAGGVRFTIDARGLPPGQHGAHVHTTGRCDPPGFESAGPHWNPTNTKHGSNNPQGPHLGDLPNLTVGADGRGTIAMTMPGATMASLLDADGAAMMVHAAADDLVTDPSGNSGGRIACGVFQLGAAALEHHHHHH*</t>
  </si>
  <si>
    <t>ATGGAACCAGTAGCAGGAGGACAGATGGCCACGGCAGCCATGCGTACAAGTACCGGGGCAGATGCAGGGCGCGCAACTGCGCGTGAAGTTGCGGGAGGCGTACGCTTCACCATTGATGCACGCGGCTTGCCGCCAGGCCAGCATGGGGCCCACGTCCATACGACTGGAAGATGCGACCCTCCGGGGTTCGAATCAGCCGGTCCGCATTGGAATCCGACCAACACGAAGCATGGCTCTAATAACCCTCAGGGGCCGCACCTCGGGGACCTTCCTAACCTTACGGTGGGAGCTGATGGCCGAGGGACGATCGCCATGACAATGCCGGGTGCTACTATGGCTAGTCTGTTAGATGCCGATGGTGCGGCTATGATGGTTCACGCGGCCGCGGATGACCTGGTCACAGATCCTTCCGGTAACTCCGGCGGTCGTATCGCGTGCGGAGTCTTTCAGCTCGGGGCGGCCGCACTCGAGCACCACCACCACCACCACTGA</t>
  </si>
  <si>
    <t>MAKLKCISVRNVQISVIGAAGEVGANLSLMLKQNHKITKLNLYDDDEKILGAAMELGHIPGGPHVTGFSGENGLHAAVQGSELVVMVQRVPRKPGNTREQMIAANAPALQRLCRAMADENPGAFLAITTNPLNSMVPFASALLYKYGSYNPFKVFGVTHIDAARSRTYAANALNVSCRNLFLPVIGGHSDDTVIPLFSNISPSEYTIDPCQADTLTRLVRKSGTEIVFQKQGCESAVLGVAWSINEFCNLMIDAISGGEVTVNSYTANPHFGTRFFSGPTVVGPYGILRACYEFTYSDYESFLVTSSVPIINRDVNLGEEYVKYIEFAMKPKAAALEHHHHHH*</t>
  </si>
  <si>
    <t>ATGGCCAAATTGAAATGCATTTCTGTGAGAAACGTTCAGATTTCCGTGATTGGCGCAGCCGGTGAAGTAGGCGCTAATTTATCGTTAATGTTGAAACAGAATCACAAAATTACGAAATTGAACTTATATGATGATGATGAAAAAATTTTAGGAGCCGCAATGGAGCTGGGGCATATTCCGGGAGGCCCACATGTTACCGGGTTTTCCGGCGAAAATGGCCTGCACGCAGCAGTTCAAGGCTCCGAGCTGGTGGTTATGGTACAACGGGTGCCTCGCAAACCAGGTAATACGCGTGAGCAAATGATTGCCGCTAATGCTCCGGCGTTGCAGCGCCTTTGCCGTGCCATGGCTGACGAGAACCCGGGAGCCTTTTTGGCCATCACTACAAATCCTTTAAACTCAATGGTTCCATTCGCTAGTGCGCTTTTATATAAGTATGGGAGCTATAACCCGTTTAAAGTTTTTGGAGTCACCCACATTGACGCGGCTAGATCACGCACTTACGCCGCCAATGCTCTGAATGTCTCATGTCGCAATCTCTTTCTGCCGGTAATAGGCGGTCATAGCGATGATACAGTTATCCCACTTTTCAGTAATATTTCTCCATCAGAGTATACAATTGATCCTTGCCAGGCTGATACACTGACCCGTCTGGTGAGAAAATCAGGAACTGAAATTGTCTTTCAAAAACAGGGTTGTGAGAGCGCCGTCTTAGGAGTCGCATGGAGTATTAATGAATTCTGTAATCTGATGATTGATGCTATCTCCGGCGGGGAAGTAACCGTGAACAGTTATACAGCTAACCCGCACTTTGGCACTCGTTTCTTTTCGGGCCCGACGGTTGTTGGCCCATATGGGATCCTGCGGGCTTGTTATGAGTTCACGTATTCGGACTATGAATCGTTCCTGGTGACGAGTTCCGTCCCTATTATTAATCGTGACGTGAATCTCGGAGAAGAATACGTCAAATACATTGAATTTGCGATGAAACCTAAGGCGGCCGCACTCGAGCACCACCACCACCACCACTGA</t>
  </si>
  <si>
    <t>MAYELPALPYGENDLAPHITAETIQYHYGKHHAAYVGKLNELLDGDDSKSLEELIQSTDGGVFNNAAQVWNHTFYWNCMKPGGGGAPSGDLAAAIERDFGSYDAFVTKFKAAAMARFGSGWAWLVADADGKLSVVETLNAGNPMTDGLKPLLTCDVWEHAYYIDFRNARPKYLDVFFDSLVNWDFVASNLAAALEHHHHHH*</t>
  </si>
  <si>
    <t>ATGGCATATGAATTGCCTGCTCTTCCATATGGCGAAAATGATCTTGCCCCTCACATCACGGCAGAAACCATTCAGTATCACTACGGAAAACATCATGCAGCATATGTGGGAAAATTGAATGAGCTGTTGGACGGTGACGATTCAAAATCTTTGGAAGAACTGATTCAAAGCACTGACGGCGGTGTTTTCAACAACGCTGCACAGGTCTGGAACCATACATTTTATTGGAACTGCATGAAACCGGGAGGTGGTGGTGCACCTTCTGGCGATCTGGCAGCTGCAATCGAGCGCGATTTTGGGTCATATGATGCTTTTGTAACGAAGTTTAAAGCTGCTGCGATGGCCCGTTTCGGCTCAGGCTGGGCTTGGCTGGTGGCGGATGCCGATGGGAAACTTTCTGTAGTCGAAACTCTTAATGCCGGAAATCCAATGACCGACGGGCTTAAACCACTGCTGACATGTGATGTCTGGGAGCACGCGTACTATATTGACTTCCGGAATGCGCGTCCTAAATACTTGGACGTATTCTTCGACTCTCTGGTTAACTGGGACTTCGTTGCTAGTAATCTGGCGGCCGCACTCGAGCACCACCACCACCACCACTGA</t>
  </si>
  <si>
    <t>MSKISVIGAGGRVGSSCVRNIAEILGKNGNENTKNTIAMIDIPQALNLMKGMAIDIKDAVMNDVEIFVSDNRADIIESDIIVITAGKPRGPGMTREQLLSENAAIIKVIAEDIAKFSPDSKVIVVSNPLDIMSYVAYTTMHKISNKTSKEIMGMGGVLDSMRYRKFIAEVFNCGLKDVSGAIVLGIHGEGMVPIESTVRLKRSKIKEEDKEKLDEAVKKTTSAGKTIADFGASAYFAPGVAVAKMVNAIIKDTKEILPCSVFANGNYGINDDLFVGLPVRIGKDGVEEIADLKISDEEKVKIKSAAEILKDNLTQIKAAALEHHHHHH*</t>
  </si>
  <si>
    <t>ATGTCGAAAATCTCTGTAATTGGAGCTGGCGGTAGAGTGGGATCTAGTTGCGTACGCAACATTGCAGAGATTTTGGGTAAAAACGGAAATGAAAATACAAAAAATACAATCGCAATGATAGATATCCCGCAAGCCCTGAACTTGATGAAAGGTATGGCGATAGATATTAAAGACGCTGTGATGAACGATGTAGAGATCTTTGTGTCCGACAACCGCGCCGATATCATCGAAAGTGACATTATTGTTATTACTGCTGGTAAACCTAGAGGACCGGGGATGACCCGCGAACAGCTGTTGTCCGAAAACGCAGCGATCATCAAAGTTATTGCAGAAGATATCGCCAAATTCAGTCCTGACAGTAAGGTGATCGTTGTTAGCAACCCTCTCGACATTATGAGCTATGTGGCATATACCACAATGCACAAGATTTCAAATAAGACTTCTAAGGAAATAATGGGAATGGGGGGGGTTCTGGATAGCATGCGCTACCGAAAATTTATTGCGGAGGTGTTCAACTGCGGGTTGAAAGACGTCTCAGGAGCCATTGTATTGGGCATCCATGGGGAAGGTATGGTGCCGATTGAATCTACGGTGCGTCTGAAACGGTCGAAAATAAAGGAAGAAGATAAAGAAAAATTGGATGAGGCGGTAAAAAAAACGACCTCAGCAGGTAAGACCATTGCGGATTTTGGAGCATCTGCCTATTTCGCTCCGGGCGTTGCAGTTGCGAAGATGGTAAACGCAATCATTAAAGATACAAAAGAAATTCTCCCATGTTCGGTGTTCGCTAACGGTAATTACGGTATAAATGATGATCTGTTTGTCGGACTGCCGGTCCGAATTGGAAAGGACGGTGTTGAAGAAATCGCAGATTTGAAAATTTCTGACGAAGAAAAAGTTAAAATTAAATCCGCAGCGGAGATCCTGAAAGATAATTTAACTCAAATTAAAGCGGCCGCACTCGAGCACCACCACCACCACCACTGA</t>
  </si>
  <si>
    <t>MWSFVKIEKEPVKVLVTGAAGMLNLIFHLVFLGQIGYAIVPMIARGLMLGPDQPMILHLLDIEQAGEALDGVSMELIDSAFPLLKGVVHTTDVVEACKDVNIAIMVGGIPRKEGMERNTMLSKNVSIYKAQASALEQHAAADCKVLVVANPANTNALILKEFAPSIPVQNITCLTRLDHNRALSQIAEKIPNNVHVSDVKNVIIWGNHSSTQYPDLNHATATTISGVKPVRELVDSHWSKTEFITTVQQRGAAIIKARKASSALSAASAACDHIRDWVLGTPKGTWVSMGVYSDGSYGIPSGLMYSFPVTCEKGIWSIVQGLKIDEFSRAKMDATAKELIEEKAVAHSCAAALEHHHHHH*</t>
  </si>
  <si>
    <t>ATGTGGAGCTTCGTTAAAATTGAAAAAGAACCCGTTAAGGTGCTGGTCACGGGTGCAGCCGGTATGCTGAACTTAATCTTTCACTTGGTTTTTCTCGGCCAGATTGGCTATGCCATTGTTCCAATGATTGCCCGTGGGCTGATGTTAGGCCCCGATCAGCCTATGATCCTGCATCTGTTAGACATCGAACAAGCAGGAGAGGCGCTGGACGGTGTATCCATGGAACTTATTGATTCAGCATTTCCGCTGTTAAAGGGTGTGGTACATACCACAGATGTTGTTGAAGCATGCAAGGATGTGAACATTGCAATAATGGTAGGTGGTATCCCGCGGAAAGAAGGAATGGAACGAAATACGATGCTCTCGAAAAACGTGTCGATTTACAAAGCCCAGGCTAGCGCTCTGGAGCAGCATGCGGCTGCGGATTGTAAAGTTCTGGTGGTGGCGAACCCTGCCAATACCAACGCTCTGATTCTGAAAGAATTTGCACCCTCGATCCCTGTTCAGAACATTACGTGCCTGACCCGGCTTGATCACAATCGTGCGCTCTCGCAAATTGCGGAAAAAATCCCGAACAATGTCCATGTATCTGATGTGAAGAATGTTATCATCTGGGGTAATCATTCCTCAACACAGTATCCTGATCTGAACCACGCGACTGCAACGACTATCTCCGGTGTCAAACCAGTTCGTGAGCTCGTGGATTCGCACTGGTCTAAAACCGAGTTTATCACGACCGTCCAGCAGCGCGGCGCGGCCATCATCAAAGCGCGGAAAGCCTCTAGTGCTCTCTCGGCAGCTTCCGCAGCTTGTGATCACATCAGAGACTGGGTCTTGGGAACGCCGAAAGGTACCTGGGTCTCCATGGGTGTATACAGCGACGGCTCATATGGCATCCCTAGCGGTTTGATGTACTCTTTTCCTGTAACATGCGAAAAAGGTATTTGGTCCATAGTTCAAGGTCTGAAGATTGATGAATTTAGTCGTGCCAAGATGGATGCGACAGCTAAAGAATTGATCGAGGAGAAAGCCGTTGCCCATTCATGTGCGGCCGCACTCGAGCACCACCACCACCACCACTGA</t>
  </si>
  <si>
    <t>MKVSIIGAGNVGATCADVISYRGIASEVVLLDIKEGFAEGKALDIMQCATNTGFNTNVSGVTNDYSKTANSNVVVVTSGIPRKPGMTREELIGINAGIVKSVVQNVLEFSPNAIFVIVSNPMDTMTYLTLKATGLPKNRVIGMGGALDSSRFRTYLSLALAKPVNDVSAMVIGGHGDTTMIPLTRLASYNGIPVTQFLSDDVLTKVAADTMVGGATLTGLLGTSAWYAPGASVAFLVDSILNNQRKMIACSVYVEGEYGQSDICIGVPCIIGENGVEEILDIKLNDTEKALFAKSADAVRQMNDALKDILSAAALEHHHHHH*</t>
  </si>
  <si>
    <t>ATGAAAGTAAGTATTATCGGCGCGGGGAATGTGGGTGCCACATGTGCAGATGTTATCAGCTATCGTGGTATTGCTTCAGAAGTCGTACTGCTTGATATAAAGGAAGGTTTCGCAGAGGGAAAAGCGCTGGATATTATGCAATGTGCAACGAACACGGGTTTTAATACTAATGTTTCGGGTGTGACGAACGACTACAGCAAGACAGCAAACTCAAACGTAGTTGTTGTTACATCAGGTATTCCCCGTAAACCCGGTATGACACGCGAAGAACTCATTGGTATTAATGCGGGTATTGTAAAATCCGTGGTCCAGAATGTACTGGAGTTTTCTCCGAATGCCATATTCGTCATTGTTAGCAACCCAATGGATACCATGACATATCTGACGCTGAAAGCTACGGGACTGCCTAAAAACCGGGTCATTGGCATGGGCGGCGCACTGGACAGCAGTCGATTTCGTACGTACTTATCGTTAGCGCTTGCGAAACCAGTGAATGATGTGTCGGCCATGGTTATTGGTGGGCACGGAGATACCACCATGATTCCTCTCACACGTTTGGCAAGTTATAATGGTATTCCGGTAACTCAGTTTTTATCAGATGATGTCCTGACAAAAGTAGCCGCAGATACGATGGTCGGTGGCGCGACCCTGACCGGTTTATTAGGTACCAGCGCGTGGTACGCTCCAGGTGCCTCTGTGGCCTTCTTAGTGGATAGTATTTTGAACAATCAGCGCAAAATGATTGCGTGCTCCGTGTATGTAGAGGGGGAGTATGGGCAGAGTGATATCTGTATCGGCGTCCCGTGCATTATCGGGGAAAATGGCGTCGAAGAAATCTTAGATATCAAGTTAAATGACACGGAAAAAGCGCTGTTCGCCAAATCCGCTGATGCGGTGCGTCAAATGAATGATGCACTCAAAGACATCTTATCTGCGGCCGCACTCGAGCACCACCACCACCACCACTGA</t>
  </si>
  <si>
    <t>MRKKVTVVGSGNVGATLAQRLVDRELADVVMIDILEGIPQGKALDMLEAGPVEGYDCNVIGTNDYKDTAGSDIVVITAGIARKPGMSRDDLLATNSKIVGDVTRSAVAYSPNCIIIAVSNPLDAMCHVAFHASGFPRHRVVGMAGVLDSARFRTFIAMELNVSVENVTAFVLGGHGDTMVPLPRYSTVAGIPITELLSKEQVDRLVQRTRDGGAEIVKLLKTGSAYYAPSAATAEMVEAILKDKKKILPCAAYLEGEYGIRGLYVGVPVKLGAKGLEQIIEINLTLEEKAALNRSAESVRELVNVLKAAALEHHHHHH*</t>
  </si>
  <si>
    <t>ATGCGTAAAAAGGTTACCGTCGTTGGCTCAGGCAACGTCGGCGCGACCTTGGCACAACGCCTGGTTGACCGCGAGCTTGCGGACGTGGTTATGATCGACATTCTGGAAGGCATTCCTCAAGGTAAAGCTTTGGATATGTTGGAGGCCGGGCCCGTCGAGGGCTACGACTGCAATGTAATTGGCACTAACGACTACAAGGACACGGCTGGGAGCGATATTGTGGTAATCACGGCGGGCATTGCCCGTAAACCGGGTATGTCCCGCGACGACTTACTGGCCACCAATTCTAAGATCGTAGGTGATGTTACTCGTTCCGCAGTTGCATATAGTCCGAATTGTATCATTATTGCGGTGAGTAACCCCCTGGACGCCATGTGTCACGTGGCATTTCACGCCTCGGGATTTCCCCGTCACCGCGTAGTAGGTATGGCGGGTGTTTTAGACTCCGCGCGTTTCCGCACGTTCATCGCAATGGAACTTAATGTGTCCGTGGAGAATGTCACCGCTTTTGTTTTAGGGGGACACGGTGATACTATGGTGCCATTACCTCGTTACAGCACAGTAGCGGGCATTCCCATCACGGAATTGTTAAGCAAAGAGCAAGTGGACCGTTTGGTGCAGCGTACACGCGACGGGGGCGCTGAAATTGTAAAATTGTTAAAGACTGGCAGTGCTTACTACGCCCCTTCCGCTGCGACGGCCGAGATGGTCGAGGCTATTCTGAAAGATAAGAAAAAGATCCTTCCGTGCGCTGCGTATCTTGAGGGGGAATATGGGATTCGTGGATTATACGTTGGAGTCCCAGTTAAGTTAGGCGCCAAAGGTTTGGAGCAGATTATTGAGATCAACCTGACCCTTGAGGAAAAGGCAGCCTTGAATCGTTCTGCCGAGTCGGTCCGTGAACTGGTCAACGTACTTAAGGCGGCCGCACTCGAGCACCACCACCACCACCACTGA</t>
  </si>
  <si>
    <t>MQKVEMKDAQGKSVGTATLEPSGQGIVVELELKDLPPGEHAIHFHKIASCEGPDFKSAGPHLNPDGKKHGLLNPEGPHAGDMPNFTVKADGTAKASVKDPRVTLGSGTHSVFANGGTALVIHAMADDLKTDPSGNSGDRIACGVVTKAAALEHHHHHH*</t>
  </si>
  <si>
    <t>ATGCAGAAGGTTGAGATGAAAGATGCCCAGGGCAAATCTGTTGGCACCGCTACTTTGGAACCCTCGGGCCAGGGCATTGTGGTGGAATTAGAACTTAAGGATCTCCCACCGGGTGAACATGCAATCCATTTTCACAAAATTGCGTCATGTGAAGGACCGGACTTTAAAAGTGCAGGTCCCCATCTGAACCCCGATGGTAAGAAGCATGGTTTATTAAACCCAGAGGGCCCGCACGCCGGTGATATGCCGAATTTTACCGTCAAAGCGGATGGCACCGCTAAAGCGTCTGTAAAGGACCCTCGGGTTACTCTCGGCAGCGGTACCCACTCAGTCTTCGCTAATGGGGGCACCGCCCTGGTTATACATGCGATGGCAGATGATTTAAAAACGGATCCTAGCGGCAACTCGGGTGACAGAATAGCTTGTGGGGTCGTCACGAAGGCGGCCGCACTCGAGCACCACCACCACCACCACTGA</t>
  </si>
  <si>
    <t>MALDASGASAPIGSISASSSPYGVIFTPELSGLAPGIHGFHVHEKPDCGPSEKDGKTVPGGAAGGHYDPEKTGKHEGPYGAGHLGDLPALYVGADGKATQPVLAPRLKLADLKGRSLMIHAGGDNHSDHPAPLGGGGARVACGVVAAALEHHHHHH*</t>
  </si>
  <si>
    <t>ATGGCACTGGACGCTTCTGGCGCATCGGCACCTATCGGTAGCATCTCTGCATCATCATCCCCTTACGGGGTGATTTTTACTCCGGAACTTTCAGGACTGGCCCCAGGTATTCACGGATTCCATGTGCATGAAAAACCTGATTGTGGCCCTTCCGAAAAAGATGGCAAAACCGTACCAGGCGGGGCGGCCGGGGGTCACTACGATCCGGAAAAAACTGGCAAGCATGAGGGGCCTTATGGTGCCGGCCACTTGGGCGATCTGCCGGCGTTATATGTGGGGGCAGATGGTAAAGCCACACAACCGGTTTTAGCCCCGCGATTGAAGCTGGCCGATTTAAAGGGTCGTTCCTTGATGATTCATGCCGGCGGGGATAATCATTCCGACCATCCGGCACCTCTGGGGGGCGGAGGCGCACGAGTTGCTTGCGGCGTGGTGGCGGCCGCACTCGAGCACCACCACCACCACCACTGA</t>
  </si>
  <si>
    <t>MQKAVCVLQGDVKGTIYFEQDNESSPVKVSGEITGLAPGDHGFHIHEFGDNTNGCTSAGPHFNPHGKNHAGPNDADRHVGDLGNVTADANGVAKVNITDKVISLTGSHSILGRTLVVHADVDDLGKGNHELSLTTGNAGARLACGVVGICKAAAALEHHHHHH*</t>
  </si>
  <si>
    <t>ATGCAGAAAGCTGTCTGTGTCTTGCAGGGCGACGTGAAAGGAACCATCTATTTCGAGCAGGATAATGAGAGCTCACCGGTCAAAGTAAGTGGTGAGATTACCGGTCTGGCACCCGGTGATCACGGTTTTCATATCCACGAGTTTGGCGACAATACGAACGGTTGCACTAGCGCTGGACCACACTTCAATCCTCATGGCAAGAACCACGCTGGCCCGAATGACGCGGACCGACATGTGGGTGATCTGGGTAACGTTACAGCTGACGCGAACGGCGTCGCAAAGGTAAACATTACCGATAAAGTCATCAGCCTCACAGGATCCCATTCCATTCTTGGCCGTACACTTGTTGTCCATGCTGATGTCGATGATCTGGGTAAAGGAAATCATGAACTGTCTCTGACAACAGGCAATGCGGGCGCGCGTTTAGCCTGTGGAGTGGTCGGGATTTGTAAAGCGGCGGCCGCACTCGAGCACCACCACCACCACCACTGA</t>
  </si>
  <si>
    <t>MLRRRPDAEAVIKGSAEYPGVRGTVSLYRAGGGVLLAAEVTGLPRGTGACAVNVFGFHIHEGYSCTGNAEDPFANAGAHYNPEGCPHPAHAGDLPPLFGNRGYAFLAFFTSRFSIEDVAGRTVIIHAQPDDFTTQPSGDSGARIACGRILPARGRRRAAALEHHHHHH*</t>
  </si>
  <si>
    <t>ATGCTGAGACGGCGGCCCGATGCCGAAGCGGTGATCAAAGGAAGCGCGGAATATCCGGGCGTGCGTGGCACTGTGTCTCTGTACCGTGCAGGCGGCGGTGTCTTATTAGCGGCAGAAGTGACCGGCCTTCCTCGTGGCACTGGTGCATGCGCAGTAAATGTTTTCGGTTTTCATATTCATGAAGGCTACTCATGCACTGGCAACGCAGAAGATCCTTTTGCTAATGCAGGCGCCCATTATAATCCCGAGGGCTGCCCACACCCGGCGCACGCAGGTGATCTCCCACCTCTGTTCGGAAATCGTGGCTATGCATTTCTGGCTTTCTTTACATCTCGCTTTAGTATTGAAGATGTAGCAGGTCGCACTGTTATCATCCACGCGCAACCGGATGATTTCACTACTCAGCCAAGCGGCGATTCTGGTGCCCGAATTGCTTGCGGGCGCATTCTTCCGGCGCGAGGGCGCCGTCGAGCGGCCGCACTCGAGCACCACCACCACCACCACTGA</t>
  </si>
  <si>
    <t>MYRSESKTTTASAAIKGGPYAPDIKGVIYFTDVPNGTWVCVSVIGLPDYKPASGNNPPIGPHGFHIHEFGNCEVGDPNDPFKAAGGHWNPTNQPHGNHAGDFPVLFSNHGTASMCFFTDKFKVNDVIGKSVIIHENPDDYRTQPAGASGRKLACGVISSSKSPSLAAALEHHHHHH*</t>
  </si>
  <si>
    <t>ATGTATCGGTCAGAAAGCAAAACTACCACCGCTTCAGCAGCCATAAAGGGGGGCCCTTATGCTCCGGACATCAAGGGAGTTATTTATTTCACTGATGTGCCGAACGGTACATGGGTCTGTGTGTCAGTAATTGGACTCCCTGACTATAAACCGGCTTCTGGGAACAACCCGCCGATTGGTCCCCATGGCTTTCACATTCATGAATTTGGAAACTGTGAAGTAGGAGACCCTAATGATCCTTTTAAAGCTGCCGGAGGGCATTGGAATCCCACAAACCAGCCTCATGGTAATCATGCGGGGGATTTCCCCGTCCTTTTTTCAAATCATGGTACAGCAAGTATGTGCTTTTTTACTGATAAATTTAAAGTGAACGATGTGATTGGCAAATCTGTTATCATACATGAGAATCCGGATGATTACCGTACTCAGCCGGCGGGTGCCTCAGGCCGGAAACTGGCGTGTGGGGTTATTAGCTCGAGTAAAAGCCCTAGCCTTGCGGCCGCACTCGAGCACCACCACCACCACCACTGA</t>
  </si>
  <si>
    <t>MRKKVTIVGAGNVGATAAHWIASKELADVVLIDVVEGVPQGKGLDLLEAMPIEKRDAHILGTNDYADTANSDIVVITAGIARKPGMSRDDLLQTNYKIMSDVVGKAIAASPDCILIIVSNPLDAMAQTAYRQAKFNRNRVIGMAGVLDSARFRTFIAEELKVSVENVTAFVLGGHGDTMVPLARYSTVAGIPITELIPKERLDAIVQRTRDGGAEIVKYLKTGSAYYAPSAAAVEMVEAILKDKKKILPCAAFLEGEYGISGYYIGVPCKLGARGLEQIIEIRLTPEEEAALKKSAEAVKELCAVIGVAAALEHHHHHH*</t>
  </si>
  <si>
    <t>ATGCGGAAAAAGGTGACAATAGTAGGGGCCGGTAATGTCGGTGCTACCGCAGCACACTGGATAGCGTCAAAAGAGTTAGCCGATGTCGTGTTGATTGATGTGGTCGAAGGCGTGCCCCAAGGTAAGGGCTTAGACTTACTGGAGGCCATGCCCATCGAAAAACGTGATGCACATATTTTGGGTACTAATGACTACGCTGATACCGCCAATAGTGACATTGTAGTCATAACCGCAGGAATCGCCCGGAAACCAGGAATGTCTAGAGATGACTTATTACAGACGAACTATAAGATAATGTCGGATGTTGTTGGGAAAGCTATTGCAGCGTCACCCGATTGCATACTTATCATCGTCTCCAATCCATTAGACGCTATGGCCCAAACCGCATATCGCCAGGCCAAGTTTAATCGCAATCGCGTAATTGGGATGGCTGGAGTGCTTGATTCTGCAAGATTCCGTACGTTTATAGCAGAAGAGTTGAAAGTTTCTGTGGAGAATGTCACGGCGTTTGTTCTTGGCGGTCACGGAGATACGATGGTACCATTAGCTAGATATTCAACAGTCGCGGGCATTCCGATTACAGAGCTGATACCCAAGGAACGGTTGGACGCAATTGTGCAAAGAACGCGGGATGGCGGTGCAGAAATAGTTAAATACCTTAAAACCGGCTCTGCATACTATGCTCCTTCCGCTGCCGCTGTTGAAATGGTAGAGGCGATTTTGAAAGACAAGAAGAAGATTTTACCCTGCGCAGCCTTCTTAGAAGGCGAGTATGGGATTAGCGGATATTATATCGGGGTGCCCTGCAAGCTGGGCGCGAGAGGACTTGAGCAGATTATCGAGATAAGACTTACTCCAGAGGAGGAGGCTGCATTAAAGAAAAGCGCAGAGGCCGTGAAAGAACTGTGTGCCGTAATAGGAGTTGCGGCCGCACTCGAGCACCACCACCACCACCACTGA</t>
  </si>
  <si>
    <t>MAGQFIGVDGAPMGYVVLTNAPNAGVVMRVDLAGVSEGWHALHLHKVGDCSDYADGFKASGSHVDPDDQPHGLLNIYGPERADMPNIYAGADGHATAELFNGTVALFASEASAAQAGAAALEHHHHHH*</t>
  </si>
  <si>
    <t>ATGGCCGGCCAATTTATTGGCGTAGACGGAGCACCCATGGGCTATGTGGTACTGACAAATGCCCCCAATGCAGGGGTTGTAATGCGCGTAGATTTAGCGGGAGTTTCTGAAGGATGGCACGCATTACACCTTCATAAAGTTGGTGATTGCAGTGACTATGCAGACGGTTTCAAAGCTTCCGGGTCACATGTGGATCCAGACGATCAACCACACGGACTCCTGAATATTTATGGCCCCGAGCGCGCGGACATGCCGAATATTTATGCGGGTGCGGACGGACATGCAACGGCAGAATTATTCAACGGTACCGTTGCGCTGTTTGCCTCTGAGGCTAGTGCAGCTCAGGCCGGCGCGGCCGCACTCGAGCACCACCACCACCACCACTGA</t>
  </si>
  <si>
    <t>MKVTVVGAGNVGATCAQIVAEKNIVSEVVLLDIKEGLSEGKALDLWQTAPINFYDTRLVGATNDYSKSAGSDVVVITSGVPRKPGMSRDDLISINAGIVKSVTENVIKHSPNAIIIIVSNPLDVMTYVAYAVSKTSKNKVLGMAGILDTARYRAFLAEALDVSPRDIQALLMGGHGDTMVPLPRYTTVAGIPVTELLDKATLDKIIDRTKKGGGELVNLMGTSAWYAPGSAAAQMVEAIVMDQKRVFPCCVKLEGEYGLNDIFVGVPVKLGKNGVEKVIEVQLTADEQALLVESAGAVKEIMDVVDAMAAALEHHHHHH*</t>
  </si>
  <si>
    <t>ATGAAAGTGACTGTTGTTGGAGCCGGTAATGTAGGGGCGACCTGTGCACAGATCGTAGCGGAAAAAAACATTGTAAGCGAAGTTGTTCTCCTGGATATTAAAGAGGGTCTCTCAGAAGGAAAAGCTCTCGATCTCTGGCAAACGGCCCCGATAAACTTTTATGACACACGTTTAGTGGGCGCAACAAACGACTATAGTAAGTCGGCTGGTTCCGATGTTGTGGTTATCACATCTGGAGTGCCGCGCAAACCGGGGATGTCGCGTGACGATCTGATTTCTATCAATGCTGGTATAGTGAAATCTGTGACGGAAAACGTGATAAAACATTCGCCTAACGCTATCATAATTATTGTCTCCAATCCGCTGGATGTTATGACATATGTAGCATACGCGGTAAGCAAGACGAGTAAAAACAAGGTGTTGGGTATGGCCGGGATCCTTGATACTGCACGCTACCGAGCGTTTTTAGCAGAAGCGTTAGATGTAAGTCCCCGCGATATACAAGCCCTGCTGATGGGTGGACACGGTGATACCATGGTCCCTCTGCCACGGTACACAACGGTTGCGGGAATTCCTGTCACTGAACTGCTGGATAAGGCGACCCTGGATAAAATCATTGACCGTACCAAAAAAGGCGGGGGGGAACTGGTAAATCTGATGGGAACCAGTGCTTGGTATGCGCCTGGAAGCGCGGCTGCACAAATGGTTGAAGCAATTGTTATGGACCAGAAGCGGGTGTTTCCCTGTTGTGTGAAGCTGGAAGGGGAATACGGGCTTAATGACATTTTCGTAGGCGTCCCGGTTAAATTGGGTAAGAATGGGGTAGAGAAGGTTATTGAGGTACAACTCACCGCAGATGAACAGGCCCTGCTGGTTGAATCAGCGGGGGCGGTAAAGGAAATAATGGACGTGGTTGATGCGATGGCGGCCGCACTCGAGCACCACCACCACCACCACTGA</t>
  </si>
  <si>
    <t>MVLFDIKEGLPQGKALDIAESSPVAGFDVRLSGTGDYADLADADVCIVTAGVPRKPGMSRDDLLGINLKVMKSVANGIKTHCPNAFVICITNPLDAMVWALREFTGLPRNKIIGMAGVLDSARFRYFLAREFGVSVRDVTAFVLGGHGDTMVPLQRYSTVGGIPLPDLVAMGWSTQERIDEIIQRTRDGGAEIVGLLKEGSAYYAPATAAVQMAESYLRDQHRLLPGAAWVDGAYGLKGLYVGVPVIIGANGVERVVEIALNKDEQAMFDKSVAAVKGLVEACRNAAALEHHHHHH*</t>
  </si>
  <si>
    <t>ATGGTGCTGTTCGACATTAAGGAAGGCCTTCCCCAGGGTAAAGCCCTGGACATTGCTGAGAGCAGCCCCGTGGCCGGCTTTGATGTGCGGCTTTCAGGCACCGGTGATTATGCGGACTTAGCCGATGCGGATGTTTGTATTGTTACCGCCGGAGTTCCCCGTAAACCGGGCATGTCACGTGATGACCTGCTGGGGATCAATCTTAAAGTGATGAAGTCTGTTGCCAATGGCATCAAAACACACTGTCCGAATGCCTTTGTTATATGTATCACTAATCCTCTGGACGCTATGGTTTGGGCTCTGAGAGAGTTTACTGGTCTTCCACGAAACAAAATCATAGGTATGGCCGGTGTTTTGGATAGTGCCCGGTTCCGCTATTTTCTGGCACGAGAGTTTGGCGTAAGTGTACGAGATGTGACCGCATTTGTGCTGGGTGGGCACGGTGATACTATGGTGCCGCTTCAGAGATATAGCACGGTGGGCGGAATTCCTCTTCCGGATTTAGTGGCAATGGGATGGTCCACCCAGGAACGCATTGATGAAATAATTCAACGTACGCGTGATGGGGGTGCGGAAATAGTTGGCTTGTTGAAAGAAGGTAGTGCGTACTATGCTCCCGCCACCGCAGCCGTACAAATGGCAGAATCATATCTCCGAGATCAGCATAGACTTCTGCCAGGAGCTGCATGGGTTGATGGGGCTTACGGTCTTAAAGGTTTATATGTGGGTGTGCCAGTCATTATTGGGGCGAACGGCGTCGAGCGGGTCGTTGAAATTGCGCTCAACAAAGATGAGCAGGCAATGTTCGACAAATCAGTGGCAGCTGTCAAGGGCCTCGTGGAAGCCTGTCGGAATGCGGCCGCACTCGAGCACCACCACCACCACCACTGA</t>
  </si>
  <si>
    <t>MGFLTNEKLTIVGAGGMIGSNMAQTAAMMKLTPNICLQDVYEPALEGVYEEMRHCGFEGMNFTYTTCPAEAFKDAKYVISSGGAARKAGMTREDLLKGNAEVAEQLGKNIKEYCPDCKHVVVIFNPADITGLITLVYSGLKPSQVTTLAGLDSTRLQSELAKHFNLPQSAVTGCCTFGGHGEQMAVFASTAKIDGTPLVDLIGTDKLPAEEWAALQQRVTKGGANIINLRGRSSFQSPAYVSVEMIRAAMGGEAFRWPAGTYVSSGGFDHIMMAMPVEITKDGCTYKDVEGTPSEMADLKKSYEHLCAMRDEVIGFGVLPPVAEWNAAALEHHHHHH*</t>
  </si>
  <si>
    <t>ATGGGCTTTTTGACCAACGAAAAACTCACCATTGTGGGTGCAGGAGGTATGATAGGAAGTAATATGGCTCAGACTGCAGCTATGATGAAACTGACTCCGAATATTTGTCTGCAGGATGTCTATGAACCCGCCCTGGAAGGCGTGTATGAAGAAATGCGCCATTGCGGCTTTGAAGGTATGAATTTTACTTACACCACCTGCCCTGCTGAAGCATTTAAAGACGCAAAATATGTTATATCTTCCGGTGGCGCAGCGCGCAAAGCGGGCATGACTCGGGAGGATCTGTTAAAAGGCAATGCAGAAGTGGCGGAGCAGCTTGGTAAGAATATAAAGGAGTATTGTCCAGATTGTAAACATGTAGTGGTTATTTTCAATCCGGCGGACATCACTGGCTTAATAACTTTAGTATATTCTGGCTTAAAGCCTAGTCAAGTGACTACTCTGGCGGGTCTTGACTCCACGCGCCTTCAGTCCGAATTGGCCAAACATTTTAACCTTCCGCAATCAGCTGTTACCGGCTGTTGCACTTTTGGAGGGCATGGGGAACAGATGGCTGTTTTTGCGTCAACAGCTAAAATTGATGGAACGCCGCTCGTTGATCTGATTGGAACTGATAAATTACCGGCGGAAGAGTGGGCCGCACTGCAGCAGCGCGTTACTAAAGGCGGGGCCAACATCATTAACTTGCGCGGTAGAAGCAGTTTTCAGTCTCCCGCTTACGTTTCTGTGGAGATGATACGTGCCGCCATGGGAGGCGAGGCATTCCGCTGGCCTGCTGGCACATATGTATCGTCTGGAGGTTTTGACCATATTATGATGGCGATGCCGGTAGAGATTACGAAAGATGGCTGCACATATAAAGACGTAGAAGGCACCCCGTCTGAGATGGCAGACCTGAAAAAAAGCTACGAACACCTGTGTGCAATGCGGGATGAGGTGATTGGATTTGGCGTGCTCCCGCCAGTTGCTGAATGGAATGCGGCCGCACTCGAGCACCACCACCACCACCACTGA</t>
  </si>
  <si>
    <t>MAVCVLKGTGETNGVVNFEQESDSAPVKVTGEIKGLTPGKHGFHIHVYGDNTNGCVSAGPHFNPYNKNHGGPEDAERHVGDLGNVTAGVNNVAEIDITDKLIRLSGPDSIVGRTVVVSFYFFNFVLNFLLLYKAAALEHHHHHH*</t>
  </si>
  <si>
    <t>ATGGCAGTTTGCGTTTTAAAAGGGACTGGCGAGACCAATGGCGTTGTGAACTTCGAACAAGAGTCTGACAGTGCCCCCGTAAAGGTCACCGGCGAGATAAAAGGCTTAACACCGGGTAAGCATGGTTTTCACATTCATGTGTATGGTGACAATACTAACGGTTGCGTTTCAGCCGGGCCGCACTTTAATCCGTATAATAAGAACCACGGGGGACCCGAAGACGCTGAACGCCACGTAGGAGACCTGGGAAATGTGACCGCAGGCGTGAATAATGTAGCTGAGATTGATATAACTGATAAGTTAATTCGTTTATCTGGCCCAGATTCCATTGTTGGGAGAACGGTCGTGGTCTCTTTTTATTTCTTTAACTTCGTCTTGAATTTTTTGCTTTTATATAAAGCGGCCGCACTCGAGCACCACCACCACCACCACTGA</t>
  </si>
  <si>
    <t>MQKLDLKGNTDIGMVTVTESPYGLVFTPNLTGLTEGVHGFHIHQNASCEPKEQDGKMVLGLGAGGHWDPNGTNKHGFPWQDDSHLGELPVLIVDHDGNANYPVLAPRLKKLDDIKGHALMIHAGGDNHSDHPAPLGGGGPRMACGVIAAALEHHHHHH*</t>
  </si>
  <si>
    <t>ATGCAGAAACTCGACCTTAAAGGGAACACCGATATAGGAATGGTAACAGTGACCGAGTCACCCTATGGGTTGGTTTTTACCCCAAATCTTACCGGTCTGACGGAGGGCGTTCATGGCTTTCACATCCATCAGAACGCATCTTGCGAACCGAAAGAACAGGACGGAAAGATGGTTTTGGGCCTGGGCGCAGGCGGTCATTGGGATCCGAATGGCACCAATAAGCACGGTTTTCCGTGGCAGGACGATTCTCATCTCGGGGAACTGCCTGTCTTAATAGTGGACCATGATGGTAATGCCAACTACCCTGTCTTAGCGCCACGTTTAAAAAAACTGGATGATATAAAAGGGCACGCGCTGATGATTCACGCAGGTGGAGATAATCACTCAGATCACCCCGCACCCCTTGGCGGAGGCGGACCTCGTATGGCCTGTGGCGTGATTGCGGCCGCACTCGAGCACCACCACCACCACCACTGA</t>
  </si>
  <si>
    <t>MGCTTIFGNHEKRAQAQLRPTAGNGARGTVTFVERADGVQVTYNLVGLPPNSDHALQVHERGDCNAVDGSSAGAVFAPTAARLKSGVRVEGDLGNLHADETGVATGFIVAPDLSLDGVRSVLGRSVLVHRDTSDPAFAEHGAGPALACGQIRQAAALEHHHHHH*</t>
  </si>
  <si>
    <t>ATGGGTTGTACCACTATTTTTGGAAATCATGAAAAACGCGCGCAGGCTCAGTTACGGCCGACAGCGGGCAACGGTGCACGCGGGACCGTCACCTTTGTCGAGCGCGCAGACGGGGTTCAAGTGACATATAATCTGGTTGGATTGCCCCCAAATAGCGATCACGCACTGCAAGTGCATGAACGCGGTGACTGCAACGCCGTTGATGGTTCAAGCGCTGGTGCCGTATTCGCACCAACCGCGGCGCGCCTGAAATCCGGTGTTCGCGTTGAGGGTGATCTGGGAAATCTTCACGCAGACGAAACGGGAGTTGCCACCGGGTTTATAGTCGCCCCGGATTTATCGCTGGATGGAGTTCGAAGCGTGCTGGGCCGCTCAGTGCTGGTCCATCGGGATACCTCGGACCCAGCGTTCGCAGAGCATGGTGCAGGCCCTGCTCTCGCCTGCGGCCAAATACGTCAGGCGGCCGCACTCGAGCACCACCACCACCACCACTGA</t>
  </si>
  <si>
    <t>MVANFVAKDGKEDGRAQLTAAANGGVLIEVEISGLPANKWVAIHVHETGRCDAATHHESAGGHFDPEKAEHGILAAKGPHAGDMPNQYVGQDGVLRAQIFNGMVTLDGKTDGIRGRALMVHANSDDYRSQPSRCRRKTFLRRRPIATAQVLAAALEHHHHHH*</t>
  </si>
  <si>
    <t>ATGGTGGCCAACTTTGTGGCTAAAGATGGCAAAGAGGATGGACGCGCACAATTAACAGCGGCGGCGAATGGCGGCGTGCTTATTGAAGTGGAAATTTCGGGACTGCCGGCAAACAAATGGGTTGCAATACATGTCCATGAAACCGGCCGGTGTGATGCAGCGACGCATCACGAATCCGCTGGTGGACATTTCGATCCGGAAAAGGCAGAGCATGGGATTCTGGCCGCAAAAGGCCCTCACGCCGGCGATATGCCCAATCAATATGTAGGCCAAGACGGTGTCCTTCGCGCCCAGATCTTCAACGGCATGGTGACCTTGGATGGGAAGACAGACGGTATTCGTGGTCGCGCCCTCATGGTGCATGCAAATTCAGATGACTACCGCAGCCAGCCCTCACGTTGTCGCCGCAAAACGTTTTTGCGCCGTCGCCCGATTGCGACTGCACAGGTGCTTGCGGCCGCACTCGAGCACCACCACCACCACCACTGA</t>
  </si>
  <si>
    <t>MKITIIGAGNIGSSLSYGLILRELVSQIVLIDINEELLIAKELELAQSIAALNLDIDLICTQDYKYTQNSDIVVFGAGFTRKDGQSREELLQLNASILLDCAKKIKEFIPDPLFIVLTNPVDFLLNTLYESRLFSSKKIVAMAGILDNARFKYEVAKKLNVKVSRVDTRLIGFHNDDMVLVKSYAKVNNKSIDDFLSEEEFEDLENEVKTGGAKVIKYLKNSAYLAPASACIRMIESIRSGEFLPMSVILHGDFGVKNKALGVMARLGFEGVIEIMKMELSVQEKQKLEQSLSKYQYKGDKEAAALEHHHHHH*</t>
  </si>
  <si>
    <t>ATGAAAATTACCATCATTGGCGCGGGCAACATTGGCAGTTCCCTGTCATACGGCCTCATTTTGAGAGAACTGGTTTCACAAATAGTGTTGATCGATATTAACGAGGAGCTGCTTATAGCCAAAGAGCTGGAGTTAGCGCAAAGCATTGCGGCTCTCAACTTGGATATTGACCTCATTTGTACGCAGGACTATAAATACACGCAGAATAGCGACATTGTAGTGTTTGGGGCGGGTTTTACTCGTAAGGATGGTCAAAGCCGTGAGGAATTGTTGCAATTAAATGCCAGTATATTGCTTGACTGTGCCAAAAAGATTAAAGAATTCATTCCCGATCCATTATTTATCGTTCTTACGAATCCGGTTGATTTTTTACTTAATACGTTGTACGAATCCCGGCTCTTTTCGAGTAAAAAAATCGTGGCCATGGCCGGCATTTTAGACAACGCTCGGTTCAAATATGAGGTTGCCAAAAAACTGAACGTTAAGGTAAGTCGTGTTGATACACGCTTAATTGGGTTCCACAATGATGATATGGTGTTAGTGAAATCTTACGCCAAAGTTAATAATAAATCAATAGATGATTTTTTGTCAGAAGAGGAGTTTGAAGACTTAGAAAATGAAGTTAAAACTGGTGGTGCAAAAGTTATAAAGTATCTTAAAAATAGCGCCTATTTAGCGCCGGCAAGCGCATGTATTCGTATGATTGAATCAATTCGAAGCGGCGAGTTTCTGCCCATGAGCGTTATCCTTCACGGTGATTTCGGCGTCAAGAATAAGGCGTTAGGCGTGATGGCACGTCTCGGTTTTGAAGGGGTGATTGAGATAATGAAAATGGAGCTGTCTGTCCAGGAAAAACAAAAGTTGGAACAGTCTCTGTCTAAGTACCAGTATAAAGGAGACAAAGAAGCGGCCGCACTCGAGCACCACCACCACCACCACTGA</t>
  </si>
  <si>
    <t>MRKPKITVIGAGNVGATAAQRLAEGHLGDIVLVDVVDGVPQGKALDLVQAAPVVHHDGMLVGTNGYDATAGSDVIVMTAGLARKPGMSRDDLRDANAAIVADCVSRAVRKSRDSIIVMVTNPLDVMCEVARRASGFPRERVIGMAGVLDAARMRAFIAMELGVSSESVFALVLGGHGDSMVPVPRYTTVSGVPLPELLPAERIDAIVQRTAKGGGEIVQLLKTGSAYYAPAAGVYEMVESMVRDRKRILPCSVYLQGEFGLKDVFVGVPARLGANGMEGVFELKLTAEERARLHASARDVAEQAAKLPADLGKAAAALEHHHHHH*</t>
  </si>
  <si>
    <t>ATGCGAAAACCTAAAATAACTGTCATCGGCGCCGGTAATGTTGGGGCCACTGCGGCTCAGCGGCTGGCAGAAGGGCATCTGGGGGATATTGTTTTGGTTGACGTCGTAGATGGAGTTCCTCAAGGCAAAGCCCTCGATCTGGTACAAGCGGCCCCGGTCGTTCATCATGATGGAATGCTGGTTGGCACGAATGGTTATGACGCAACTGCTGGGTCTGATGTTATCGTTATGACTGCAGGTTTAGCTCGTAAACCCGGTATGAGTCGTGATGATTTGCGGGATGCAAACGCAGCAATCGTGGCAGATTGCGTTAGTCGTGCCGTGCGCAAATCCCGCGATTCAATTATCGTGATGGTCACGAATCCGTTAGATGTTATGTGTGAGGTTGCGCGCAGAGCCTCAGGTTTTCCGCGAGAGCGTGTGATTGGAATGGCAGGAGTGCTTGACGCTGCTCGTATGCGCGCCTTTATTGCAATGGAACTTGGCGTCAGCAGCGAGAGCGTCTTTGCGCTGGTTCTGGGTGGTCATGGTGACAGCATGGTTCCTGTGCCGCGCTATACTACCGTGAGCGGGGTTCCCCTTCCTGAACTGCTGCCGGCCGAGCGTATTGATGCAATCGTTCAGCGCACTGCCAAAGGTGGCGGCGAAATCGTACAGCTCCTTAAGACAGGATCTGCGTACTATGCACCGGCCGCCGGGGTGTATGAAATGGTTGAAAGCATGGTACGCGATCGTAAACGGATCCTGCCATGTTCTGTCTACCTGCAGGGAGAGTTCGGCCTCAAAGACGTATTCGTTGGTGTTCCCGCCCGTCTCGGTGCCAACGGTATGGAAGGAGTTTTTGAGTTAAAACTGACTGCCGAAGAGCGTGCTCGCTTGCACGCTTCCGCTCGTGATGTTGCAGAACAGGCAGCGAAACTGCCAGCCGATCTTGGCAAAGCAGCGGCCGCACTCGAGCACCACCACCACCACCACTGA</t>
  </si>
  <si>
    <t>MITLNAKSNTEVSGNAVFSEEDGIVTLTAVVSGLNPGGTHAIHLHEKADCSSDDGTSAGGHWNPTAEPHGKWGDKAGYHKGDIGNFIADENGNGSITFATNQWCIGCEDDNKNIIGKSVIVHAGEDDFTSQPTGAAGARVSCAGIAAALEHHHHHH*</t>
  </si>
  <si>
    <t>ATGATAACGCTGAACGCTAAATCCAATACTGAGGTCTCAGGTAACGCCGTATTTAGCGAAGAAGATGGTATTGTTACCTTGACGGCAGTAGTAAGCGGCCTCAACCCCGGAGGGACACACGCTATCCATCTTCATGAGAAGGCTGATTGCTCATCCGATGATGGCACAAGTGCAGGAGGCCATTGGAATCCGACGGCGGAACCGCACGGAAAATGGGGTGATAAAGCGGGCTATCATAAAGGTGATATAGGAAATTTTATCGCGGACGAAAATGGTAACGGCAGCATCACCTTCGCCACCAACCAGTGGTGCATTGGCTGCGAGGACGACAATAAAAATATTATTGGCAAATCGGTCATTGTACACGCAGGTGAAGATGACTTCACCTCTCAGCCGACGGGTGCAGCTGGAGCAAGAGTATCATGTGCGGGGATCGCGGCCGCACTCGAGCACCACCACCACCACCACTGA</t>
  </si>
  <si>
    <t>MTQKPICAIAVFTGDNKIKGYVKFVENFKNNNIAIELNIVGLKNNSLHGFHVHEAGDLTDKCTSMCSHFNPYNKTHGAPGTKERHVGDLGNIETNSKGEAKYIFYDDVIKLRGTKANIIGRGLIIHADEDDCGAGGDAESLKTGNAGKRIACAVIGYSKENFAAALEHHHHHH*</t>
  </si>
  <si>
    <t>ATGACGCAGAAACCAATTTGTGCAATAGCCGTTTTTACTGGCGACAACAAAATTAAAGGATACGTCAAGTTTGTTGAAAATTTTAAGAACAATAATATCGCTATTGAACTCAATATAGTCGGCTTAAAGAACAATTCGCTTCATGGGTTTCACGTGCATGAGGCTGGTGATCTCACCGATAAATGCACCTCTATGTGCTCGCATTTCAATCCGTATAATAAAACCCACGGTGCACCGGGTACCAAAGAGCGCCATGTGGGCGATCTTGGGAATATAGAAACGAATTCCAAAGGCGAAGCTAAGTATATCTTTTATGACGACGTTATCAAGTTGCGTGGTACTAAAGCCAACATTATCGGCAGAGGTTTGATTATACATGCGGATGAGGATGATTGCGGAGCTGGGGGAGATGCGGAAAGTCTCAAAACGGGAAATGCCGGTAAACGCATCGCATGTGCGGTGATCGGATATTCGAAGGAGAACTTTGCGGCCGCACTCGAGCACCACCACCACCACCACTGA</t>
  </si>
  <si>
    <t>MAKAVVTLYGNEGQVFGSLVLSQANEDAKTIIAGSLKGLSAGKHAIHINVFGDVTNGGASTGGVFNPFGKSHGAPDDEERRVGSLGNIQVDDEGNAKVNIEDPLLKLIGPHSVIGRSLVIHENEDDLGKGGHELSLQNGNAGPIKAFGVIGISAAAALEHHHHHH*</t>
  </si>
  <si>
    <t>ATGGCTAAAGCTGTTGTAACGCTGTATGGAAATGAAGGTCAGGTCTTTGGATCATTAGTTCTGTCCCAGGCCAACGAAGATGCGAAAACAATCATCGCAGGGTCACTGAAAGGCCTGTCTGCTGGTAAACATGCGATACATATCAATGTATTTGGTGACGTAACAAACGGGGGTGCAAGCACAGGTGGCGTCTTTAACCCATTTGGCAAAAGTCATGGCGCCCCGGATGATGAAGAACGCCGTGTCGGGAGCCTGGGCAACATACAGGTCGACGATGAAGGTAATGCAAAAGTCAATATCGAGGACCCTTTGTTGAAGCTGATTGGCCCTCACTCAGTAATCGGTCGCTCACTGGTCATTCATGAAAACGAGGATGACCTTGGAAAAGGCGGTCACGAATTGTCCCTGCAAAATGGTAATGCCGGTCCGATAAAGGCCTTTGGTGTTATAGGCATTTCTGCTGCGGCCGCACTCGAGCACCACCACCACCACCACTGA</t>
  </si>
  <si>
    <t>MKICKVPRIPPQKVTVIGAGSDVGRIASLFLKQQKVIKLLSLYDEEPDNNVLGVATDLAHIDTSTAVEAFQGRAFMCHALDDSDVVLICGGHHVTPAECCTPDRELFFQNMQHVRTAAIACAQFCPQAVVAVQTPPVDCNFALCVDTLKLACAYNKCRVLGVNAINSMRANQLFCALTESDPATTITPVVGGTGRCTRVPVFSAAKESANLSLCNFPQSQMDCLTRLVCEADDIICRVKCNNEQGHLSIGFSTARFVISIMKGLFESPTFIDSALVEQDDPAQCYNMRICATPVTVGRGGIVEYAVPKLNETETMLLEDAKCDLEDMTNLGSCYALGNEYSLHAAALEHHHHHH*</t>
  </si>
  <si>
    <t>ATGAAAATCTGTAAAGTTCCGCGTATTCCGCCTCAGAAGGTAACGGTGATCGGGGCTGGATCAGATGTCGGTCGGATCGCGAGCTTATTCTTAAAACAACAGAAAGTGATCAAATTACTGAGCTTGTATGACGAGGAACCAGATAATAATGTTCTGGGTGTAGCCACGGATTTGGCGCATATAGACACGTCTACCGCCGTGGAAGCATTCCAAGGCAGAGCATTTATGTGTCACGCCCTGGATGATAGTGATGTTGTGTTGATTTGTGGTGGACATCATGTAACTCCAGCTGAGTGCTGCACACCGGATCGCGAACTTTTTTTTCAAAACATGCAGCATGTGCGAACCGCGGCGATCGCGTGTGCACAGTTTTGTCCGCAGGCTGTGGTTGCGGTCCAGACGCCGCCCGTCGATTGCAATTTTGCTCTGTGTGTGGATACGCTGAAACTGGCATGCGCTTATAATAAATGTCGTGTATTAGGCGTCAATGCCATTAATAGTATGCGGGCCAATCAGCTCTTTTGTGCCCTGACCGAATCAGACCCGGCGACTACTATCACCCCAGTGGTGGGAGGTACCGGTCGCTGCACACGTGTCCCCGTATTCTCCGCTGCTAAGGAATCTGCTAATCTTTCTTTGTGTAATTTTCCGCAGAGCCAGATGGATTGCCTGACACGTCTGGTTTGTGAAGCAGACGACATAATATGTCGAGTCAAATGCAATAATGAGCAAGGGCATCTGAGCATCGGCTTTTCCACGGCCCGTTTCGTAATATCTATAATGAAAGGGCTGTTTGAGTCTCCCACCTTTATTGATAGTGCGCTGGTAGAGCAAGATGATCCGGCGCAGTGCTATAATATGCGGATTTGTGCAACTCCGGTAACTGTAGGCCGTGGGGGAATTGTGGAATACGCAGTACCAAAACTGAACGAAACAGAGACTATGTTACTTGAAGACGCAAAGTGTGACCTGGAAGACATGACCAATTTGGGTTCGTGTTATGCACTGGGGAATGAATACTCTCTGCATGCGGCCGCACTCGAGCACCACCACCACCACCACTGA</t>
  </si>
  <si>
    <t>MTQIDAFSSKSMKVAILGAASKTGNSLSLFLKQSPLIDELAIFDNKCVYGLALDLNYIDTRCKVSTCNYPETSLEHTLEGAKIVMIVADDRIKENQHEVLKSNADRLSDLLPNVIKFSPQAMVAVVMNPINSLIPLAMEMYKKAGIYEYNRLFGVINYNCLRANTFAAKFMGVEPECMIVPVIGGGCPKTCIPLFSQAKPSTELSQIEASRLTQAVRIPNEELLTSSKVKEKTFLTLSFAAARFCMSLCKALRHERNVVEYAYVRSCMIPQLTYFAAPLELGPNGIQRYLGIPPLSDYECELLKAAIPCLKEAIKLGETLALGHENISSEVAAALEHHHHHH*</t>
  </si>
  <si>
    <t>ATGACGCAGATAGATGCTTTCTCTAGCAAGTCTATGAAAGTGGCTATTCTGGGTGCCGCGTCTAAAACCGGCAACTCACTTTCTTTGTTTTTGAAACAATCCCCACTGATTGATGAGTTAGCCATATTTGACAACAAGTGCGTGTACGGTCTGGCGCTGGATCTCAACTATATAGACACGCGTTGTAAAGTATCCACGTGTAATTATCCTGAGACCAGCTTGGAACACACTTTGGAAGGTGCAAAAATTGTTATGATCGTTGCTGATGACCGTATAAAGGAAAATCAACATGAGGTGCTTAAATCAAACGCAGACCGTCTTAGCGATTTACTGCCGAATGTGATTAAGTTTTCCCCTCAAGCTATGGTTGCTGTAGTAATGAACCCTATTAATAGCCTGATTCCACTTGCAATGGAAATGTATAAAAAGGCCGGTATTTATGAGTATAATAGACTCTTTGGTGTAATTAACTATAATTGCTTGCGCGCAAACACATTTGCCGCTAAATTCATGGGCGTGGAGCCGGAATGTATGATAGTCCCCGTGATAGGGGGGGGCTGCCCAAAAACTTGTATCCCCTTGTTCTCTCAGGCGAAACCGAGTACCGAACTCTCCCAAATCGAAGCTTCGCGACTTACCCAGGCCGTCCGTATTCCTAACGAAGAACTTCTGACATCTAGCAAAGTTAAAGAAAAAACCTTTTTGACACTTAGCTTTGCAGCAGCAAGATTCTGTATGTCACTTTGCAAAGCGCTGCGTCATGAGAGAAATGTCGTTGAATATGCCTATGTTCGGTCATGCATGATTCCGCAGCTGACATACTTCGCGGCTCCCTTAGAGCTGGGTCCGAATGGCATTCAGCGTTACTTAGGCATTCCACCACTTTCCGATTATGAATGTGAGCTTTTAAAAGCTGCGATTCCTTGTCTCAAGGAAGCAATCAAATTGGGGGAGACCCTGGCTCTGGGTCACGAAAACATATCAAGCGAAGTGGCGGCCGCACTCGAGCACCACCACCACCACCACTGA</t>
  </si>
  <si>
    <t>MPQGLTTQLTTADGTAVADATIDFTEGFATVTIETVDNSNLSPGFHGVHLHQFGRCEGPDFASAGEHFQAPGSTAEPASGDLPPLLVRSDRGGKLVVTSDSFTEEELTGPEGSAIVLHQGAHLPGAMEGVDTRIACGVISPASTTATTEAAALEHHHHHH*</t>
  </si>
  <si>
    <t>ATGCCGCAGGGCCTTACGACGCAGCTGACAACCGCCGACGGAACCGCCGTGGCCGATGCCACAATAGACTTCACCGAAGGCTTTGCAACGGTTACAATAGAGACTGTCGACAACAGCAATCTTTCCCCAGGTTTCCACGGCGTGCATCTGCATCAGTTTGGTCGGTGTGAAGGCCCAGACTTTGCATCAGCTGGCGAACATTTTCAGGCCCCAGGGTCGACTGCTGAACCGGCATCAGGTGATCTCCCTCCGCTGCTGGTGAGATCAGATCGGGGAGGGAAACTGGTCGTGACCAGTGATAGCTTTACCGAAGAAGAACTGACCGGGCCCGAAGGTAGCGCAATAGTACTGCACCAGGGGGCTCATCTGCCGGGAGCAATGGAAGGTGTTGACACGCGTATTGCCTGCGGCGTTATATCCCCAGCCTCAACCACTGCCACGACAGAGGCGGCCGCACTCGAGCACCACCACCACCACCACTGA</t>
  </si>
  <si>
    <t>MTTQAVCVLKGDGSVKGVVRFEQKGKGPVSITGEIEGLTEGEHGFHVHEFGDNTRGCASAGPHFNPLSRTHGGPKDEERHVGDLGNVTANKEGKVTLALEDAVISLSGDHSIIGRTMVVHEKRDDLGRGGNDESKKTGNAGSRLACGVIGFAELHSAAALEHHHHHH*</t>
  </si>
  <si>
    <t>ATGACCACTCAAGCTGTGTGTGTGTTGAAAGGAGACGGTAGTGTGAAAGGGGTAGTACGTTTCGAGCAGAAAGGCAAAGGGCCGGTCTCAATCACAGGAGAGATCGAGGGCTTAACAGAGGGCGAACATGGATTTCATGTTCATGAGTTTGGCGACAATACCCGCGGGTGCGCCTCGGCCGGGCCTCACTTTAACCCGCTCTCCCGGACCCATGGCGGACCGAAAGACGAAGAAAGACATGTGGGCGACTTAGGAAATGTGACAGCAAATAAAGAAGGCAAGGTGACCCTGGCCCTGGAAGACGCGGTGATTAGTCTGTCCGGAGATCATAGTATAATCGGCCGTACCATGGTTGTGCATGAAAAGCGCGATGACCTCGGCCGCGGGGGTAATGACGAAAGCAAAAAAACGGGTAATGCTGGCTCTAGATTAGCATGTGGCGTCATTGGCTTCGCAGAATTGCACTCCGCGGCCGCACTCGAGCACCACCACCACCACCACTGA</t>
  </si>
  <si>
    <t>MWSFRKIEKEPTKVLVTGAAGMLAQYDILLAFPGQIGYAILPMIARGVMLGPDQPVTLHLFDNIKQADEALNGIKMELIDAAFPLLKGVIATTDIVEACKDVNIAVMLGGFPRKEGMERTDMMSKNVSMYMAQALALGKHAAADCKVLVFAKPSNTNALILKEFAPSISEKNITCLTRLDHNRALSQIAKRLKVHASDVKNIIIWGNHSSTHYPDVNHATFTTKDGERLVREHVADDHWLKTEFIKTVQHRGLAIIKARKASSALSAASAACDHIRDWVFGTPKGTWVSMGVCSDGSYGIEPGLIYSFPVRCENGKWSIVQGLKIDEFSRAKMDATAKELIEEASFAKSCAAALEHHHHHH*</t>
  </si>
  <si>
    <t>ATGTGGAGCTTTCGCAAAATCGAAAAGGAACCGACGAAAGTTCTGGTTACTGGTGCTGCAGGGATGTTAGCACAGTATGACATATTACTGGCGTTTCCGGGACAGATTGGGTACGCAATCCTCCCAATGATAGCACGCGGGGTAATGCTGGGGCCAGACCAACCTGTCACCCTGCATCTCTTCGATAACATCAAACAGGCTGATGAGGCACTGAATGGTATTAAAATGGAATTGATTGATGCTGCTTTTCCGCTTCTGAAAGGGGTAATCGCCACAACTGACATTGTCGAGGCCTGTAAGGACGTTAATATTGCCGTAATGCTGGGGGGTTTTCCTCGTAAAGAGGGAATGGAACGCACTGATATGATGTCCAAGAACGTCAGCATGTACATGGCTCAAGCTTTGGCACTGGGTAAACACGCTGCAGCGGATTGTAAGGTTCTCGTTTTCGCAAAACCGTCTAATACAAACGCGCTTATACTGAAAGAGTTCGCCCCTTCAATTTCCGAGAAGAATATTACATGCCTCACACGTTTAGACCACAATCGGGCACTCTCCCAAATTGCTAAACGTCTGAAGGTTCACGCTTCCGATGTTAAAAATATTATAATTTGGGGAAACCATAGCAGCACTCACTATCCTGATGTTAATCATGCCACCTTCACAACTAAAGACGGGGAAAGATTAGTGCGCGAACACGTTGCAGACGACCATTGGCTGAAAACAGAATTCATCAAAACGGTGCAGCATCGTGGTTTAGCCATCATAAAAGCCCGGAAAGCGTCTAGTGCGTTGTCTGCGGCTAGTGCCGCGTGTGACCATATACGAGACTGGGTATTTGGTACGCCAAAAGGTACCTGGGTATCGATGGGTGTATGTAGTGATGGCAGCTATGGCATCGAGCCAGGCCTGATCTATTCATTTCCAGTGCGATGCGAGAATGGTAAGTGGTCAATCGTTCAGGGCCTGAAAATTGATGAATTTTCGCGGGCAAAAATGGATGCGACGGCAAAAGAATTAATTGAGGAGGCGTCCTTTGCGAAGAGTTGTGCGGCCGCACTCGAGCACCACCACCACCACCACTGA</t>
  </si>
  <si>
    <t>MNEHREVEVNRVNPEGVGESLGTVTLEDTDHGLLLTPDLSGLSPGIHGFHVHENAGCGPEGESAGAEAGGHYDPDETGRHEGPYGDGHLGDLPVLVVDEDGEARLPVLAPRLGLEDLQGRSLMIHEAGDNYADEPKPLGGGGARVACGMIASAAALEHHHHHH*</t>
  </si>
  <si>
    <t>ATGAATGAACATCGTGAGGTGGAGGTTAATCGTGTTAACCCGGAAGGTGTGGGGGAGTCGTTAGGCACCGTTACACTGGAGGATACTGACCACGGTTTACTTTTAACTCCTGATTTATCAGGCTTAAGTCCCGGGATTCATGGGTTTCATGTCCATGAAAACGCCGGTTGCGGCCCCGAGGGTGAAAGCGCTGGCGCTGAAGCGGGTGGTCATTACGATCCGGATGAAACTGGCCGTCATGAAGGACCATATGGCGACGGCCATTTGGGAGATCTTCCGGTTCTCGTAGTCGACGAAGATGGTGAAGCCCGTCTTCCCGTCCTTGCGCCGCGACTTGGTTTAGAAGACCTGCAAGGTCGTAGTCTGATGATCCACGAAGCCGGTGACAATTACGCGGACGAACCTAAACCCCTGGGAGGTGGCGGCGCACGAGTAGCTTGCGGCATGATAGCAAGCGCGGCCGCACTCGAGCACCACCACCACCACCACTGA</t>
  </si>
  <si>
    <t>MSKKPIRVAVTGAAGQIGYSLLFRIASGSMFGPDQPVALNLIEIEPAMGALEGVMMELDDCAFPLLADVRGSCDLNEGFKDVNWALLVGSVPRKAGMERGDLLNINGKIFTGQGQAIEKNAASDVRTVVVGNPCNTNCLIAMNNAKSIPQDRWFAMTRLDENRAITQLASKAGVHSTEVTNMTIWGNHSATQYPDFYNAKIGGKPAAEVINDEGWLKDTFIPVVQQRGAAIIKARGSSSAASAANAVVDTVRSLTTPTAPGNWNSVAVCSKGEYDTKPGLITSLPIVSDGTNWSVAENVPVNEFSRAKIDASVDELATEHDLVKGLAAALEHHHHHH*</t>
  </si>
  <si>
    <t>ATGAGCAAAAAGCCTATACGGGTGGCGGTTACCGGCGCCGCCGGGCAGATCGGTTACTCCTTGTTATTCCGTATAGCGTCAGGCAGCATGTTCGGACCGGATCAGCCTGTTGCACTGAATCTGATTGAAATTGAGCCAGCGATGGGAGCGCTCGAAGGAGTTATGATGGAACTCGATGACTGCGCTTTCCCACTTCTCGCAGACGTTCGCGGAAGCTGCGATTTAAATGAGGGTTTCAAAGACGTCAACTGGGCACTGTTGGTAGGTTCGGTACCGCGAAAAGCCGGTATGGAACGGGGGGATCTCCTGAATATAAATGGAAAAATTTTTACCGGGCAGGGTCAGGCAATAGAGAAAAATGCCGCGTCTGATGTTCGCACTGTTGTAGTGGGGAATCCATGCAATACCAACTGTCTGATAGCGATGAACAACGCCAAATCCATTCCTCAGGATCGCTGGTTTGCAATGACACGGCTGGATGAGAACCGCGCTATTACGCAGTTGGCTTCAAAAGCGGGCGTTCACAGCACCGAGGTGACAAATATGACCATATGGGGGAATCATAGTGCTACCCAGTACCCGGATTTTTACAACGCAAAAATTGGAGGGAAGCCGGCAGCAGAAGTAATCAATGATGAGGGCTGGTTGAAAGATACCTTTATACCGGTCGTACAGCAGAGAGGAGCGGCCATAATTAAAGCGAGAGGGTCAAGTTCAGCTGCCTCAGCTGCCAACGCTGTAGTTGACACTGTCCGCAGCCTGACTACGCCGACTGCACCAGGCAATTGGAATTCCGTAGCAGTATGTAGCAAAGGAGAATACGATACCAAGCCAGGCCTCATCACGTCTCTCCCGATTGTTTCAGATGGGACGAACTGGTCGGTTGCAGAAAACGTTCCAGTAAACGAATTTTCACGTGCCAAAATAGACGCGTCAGTGGATGAGCTCGCCACCGAGCATGATCTGGTTAAAGGCCTTGCGGCCGCACTCGAGCACCACCACCACCACCACTGA</t>
  </si>
  <si>
    <t>MVIKGSKKYPDIKGRAAFYDTYGGTVVVATVYGLPQKRGENNGGFHGFHIHEGGTCSGNVQNEFADAKGHYNPGVFPHPEHDGDLPPLLSNNGTAWMAVYTSRFYPEDVIGRTVIIHENADDFHSQPSGDAGEMIACGEIVSWSPDFCRRAAALEHHHHHH*</t>
  </si>
  <si>
    <t>ATGGTTATCAAAGGTTCTAAAAAGTACCCTGATATTAAGGGTCGCGCTGCATTTTATGATACGTATGGAGGAACCGTAGTAGTTGCTACCGTTTACGGCCTGCCTCAGAAGCGCGGCGAAAACAACGGAGGATTCCATGGGTTTCATATACATGAAGGGGGGACGTGTTCAGGCAATGTACAGAATGAATTTGCCGATGCGAAAGGTCATTACAACCCCGGCGTCTTTCCACATCCGGAGCATGATGGAGATCTGCCACCTCTTCTGTCGAATAACGGTACAGCTTGGATGGCGGTATATACCTCCAGATTCTATCCAGAAGATGTGATTGGAAGAACTGTCATAATTCACGAAAATGCGGATGACTTTCACTCCCAGCCTTCAGGAGACGCAGGTGAGATGATTGCATGTGGTGAAATAGTTTCCTGGTCACCGGATTTTTGCCGACGTGCGGCCGCACTCGAGCACCACCACCACCACCACTGA</t>
  </si>
  <si>
    <t>MKKPVTVAITGAAGQIGYQLCFRIAAGDMLGPDQPVVLKLLEITPALDTLNGVVMELRDCAFPLLDDVVASDDANVAFKDADYALLVGARPRGPGMERSDLLTANGKIFGPQGRALNDHASRDVKVLVVGNPANTNALIAQASAPDLDPANFTAMTRLDHNRALAQLAGKTGTHHRDIQRMIIWGNHSSTQYPDIRFARAGGSELAGGVNTDWYRETFIPTVQQRGAAIIKARGASSAASAASAAIDHMRSWAYGTPDGDWVSMAVPADGSYGIEPGVIYSFPCTCADGRYEIVQGLEVDEFSRGRMDATDRELREERDAVADLIAAALEHHHHHH*</t>
  </si>
  <si>
    <t>ATGAAAAAGCCGGTCACGGTCGCGATTACGGGTGCCGCGGGGCAGATAGGTTATCAACTTTGCTTTAGAATTGCGGCCGGCGATATGTTAGGTCCAGACCAGCCCGTTGTGCTGAAATTACTGGAAATTACCCCTGCTTTGGATACTCTCAACGGTGTTGTAATGGAACTGCGGGATTGTGCGTTTCCGCTGCTCGATGACGTCGTGGCGTCAGATGATGCGAATGTTGCGTTTAAAGATGCGGATTATGCTCTGCTGGTCGGAGCCCGGCCGCGCGGTCCCGGTATGGAAAGATCTGATCTGCTCACGGCTAATGGGAAAATTTTTGGACCCCAGGGGCGCGCACTGAATGACCATGCATCGCGTGATGTGAAAGTTCTCGTGGTTGGCAATCCGGCTAATACGAATGCTTTGATCGCCCAGGCTAGTGCGCCAGATCTGGACCCTGCTAATTTCACTGCCATGACACGCTTAGATCATAACCGGGCACTGGCGCAGTTAGCGGGAAAGACCGGAACTCATCACCGAGATATTCAGCGCATGATAATTTGGGGTAACCATAGTAGTACGCAATATCCAGACATTCGCTTTGCTCGTGCTGGTGGCAGTGAACTCGCCGGGGGGGTGAATACCGATTGGTATCGGGAAACTTTTATACCGACGGTTCAACAGAGAGGTGCAGCCATCATAAAAGCACGCGGTGCGAGCTCAGCAGCGTCCGCGGCTTCGGCTGCAATTGATCACATGCGTAGTTGGGCCTACGGAACCCCTGATGGAGACTGGGTGTCAATGGCGGTTCCGGCCGACGGCAGTTACGGCATTGAGCCTGGCGTTATATACTCGTTTCCTTGTACCTGCGCCGATGGTCGTTATGAGATAGTACAGGGGCTGGAAGTTGACGAGTTCAGTCGCGGTCGAATGGATGCGACCGATCGCGAGCTGCGAGAAGAACGTGACGCGGTTGCTGATTTAATAGCGGCCGCACTCGAGCACCACCACCACCACCACTGA</t>
  </si>
  <si>
    <t>MQRSEAHGDRHVRGLARIVQVSSGRSLVDLIVHGVVPGRYHATIREYGDLKDGAKSTGAVWSGGEKDAKGILGTVDVGEDGRGSAFFDRPFQIWEIIGHAMVLTKQDETTGPLVNDDNTVVGVIARSAGVWDNDKTVCAAALEHHHHHH*</t>
  </si>
  <si>
    <t>ATGCAGCGCTCTGAAGCTCACGGCGATCGCCATGTGCGTGGCCTGGCACGCATCGTACAAGTATCGAGCGGTCGAAGCCTGGTCGATTTAATCGTTCATGGTGTTGTGCCTGGTCGTTACCATGCAACCATCCGTGAATATGGCGACCTGAAAGATGGCGCAAAGTCTACCGGAGCCGTGTGGTCTGGTGGTGAAAAAGACGCCAAAGGGATTCTGGGCACAGTAGACGTGGGGGAAGACGGACGGGGTTCCGCCTTTTTTGACAGACCGTTTCAGATATGGGAGATTATAGGCCATGCCATGGTGTTGACTAAACAGGACGAAACAACGGGGCCACTGGTTAACGATGATAATACAGTTGTGGGCGTGATCGCTCGCAGCGCTGGTGTCTGGGACAATGATAAGACCGTCTGCGCGGCCGCACTCGAGCACCACCACCACCACCACTGA</t>
  </si>
  <si>
    <t>MNTEKTTVTMRLLQKTGGGEKIGTIKAEDTQYGTLFTPDLSDLPPGLHGFHVHQNATCGAAQKNGQTVPGLAAGGHYAPNGAANHAGPYGSGHLGDLPTLYVDTQGKSNQPVLAPRLKVSDLHGRSLMIHSGGDNYADEPHKLGGGGSRLACGVVEAAALEHHHHHH*</t>
  </si>
  <si>
    <t>ATGAACACGGAGAAAACGACCGTCACTATGCGCCTGCTTCAGAAAACTGGAGGCGGTGAAAAAATTGGGACGATTAAAGCAGAGGATACGCAGTATGGCACCTTATTTACTCCAGATCTTAGCGATTTACCCCCAGGTCTTCATGGATTCCACGTTCATCAGAACGCCACCTGTGGTGCAGCCCAGAAAAATGGTCAAACCGTTCCGGGGCTGGCAGCGGGAGGGCATTACGCCCCGAATGGTGCAGCAAATCATGCAGGCCCGTATGGCTCGGGCCATCTCGGCGATCTGCCGACCCTTTATGTTGACACCCAGGGAAAGTCGAATCAGCCTGTTTTAGCACCTCGATTGAAAGTATCCGATTTACACGGTCGCTCCCTTATGATTCACAGTGGCGGGGATAATTATGCCGACGAACCACATAAACTCGGCGGTGGAGGTTCCCGTCTGGCATGTGGGGTTGTCGAAGCGGCCGCACTCGAGCACCACCACCACCACCACTGA</t>
  </si>
  <si>
    <t>MKKIAIVGAGRVGESTAQFLAKTDLAREIVLIDIREGAAEGAALDIQETAPLFGFDTRVTGSTDPAALAGSDLVIITAGLPRKPGMSRSDVLETNVAILDEIVDDIVKHAPDSMMLVVSNPVDVLTYRAWQRTGWPRSRVFGQAGVLDSSRMASFVAMETGLSVKDIHAMVLGGHGDSMVPMMRYTTINGIPVSHFLDQETIDRIVERTRHGGAEILALKQNSSAYDAPAAAIAAMVDAIVHDRRRILPTVAILDGEYGHSDIAMGVPCILGENGMERVIELELNDEERAMFDQSVAAVRKDLERLKTLAAALEHHHHHH*</t>
  </si>
  <si>
    <t>ATGAAGAAGATCGCAATTGTCGGTGCAGGGCGAGTTGGTGAATCAACCGCCCAGTTCCTGGCTAAGACCGACCTCGCCCGTGAAATAGTCCTGATCGATATCCGTGAGGGTGCGGCGGAGGGAGCAGCTCTGGACATCCAAGAAACGGCGCCGCTGTTCGGTTTCGATACACGTGTGACAGGAAGTACCGACCCCGCAGCGCTTGCCGGATCCGATCTTGTTATAATTACAGCTGGTCTGCCTCGTAAACCGGGCATGTCCCGTAGTGATGTGTTGGAGACTAATGTTGCGATTCTTGATGAGATCGTTGATGACATTGTTAAACATGCACCCGATTCGATGATGCTGGTCGTATCTAATCCAGTGGATGTTCTGACATATCGGGCATGGCAGCGCACCGGTTGGCCACGCTCTCGTGTATTTGGCCAGGCTGGCGTTCTGGACAGTAGCCGGATGGCGTCTTTTGTGGCAATGGAAACCGGATTGAGCGTTAAAGATATCCACGCAATGGTCTTAGGTGGCCATGGCGATTCTATGGTTCCGATGATGCGGTATACTACCATAAACGGGATTCCAGTTTCTCACTTCCTCGATCAGGAAACGATAGATAGAATTGTCGAACGGACCCGCCACGGCGGCGCCGAAATCCTCGCACTCAAACAGAACTCTAGTGCGTACGATGCCCCTGCGGCAGCGATCGCGGCGATGGTTGATGCAATCGTGCATGATCGCAGACGTATTCTTCCGACAGTGGCCATCTTAGACGGTGAGTATGGCCACTCTGATATCGCAATGGGAGTACCTTGCATTCTGGGAGAAAACGGTATGGAACGCGTTATAGAATTAGAACTGAATGATGAGGAGCGCGCCATGTTTGATCAGTCCGTCGCTGCGGTACGTAAGGATCTGGAACGTCTGAAAACCTTGGCGGCCGCACTCGAGCACCACCACCACCACCACTGA</t>
  </si>
  <si>
    <t>MATTTPVRVAVTGAAGQIGYSILFRIASGQMLGPDQPVILQLLEITPALGALDGVRMELDDCAFPLLAEVVQTDDANVAFGDADVALLIGAMPRKAGMERADLLAANGGIFKPQGKALSRSAKKNVKVLVVGNPANTNALIAMNNAPDIDPKQFTAMTRLDHNRAVAQLAQKLGKPVTAIKKMTIWGNHSATQYPDLFNCEVDGRNAAALVNDQAWLENTFIPTVAKRGAAIIEARGASSAASAANAAIDHIRNWAQGTPEGDWVSMAVPSDGSYGVPEGLISSFPCTCANGEYSIVQGLPINDFSRKKIDASVAELVEERDAVRELGLIAAALEHHHHHH*</t>
  </si>
  <si>
    <t>ATGGCTACGACTACGCCCGTCCGCGTGGCTGTGACGGGGGCTGCAGGACAAATAGGTTATAGCATTCTGTTTCGAATTGCTTCAGGCCAAATGCTTGGTCCGGATCAGCCTGTGATCTTGCAGCTTTTAGAGATCACACCAGCGCTGGGAGCGCTTGACGGAGTACGCATGGAGTTAGACGACTGTGCTTTCCCTCTCCTGGCCGAAGTTGTCCAAACAGATGATGCCAATGTAGCTTTCGGTGACGCCGATGTGGCGCTGCTGATCGGAGCAATGCCGCGGAAAGCGGGTATGGAACGCGCTGACCTGCTGGCTGCAAATGGCGGTATTTTTAAACCTCAGGGGAAGGCCCTGAGCCGTTCAGCAAAAAAAAATGTAAAAGTACTTGTAGTTGGCAATCCGGCCAATACCAATGCGCTGATCGCTATGAACAATGCTCCGGACATCGACCCTAAACAATTTACAGCAATGACGCGTCTTGATCATAACCGAGCTGTCGCTCAGCTGGCGCAAAAACTGGGCAAACCAGTAACTGCCATTAAGAAAATGACCATATGGGGGAACCACTCTGCCACCCAGTATCCTGATCTGTTTAACTGTGAAGTTGACGGGCGCAATGCCGCTGCCCTGGTCAATGATCAGGCCTGGCTGGAAAACACGTTTATTCCCACGGTAGCCAAACGTGGCGCTGCGATCATTGAGGCCCGAGGGGCGAGTTCTGCAGCTTCCGCAGCTAACGCAGCTATTGATCATATTCGGAATTGGGCCCAGGGCACACCCGAAGGCGACTGGGTTTCAATGGCTGTTCCTTCTGACGGTTCATATGGCGTTCCGGAAGGTCTCATCTCGTCATTTCCGTGCACGTGTGCAAATGGGGAATATAGTATTGTCCAAGGCCTGCCTATCAATGATTTCAGTAGAAAAAAGATTGATGCCAGCGTGGCAGAGCTGGTCGAGGAACGTGATGCGGTTCGTGAACTGGGACTGATTGCGGCCGCACTCGAGCACCACCACCACCACCACTGA</t>
  </si>
  <si>
    <t>MSSINNSNKPVKIAVTGAAGQIGYSILFRILSGEMLGKNNKISLQLIEIPNEKSQKSLSGVMMEIEDCAFPLLSGMSAHNDPMTGFKDADIAILIGASPRGPGMERKDLLEANASIFKIQGKALNEVANRNVKVLVVGNPANTNAYIAMKSAPDLSKENFTAMMRLDHNRALAQLSNKINCSVADIKKLCVWGNHSPTMYADTRFATVAGAPLNHLINDDSWIKEDFLPTVGKRGSAIIQARGLSSAASAANAAVDHMRDWISGTDGDWVTMGVPSKGEYGIPEDLIFGMPVTCANGKYEIVKDLEINDFAKAKFKTTLNELLEEQNNIMSLLSAAALEHHHHHH*</t>
  </si>
  <si>
    <t>ATGTCATCAATAAATAACTCAAATAAGCCGGTGAAAATCGCGGTGACGGGTGCGGCAGGCCAAATTGGCTATAGCATTCTGTTTCGGATCCTCTCAGGGGAGATGTTGGGAAAAAACAACAAAATTTCTCTGCAATTAATAGAAATACCGAACGAGAAGTCACAGAAGAGCCTTTCGGGCGTGATGATGGAGATTGAAGATTGCGCGTTCCCATTGTTGTCGGGTATGAGTGCTCACAACGACCCGATGACAGGCTTTAAAGATGCAGATATAGCCATTCTGATTGGCGCTTCACCTCGTGGTCCGGGTATGGAACGCAAAGACCTGTTAGAGGCAAACGCCTCCATTTTTAAGATTCAAGGTAAAGCACTTAATGAGGTGGCTAATCGTAATGTAAAAGTCTTAGTGGTTGGTAACCCGGCTAACACCAATGCGTACATTGCCATGAAGTCAGCGCCTGACTTGTCTAAAGAAAATTTCACTGCCATGATGAGACTGGACCATAACCGGGCGTTAGCCCAATTGTCCAACAAAATCAATTGTAGCGTTGCCGACATCAAAAAACTGTGCGTCTGGGGTAACCACTCTCCAACCATGTATGCTGACACACGCTTTGCGACAGTTGCCGGTGCACCGTTGAACCATTTAATTAATGATGATTCCTGGATAAAAGAGGATTTTCTCCCTACAGTGGGTAAGCGCGGAAGCGCCATTATACAGGCACGCGGTCTGTCCTCAGCGGCATCTGCCGCGAATGCCGCAGTGGATCATATGCGGGATTGGATCTCGGGGACCGATGGAGATTGGGTAACTATGGGTGTCCCTTCCAAGGGGGAGTACGGCATCCCCGAGGATTTAATTTTCGGCATGCCTGTGACATGCGCGAATGGGAAATATGAAATTGTGAAAGATTTGGAGATCAATGACTTTGCTAAAGCCAAATTTAAGACAACTCTGAATGAACTGTTAGAGGAACAGAACAATATTATGAGCCTGCTTAGTGCGGCCGCACTCGAGCACCACCACCACCACCACTGA</t>
  </si>
  <si>
    <t>MSSRVKVVVTGAAGQIAYSLIPRLVDGRTFGDKIVDLCLVEIPQVVNKLEGLVMELEDSYFPHMGEVTYTDNFEEASKDADWFLLVGSIPRGIVYDGKKIEERSDLLKINGGIFVDQGKAIGKYGKDDAKILVVGNPANTNALIGKNAANNESQLWMAMTMLDSSRAKSVIAKKTGTNISDIKNMIIWGNHSPTMYPDFDNAKINGKSASSLIDDNEWIENDFLPTVQQRGKAVIDARGASSATSAANAAIDTVKACENPTPKGDCFSAAVVSDGSYDVPEGLIFGFPLRTNDGKVEIVQDLVLSDFAKEKIQITTDELLSEREAVKDLLTAAALEHHHHHH*</t>
  </si>
  <si>
    <t>ATGTCGTCACGTGTGAAAGTAGTGGTAACAGGCGCTGCCGGTCAGATTGCATACTCTCTTATTCCTCGTTTAGTTGATGGGCGCACATTTGGTGACAAGATCGTTGATTTATGCCTCGTGGAAATTCCGCAGGTCGTAAATAAGCTCGAAGGCCTGGTCATGGAGCTGGAAGATTCTTACTTCCCACACATGGGTGAAGTCACTTACACGGACAATTTCGAGGAAGCCTCAAAAGATGCGGATTGGTTTCTGTTGGTTGGATCAATACCGCGCGGAATTGTTTATGATGGCAAGAAAATTGAGGAACGCAGTGATCTGCTGAAAATTAATGGCGGAATATTTGTAGATCAAGGTAAAGCTATTGGGAAGTATGGTAAAGACGATGCCAAAATATTAGTGGTCGGAAATCCTGCAAACACTAACGCTCTGATCGGTAAAAACGCAGCAAATAACGAGTCCCAGCTGTGGATGGCAATGACCATGCTGGATAGCTCCCGTGCGAAAAGTGTAATTGCCAAGAAAACGGGGACCAACATTTCTGACATTAAGAATATGATCATCTGGGGCAACCATTCACCGACGATGTATCCTGATTTTGACAACGCGAAAATTAACGGTAAATCAGCAAGCTCGCTGATTGATGACAACGAATGGATTGAAAATGATTTCTTACCAACTGTTCAGCAACGCGGCAAGGCCGTAATTGATGCACGGGGAGCCAGTTCCGCTACAAGTGCGGCAAACGCCGCAATTGATACTGTTAAAGCATGTGAGAATCCAACTCCGAAAGGCGATTGCTTTTCTGCAGCTGTAGTCTCAGACGGTTCTTATGACGTGCCGGAAGGCCTTATCTTCGGTTTTCCTCTGCGGACAAACGATGGTAAAGTGGAAATCGTTCAGGACCTGGTTCTTTCCGATTTTGCGAAAGAAAAAATCCAGATTACCACAGATGAGCTGCTGTCGGAACGGGAAGCAGTTAAGGACCTGTTAACAGCGGCCGCACTCGAGCACCACCACCACCACCACTGA</t>
  </si>
  <si>
    <t>MTAPIRVAVTGAAGQIGYALIFRIASGQVFGPDQPVILHLIEVPPVLSALDGVQMELDDCAFPTLAGVVKFDSDHLEDGFADCNWVLCVGSVPRKQGMERSDLIRINGPIFTSTGKAIQAAAAKDVRVLVVGNPCNTNCLIAMNNAPDIPRDRWYAMTMLDQNRAASQLAQKAGQPVAAVKNVAIWGNHSATQYPDFYHAKINGQPATEVITDEAWLQGEFISTVQQRGAAVIKARGASSAASAANAALDTVKSIVTPTAAGDCFSAAVCSDGSYGVDEGLISGFPLTSDGKNWKIVQGIEHNEFAREKIDATVNELKSERDTVKDLLPGAAALEHHHHHH*</t>
  </si>
  <si>
    <t>ATGACGGCGCCTATTCGTGTCGCCGTTACCGGAGCCGCAGGCCAGATCGGTTACGCTCTGATTTTCAGAATTGCGTCTGGCCAGGTATTTGGTCCGGACCAACCTGTCATTCTTCACCTTATAGAAGTACCCCCGGTTCTGAGCGCTTTAGACGGCGTGCAGATGGAGCTGGATGACTGTGCATTCCCTACACTGGCCGGGGTTGTAAAGTTCGATTCTGATCACCTGGAAGACGGATTTGCGGATTGTAACTGGGTTCTGTGCGTCGGCTCAGTTCCCCGCAAACAAGGGATGGAACGCTCAGATTTAATTCGCATAAATGGTCCGATTTTTACCTCGACAGGTAAGGCAATACAGGCTGCCGCTGCCAAAGATGTGAGAGTCCTCGTCGTTGGGAACCCTTGTAATACTAACTGTCTGATCGCGATGAATAATGCCCCTGATATTCCGCGCGATCGGTGGTATGCCATGACTATGTTAGATCAGAACCGTGCTGCCTCCCAATTAGCCCAGAAGGCTGGGCAACCGGTCGCTGCGGTAAAGAATGTTGCAATCTGGGGTAATCATTCTGCTACGCAATATCCGGATTTTTATCATGCAAAAATTAATGGACAGCCAGCCACCGAAGTTATAACCGATGAAGCTTGGCTTCAAGGTGAGTTTATTAGTACCGTACAGCAGCGTGGGGCGGCAGTAATAAAGGCCAGAGGCGCGTCCAGCGCTGCTTCAGCCGCTAATGCAGCACTGGACACAGTTAAATCAATCGTGACTCCAACGGCTGCCGGCGACTGTTTTTCTGCCGCGGTGTGTAGCGACGGCTCCTATGGAGTGGACGAAGGCCTGATTAGCGGATTTCCACTCACCTCTGATGGCAAAAATTGGAAGATCGTTCAAGGCATTGAACATAATGAATTTGCAAGAGAAAAAATTGACGCTACCGTGAACGAGTTGAAATCAGAAAGAGATACAGTTAAAGATCTCCTCCCAGGTGCGGCCGCACTCGAGCACCACCACCACCACCACTGA</t>
  </si>
  <si>
    <t>MISIIGAGRVGSVSAFNILRMRIADVTLVDVQDGLAQGEALDLIQSSPAIEFDGKIKGSTNIADIEGSDLVIVTAGVPRKPGMSRLELLERNAGIVSGLIDEIARYAPGCKIMMVTNPVDVMTYIAYVKSGFERNRVFGMGGILDTLRYRSYIALELNVSREDIRGLVIGEHGDHMIPLVDYTTVSGIPIRRLLDEETIDRIVEKTRSSGSDVINLKGGTVYAPAAVIAVMAEAVLRGRNRVMAVSVVPDGEYGLRDLAIGLPVVLGKNGVEKIIELPLDDATRKRLAESAKTIKEAIEKLGLVPAAAALEHHHHHH*</t>
  </si>
  <si>
    <t>ATGATTAGTATCATTGGTGCCGGACGGGTAGGTAGCGTGAGTGCATTCAACATTCTGCGCATGAGAATTGCCGACGTGACCCTGGTGGATGTCCAAGATGGTCTGGCCCAAGGTGAAGCGCTGGATCTGATCCAATCAAGTCCTGCAATCGAATTTGATGGAAAAATTAAGGGATCAACAAACATCGCGGACATCGAGGGTAGCGACTTGGTGATCGTGACAGCCGGGGTTCCTCGTAAACCGGGAATGTCCCGCTTAGAGTTACTGGAACGGAATGCGGGAATTGTATCAGGCCTCATTGACGAAATAGCACGTTATGCACCTGGCTGCAAGATTATGATGGTCACAAATCCCGTGGATGTCATGACATATATTGCGTACGTGAAATCCGGGTTTGAAAGAAACCGCGTTTTTGGAATGGGTGGCATACTTGACACCTTACGTTATAGATCCTATATCGCGTTGGAGCTGAACGTATCCCGTGAGGATATACGCGGCCTTGTGATAGGTGAACACGGCGATCATATGATCCCACTTGTTGATTACACCACGGTATCGGGGATTCCAATCCGACGGTTGTTGGATGAGGAAACGATCGATCGTATAGTCGAAAAAACACGGAGCTCTGGTTCTGATGTGATTAATTTGAAGGGTGGAACCGTGTATGCTCCTGCAGCAGTGATTGCAGTCATGGCAGAAGCTGTTCTCCGGGGGCGCAACAGAGTCATGGCAGTGAGCGTGGTGCCTGACGGTGAGTATGGTTTACGGGATCTGGCGATCGGCCTGCCCGTGGTGCTTGGCAAAAATGGAGTAGAAAAAATAATAGAACTGCCGCTGGACGATGCGACACGAAAACGGCTTGCCGAGTCCGCGAAAACGATTAAGGAGGCAATTGAAAAGCTGGGGCTGGTTCCGGCGGCGGCCGCACTCGAGCACCACCACCACCACCACTGA</t>
  </si>
  <si>
    <t>MITIIGSGRVGASTAAYLALKELDDIVLIDIVEGLPQGEALDLNHMASILGLNVNIKGSNDYEDMKGSDIVIVTAGFPRKPGMTREELLEKNAEIVSDIADKIKKYAPDSIVILTTNPLDAMTYVMYKKLGFPRNRVIGFSGVLDAGRLRYYAAKKLGISPDSILAVVLGQHGENMFPVPRLSTVYGKPLTELLSEEQIEEIVKKTIQAGAEVTKLRGFSNVHAPAAGLALMAEAIKKDQKRVFLASVYLDGEYGVKDVVAEVPVVLGKNGVEKIIEVPLNDEEKKGFMKSVEAIKKNINSLPQQFLAAALEHHHHHH*</t>
  </si>
  <si>
    <t>ATGATCACCATTATTGGCAGTGGGCGTGTAGGCGCGTCCACCGCAGCTTACCTGGCACTTAAAGAGCTGGATGATATTGTGCTTATAGACATTGTTGAAGGCTTACCACAGGGGGAAGCTCTTGACCTGAACCATATGGCGAGCATCTTGGGTTTGAACGTTAACATTAAAGGAAGCAATGATTACGAAGACATGAAAGGCTCCGATATAGTTATAGTGACCGCAGGTTTCCCTAGAAAACCAGGTATGACCCGTGAAGAGCTGTTGGAGAAAAACGCGGAAATAGTTTCTGATATTGCAGATAAAATTAAGAAGTACGCGCCGGATAGCATTGTAATACTTACTACCAACCCGCTGGATGCGATGACTTATGTCATGTACAAAAAATTAGGGTTTCCGCGCAATCGGGTTATTGGCTTTTCTGGTGTTTTAGATGCTGGCCGCTTACGTTACTACGCTGCGAAAAAACTGGGTATAAGCCCCGACTCCATTTTGGCAGTGGTACTGGGCCAGCATGGCGAGAATATGTTCCCAGTTCCGCGGCTGAGCACGGTGTATGGCAAACCACTTACCGAGTTGCTCTCTGAAGAACAAATTGAGGAAATAGTGAAAAAGACTATTCAGGCAGGTGCGGAAGTTACAAAACTGAGAGGATTTTCAAATGTGCATGCCCCCGCCGCGGGCTTGGCGCTTATGGCGGAAGCGATAAAAAAGGACCAAAAACGCGTCTTTTTGGCATCAGTTTATCTGGATGGTGAATACGGCGTGAAAGATGTTGTTGCCGAAGTTCCCGTGGTTTTGGGCAAAAACGGCGTTGAAAAGATCATCGAAGTTCCGCTGAATGATGAGGAGAAAAAAGGCTTTATGAAGTCAGTCGAAGCAATCAAAAAAAACATCAACAGCTTACCGCAACAATTCTTAGCGGCCGCACTCGAGCACCACCACCACCACCACTGA</t>
  </si>
  <si>
    <t>MMKGKKVGIVGAGNVGSTVAYSLAMQGLCHEIILKDNNEDIAKGKALDMSQAASAARSHTVVKVANNSEDIKDCDVVVITAGSPRLPGMSRDDLLLTNAKIMKEVIEEIKKYSPDAIIIVVSNPLDAMVYVALKESGFPRNRVIGMAGILDSARMAHFIHEKLGYGAGQIRASVMGGHGDDMVPLPRYSTVAGVPLTDLLTQEEIEEIVERTRNGGAEIVGLLKTGSAYYAPAKATAIMVEAILKDTKQIYPCSVLLEGEYGYNDVVSGVPVMLGANGVEKIIELELNDEEKEAFEKSVASVKELIDTLNNNNFFGENKAAALEHHHHHH*</t>
  </si>
  <si>
    <t>ATGATGAAAGGTAAAAAAGTGGGTATTGTCGGAGCGGGAAATGTTGGCTCTACCGTGGCCTATTCTCTCGCTATGCAGGGGTTATGTCATGAGATTATCCTCAAAGATAACAATGAAGATATCGCCAAGGGCAAAGCTCTGGACATGAGCCAAGCGGCTAGTGCGGCCCGTAGTCATACCGTTGTCAAAGTTGCTAATAATAGTGAAGACATAAAAGATTGCGACGTGGTGGTAATAACCGCAGGGTCTCCACGCCTGCCTGGCATGTCGAGAGATGACCTGTTACTGACAAATGCAAAAATTATGAAAGAGGTAATTGAGGAAATAAAAAAATATTCACCGGATGCGATCATTATTGTAGTATCAAATCCACTGGACGCAATGGTTTATGTGGCACTGAAAGAATCAGGCTTCCCGCGCAATCGCGTTATCGGCATGGCAGGTATTCTGGATAGTGCCCGTATGGCCCACTTCATTCATGAAAAACTCGGGTATGGGGCCGGTCAGATTCGCGCTAGCGTAATGGGTGGCCATGGCGACGATATGGTCCCGTTGCCGCGTTATTCAACCGTTGCAGGTGTGCCACTGACAGACCTGCTTACCCAAGAAGAAATCGAAGAAATTGTTGAGCGTACAAGAAATGGCGGTGCCGAGATTGTAGGGCTGTTGAAAACCGGAAGCGCTTATTATGCACCGGCGAAAGCTACAGCAATCATGGTGGAAGCTATTCTTAAAGACACAAAGCAGATATATCCGTGCAGTGTGTTACTTGAGGGTGAATATGGCTACAATGACGTGGTGTCCGGCGTGCCTGTGATGCTCGGTGCAAATGGAGTCGAAAAGATAATCGAACTGGAGCTTAATGATGAAGAAAAGGAAGCCTTTGAGAAATCTGTTGCAAGCGTTAAAGAGCTGATCGATACTCTTAACAATAATAACTTCTTTGGCGAGAACAAAGCGGCCGCACTCGAGCACCACCACCACCACCACTGA</t>
  </si>
  <si>
    <t>MNIPGEKKMKIGIIGAGNVGATTAHIALMKGLGDIYLLDIEADMAKGKAIDLNQSKYLFGSDATVEGGDDYERIKDCDIVVITAGLARKPGMSRDDLLLKNFEIIKDVSLKIKESPKEPVVIVVSNPLDVMAYTAYRVTGFPRSRVLGMAGVLDTYRFYHFIQNKLGAKSKRIDALILGSHGDTMVPLSSHTKVNGLKLTGLIPAEEIKELEDRTRNGGAEIVSLLKTGSAYYAPAASTVRMMEAIVKDQNAVLPCSVYADGEYGINDIFIGLPVKLSKKGVDAVVDIKLNDEEKKALQDSAAAIKEQIGKIKDMLAAALEHHHHHH*</t>
  </si>
  <si>
    <t>ATGAATATACCTGGGGAGAAGAAAATGAAAATCGGAATTATTGGAGCCGGTAATGTGGGTGCCACGACAGCACACATCGCACTGATGAAAGGCTTGGGAGATATTTACTTGTTGGATATTGAAGCTGATATGGCCAAAGGCAAAGCCATTGACCTGAATCAGTCGAAATATTTATTCGGCAGTGATGCAACCGTGGAAGGTGGTGATGACTATGAGCGGATCAAAGATTGCGATATCGTTGTTATTACTGCAGGGCTGGCACGGAAACCAGGTATGAGTCGGGACGATCTGTTACTGAAAAACTTTGAAATCATAAAAGACGTAAGTCTTAAGATAAAGGAATCCCCGAAAGAGCCAGTTGTCATCGTAGTTTCGAATCCGCTTGATGTCATGGCCTATACAGCGTATAGAGTAACTGGATTTCCTCGCAGCCGTGTGCTCGGAATGGCTGGGGTTCTGGACACCTATCGTTTTTACCACTTTATTCAAAACAAGTTAGGTGCGAAGTCAAAACGGATTGATGCACTTATTTTAGGTAGCCATGGTGATACGATGGTCCCCCTGTCGAGCCACACTAAAGTGAACGGTTTAAAATTAACGGGCCTGATCCCGGCGGAAGAAATAAAAGAACTGGAGGATCGGACACGCAATGGTGGTGCGGAGATTGTGTCCCTGCTGAAAACTGGTAGTGCGTATTATGCACCAGCCGCGTCTACCGTTCGCATGATGGAAGCGATCGTCAAAGACCAGAACGCAGTGCTGCCGTGCTCAGTCTACGCAGATGGCGAATATGGTATCAACGACATCTTCATTGGTCTGCCTGTCAAGCTGAGCAAGAAAGGCGTAGATGCCGTCGTCGATATAAAGCTGAATGACGAAGAAAAAAAAGCCTTACAGGATTCTGCAGCCGCGATAAAGGAGCAGATCGGCAAAATTAAAGACATGCTCGCGGCCGCACTCGAGCACCACCACCACCACCACTGA</t>
  </si>
  <si>
    <t>MTSLNISPSLCRSSRVTVIGAGRVGSTLAQRIAEKNLADVVLLDIVEGMPQGLALDLMEARGIERHDRQIIGTNDYADTSDSEIVVITAGIPRKPGMSRDDLLKTNAKIVVEAAKNAIAHSPNAIFIIVTNPLDVMTYLAWEATGLPRHRVMGMAGVLDSARFETFIALELGVSPADVKAMVLGSHGDLMVPLPRYSTVNGIPITELLDAATIERLVERTRNGGAEIVELMQTGGAFFAPASAACVMVESILLNQSRLLPVAAYLQGEYGLNDVFIGVPCRLGCGGIEKILELNLTDAEREALHVSAESVRQNIERAQEMLAAVANAAALEHHHHHH*</t>
  </si>
  <si>
    <t>ATGACATCACTGAACATTTCACCTTCCCTGTGCCGTTCGTCTCGCGTTACCGTAATTGGCGCAGGCCGTGTCGGTAGTACGTTAGCCCAACGGATCGCGGAAAAAAACTTGGCAGACGTCGTTCTTCTGGACATCGTTGAGGGGATGCCTCAGGGTCTGGCACTCGACCTTATGGAGGCGCGGGGCATTGAGCGGCATGATAGACAAATCATTGGTACGAATGATTATGCCGATACCAGCGATAGCGAAATCGTAGTAATTACGGCTGGTATCCCTAGAAAACCGGGAATGTCACGAGACGACTTACTGAAGACCAATGCCAAAATTGTGGTCGAAGCAGCCAAGAATGCTATTGCCCATTCGCCTAATGCCATTTTTATTATCGTAACGAATCCACTGGATGTCATGACCTACCTGGCATGGGAAGCAACCGGCCTCCCGCGGCACAGAGTTATGGGGATGGCGGGTGTATTAGACTCAGCGCGTTTCGAGACATTTATTGCTTTGGAGCTGGGGGTTTCCCCTGCAGACGTGAAAGCAATGGTCTTAGGGAGTCACGGGGATCTGATGGTGCCGCTGCCGCGCTATTCTACAGTAAATGGCATTCCTATCACCGAATTGCTTGATGCAGCGACTATAGAACGTCTGGTGGAGCGTACACGAAACGGCGGCGCAGAAATTGTGGAGCTGATGCAAACGGGTGGGGCCTTCTTTGCACCTGCAAGTGCTGCATGCGTTATGGTAGAATCCATTCTGTTAAACCAGAGTCGGCTCCTTCCAGTTGCAGCGTATCTGCAGGGTGAATACGGGCTTAATGATGTATTCATTGGGGTGCCGTGTCGTTTAGGTTGTGGAGGCATTGAAAAAATCTTAGAATTAAACCTTACGGATGCAGAACGCGAAGCGCTGCATGTCTCGGCCGAATCGGTTCGCCAGAATATCGAACGTGCTCAAGAGATGCTGGCGGCAGTGGCAAACGCGGCCGCACTCGAGCACCACCACCACCACCACTGA</t>
  </si>
  <si>
    <t>MRKVTVVGAGKYGSTTAQRIAEADIVDEVVMTDIVEGLPQGLALDMNQSRPVEGFRTKVIGTNDYADTAGSDVVVITAGLPRKPGMSRMDLLETNARIVKDVTENIVDHSPEAVIIVVTNPLDQMTTLAAEVSGFPRQRVIGQAGILDSSRFAHFIAEKTGVDVKAIKALTLGSHGETMVPVPSQCRVGDKPLTDVLTAAEIDELVERTRNGGAEIVALLKTGSAYFAPSAAAAKMVKAVIKNTGEVMPVCAWMTGEYGINDVYLGVPARIGAGGVQEIVELPLTETELAALRAAAEAVREKVAELEKIELGSAAALEHHHHHH*</t>
  </si>
  <si>
    <t>ATGCGTAAAGTTACAGTTGTAGGTGCGGGCAAGTACGGGTCAACTACTGCACAGAGAATTGCTGAAGCTGACATAGTAGACGAAGTGGTCATGACCGATATCGTAGAAGGTTTGCCTCAGGGATTAGCACTGGATATGAACCAATCCCGGCCAGTCGAGGGATTTAGAACCAAAGTCATTGGCACAAACGATTATGCCGATACAGCAGGCTCGGATGTAGTTGTTATTACTGCGGGTCTTCCGAGAAAGCCAGGAATGTCACGTATGGACTTGCTGGAAACGAACGCTCGTATTGTAAAGGATGTTACTGAAAATATTGTTGATCACTCGCCGGAGGCAGTGATTATTGTGGTGACCAATCCACTCGACCAAATGACGACCCTGGCGGCGGAAGTCTCTGGCTTTCCACGCCAGCGTGTAATTGGTCAAGCGGGAATTTTAGATTCCTCCCGGTTCGCGCACTTCATTGCAGAAAAAACAGGGGTCGACGTTAAGGCCATCAAAGCCCTGACTCTCGGATCCCATGGCGAGACCATGGTGCCGGTGCCGTCGCAGTGCAGAGTCGGAGACAAACCACTTACTGACGTTCTCACCGCGGCAGAGATAGATGAGTTAGTGGAACGGACTCGTAACGGGGGTGCCGAAATTGTGGCCCTTCTGAAAACCGGTAGTGCATACTTTGCTCCTAGTGCGGCTGCAGCTAAGATGGTGAAGGCAGTGATTAAAAACACCGGAGAAGTAATGCCGGTTTGTGCTTGGATGACGGGTGAATACGGTATCAACGACGTGTATCTGGGCGTTCCGGCCCGAATCGGAGCGGGCGGTGTGCAAGAGATCGTGGAGCTGCCTTTGACAGAGACCGAACTGGCCGCGCTCCGTGCAGCGGCTGAAGCGGTGCGAGAAAAAGTCGCAGAACTCGAAAAAATTGAGCTGGGGAGCGCGGCCGCACTCGAGCACCACCACCACCACCACTGA</t>
  </si>
  <si>
    <t>MTVNRKKITVIGAGYTGATTAFLIAQKELGDVVLVDIPKMEGPAKGKALDMLESAPIQGFDAKITGTSDYEDTADSDIVIITAGIARKPGMSRDDLVQTNAKIMKDVTEQIVKYSPDSIIIVLSNPVDAMTYTVFKESGFPKNRVIGQSGVLDTARFRTFIAEELKISVKDVTGFVLGGHGDDMVPLVRYSYAGGIPIESLISKERIEAIVERTRKGGGEIVNLLGNGSAYYAPAAALVQMAEAILKDQKRVLPAIAYLEGEYGYNDIYLGVPTILGANGIEKIIELELTEEEKAALDKSAESVKSVLEVLKAAALEHHHHHH*</t>
  </si>
  <si>
    <t>ATGACGGTTAACCGTAAAAAGATCACAGTGATTGGTGCAGGGTACACGGGCGCTACCACAGCGTTCCTGATTGCACAGAAAGAATTGGGGGATGTAGTACTGGTAGACATTCCCAAAATGGAAGGACCTGCGAAAGGGAAGGCGCTGGATATGCTGGAGTCAGCTCCAATTCAAGGCTTTGATGCGAAGATAACGGGCACATCCGACTATGAAGACACTGCCGACTCGGATATCGTAATTATCACTGCGGGCATCGCTAGAAAACCCGGCATGTCACGCGACGATTTGGTCCAGACCAATGCCAAGATTATGAAAGATGTGACAGAGCAGATCGTCAAATATAGCCCTGATAGCATCATAATTGTATTGTCGAATCCAGTGGACGCCATGACTTACACTGTCTTCAAAGAAAGCGGTTTTCCCAAGAATCGGGTTATTGGACAGTCCGGCGTACTCGATACGGCTCGCTTTAGAACCTTCATTGCAGAAGAACTGAAAATATCAGTTAAGGATGTCACAGGTTTTGTGCTTGGTGGGCACGGCGATGATATGGTCCCCTTAGTGCGTTATTCATATGCGGGGGGTATACCTATAGAATCACTGATCAGCAAAGAGCGTATCGAAGCCATCGTGGAGCGTACTCGCAAAGGCGGCGGTGAGATTGTAAATTTACTCGGCAACGGATCAGCTTATTATGCGCCTGCTGCAGCCCTGGTGCAGATGGCAGAGGCTATATTGAAAGATCAGAAGCGCGTGCTTCCGGCGATAGCCTACCTGGAGGGTGAGTACGGGTATAATGATATCTACTTGGGCGTGCCTACTATACTGGGCGCAAATGGTATTGAGAAAATAATCGAACTGGAATTAACCGAGGAAGAAAAAGCTGCACTGGACAAATCCGCGGAATCTGTGAAATCTGTGCTGGAGGTCTTGAAGGCGGCCGCACTCGAGCACCACCACCACCACCACTGA</t>
  </si>
  <si>
    <t>MMAKVSIIGAGMTGATTAHWLATREIADIVLVDIVEGMPQGKALDLQEAMPVIGKDVSITGTNDYAATAGSDVVVITAGLPRKPGMSRDDLLTANADIVRSAVEETIKYSPNAIFIVLTNPLDTMTYLAMKVTGLPRHRVIGQAGILDSARMRAFVAMELGVSVENIHCYVLGGHGDEMVPLTRHSNVAGVPLEKALPAERLEAIVERTRKGGGEIVSLLKTGSAFYAPAAAVAQMVEAILKDKHLIVPASAYLEGEYGLKDIFFGVPVQLGRNGVEKIIEYELNDEEQAALQKSAEAVRETIEALKLAAALEHHHHHH*</t>
  </si>
  <si>
    <t>ATGATGGCAAAGGTAAGTATAATAGGGGCCGGCATGACGGGTGCTACAACGGCTCATTGGCTGGCAACGAGAGAGATAGCAGACATTGTGCTGGTGGATATTGTGGAGGGGATGCCGCAGGGGAAAGCTCTGGACTTGCAGGAAGCCATGCCAGTCATTGGTAAAGATGTTAGCATAACCGGAACAAATGATTACGCTGCTACGGCAGGAAGTGATGTTGTGGTAATAACTGCTGGCCTCCCGAGAAAGCCCGGTATGTCACGTGATGATCTGTTAACTGCGAATGCTGACATTGTGCGCAGCGCAGTTGAAGAAACAATAAAATACTCACCTAACGCCATTTTTATTGTCCTCACAAACCCGCTTGACACGATGACGTATTTGGCTATGAAGGTTACAGGTTTACCTCGACATCGGGTCATCGGTCAAGCGGGTATTTTGGACAGCGCGCGCATGCGCGCCTTCGTGGCCATGGAACTTGGGGTTTCAGTAGAAAATATCCACTGCTATGTTTTAGGCGGCCACGGAGACGAAATGGTGCCTTTAACACGCCATTCAAATGTAGCCGGCGTTCCTCTCGAAAAAGCACTGCCAGCCGAACGTCTGGAAGCAATTGTCGAAAGAACCAGAAAGGGCGGGGGTGAAATTGTGTCGCTGTTAAAAACGGGTAGTGCCTTCTATGCCCCCGCAGCAGCCGTTGCCCAGATGGTAGAAGCCATTTTGAAAGACAAACATCTGATCGTTCCAGCATCTGCCTATCTTGAAGGGGAATATGGTCTCAAAGACATATTTTTTGGGGTGCCGGTTCAATTAGGCCGTAACGGAGTAGAGAAAATAATTGAATACGAGCTGAATGACGAAGAACAAGCAGCTTTGCAGAAGAGTGCGGAGGCCGTGAGAGAGACGATCGAGGCATTGAAACTCGCGGCCGCACTCGAGCACCACCACCACCACCACTGA</t>
  </si>
  <si>
    <t>MARNKIALIGAGNIGGTLAHLAGLKELGDVVLFDIAEGIPQGKALDLAQSSPVEGFDANLSGTNDYAAIAGADVVIVTAGVPRKPGMSRDDLLGINLKVMKQVGAGIKKYAPNAFVICITNPLDAMVWALQKFSGLPANKVVGMAGVLDSARFRYFLAEEFNVSVEDVTAFVLGGHGDTMVPLVRYSTVAGIPLPDLVKMGWTTQERLDEIVQRTRDGGAEIVGLLKTGSAFYAPAASAIAMAESYLKDKKRVLPCAAYLNGEYGVKDMYVGVPVVIGANGVERIVEIKLNSDEKAMFDKSVDSVKGLVEACKKIDPALAAAALEHHHHHH*</t>
  </si>
  <si>
    <t>ATGGCTCGTAACAAAATTGCTCTGATCGGCGCGGGTAATATTGGGGGCACTCTGGCCCATTTAGCTGGTCTGAAAGAGCTCGGTGATGTGGTGCTGTTTGATATCGCTGAAGGGATTCCTCAGGGGAAAGCCTTGGATCTGGCCCAATCCAGTCCCGTTGAGGGTTTTGATGCAAATTTATCGGGTACGAACGATTATGCAGCAATTGCAGGAGCGGACGTTGTCATAGTCACCGCCGGAGTCCCGCGTAAGCCGGGTATGTCAAGAGATGATCTCCTGGGCATTAACCTGAAGGTCATGAAACAAGTCGGTGCCGGAATTAAGAAATATGCACCAAATGCATTTGTTATATGTATCACGAATCCTCTTGACGCCATGGTATGGGCCTTACAGAAGTTTTCCGGTCTGCCTGCCAACAAAGTGGTTGGAATGGCGGGTGTACTGGATTCCGCGCGATTTCGTTATTTCCTGGCTGAAGAGTTTAATGTGTCAGTCGAAGATGTAACAGCGTTCGTCCTGGGCGGGCACGGCGATACGATGGTGCCACTGGTTCGATATAGCACCGTCGCCGGTATCCCATTGCCGGACCTTGTTAAAATGGGGTGGACCACGCAGGAACGGCTCGACGAAATCGTACAACGCACACGGGACGGAGGTGCTGAGATTGTAGGCCTGCTGAAAACTGGGAGCGCGTTCTATGCCCCAGCTGCATCAGCAATTGCGATGGCGGAAAGCTATCTGAAAGATAAAAAGCGTGTCCTCCCGTGTGCCGCGTATTTAAACGGTGAGTATGGTGTCAAAGACATGTACGTTGGAGTTCCGGTGGTGATTGGAGCAAACGGAGTCGAGCGTATTGTAGAAATTAAACTTAATTCAGATGAAAAAGCAATGTTCGATAAATCGGTAGACAGTGTAAAAGGACTGGTCGAAGCATGCAAGAAGATTGACCCCGCCTTGGCGGCGGCCGCACTCGAGCACCACCACCACCACCACTGA</t>
  </si>
  <si>
    <t>MMRNKISLIGAGNIGGTLAHLIGLKELGDVVLIDIVEGIPQGKALDLSQSSAIELFNVNIKGSNNYKNLKNADVVIVTAGFPRRPGMTRDDLVEKNSIIIHQVGKAIKKYCSKAFVICITNPLDAMVSVLQKASGVKTNMCVGMAGVLDSARLKYFLSNEFNVSVQDVNAFVLGGHGDTMVPLIRYSTVSGIPVPELIKLKWTSQKRINEIIERTRDGGGEIGRLMKTASAFYAPASSAIAMAESYLKDSKRVLPCAAYLNGEYGVKGLYVGVPVIIGRKGVEKIVELKLTANEKKQFNKSVKAVRNLTNLATKLINKKAAALEHHHHHH*</t>
  </si>
  <si>
    <t>ATGATGCGTAATAAAATTAGCCTGATAGGAGCAGGTAACATAGGTGGAACACTTGCCCATCTTATTGGGCTCAAAGAATTAGGTGATGTTGTTCTTATAGATATAGTCGAGGGAATTCCACAAGGTAAAGCGTTAGACCTGAGTCAATCTTCCGCAATCGAATTGTTCAATGTTAACATCAAAGGGTCCAATAATTACAAAAACCTGAAGAATGCGGATGTTGTGATTGTGACAGCGGGTTTCCCTAGACGTCCTGGTATGACACGCGACGATCTGGTAGAGAAAAACAGTATTATCATTCATCAAGTTGGTAAAGCTATCAAAAAATATTGTTCAAAAGCCTTCGTGATTTGCATCACGAATCCTCTTGACGCGATGGTATCGGTCCTTCAGAAAGCATCTGGGGTTAAAACCAATATGTGCGTGGGTATGGCCGGGGTTCTGGATAGTGCAAGACTGAAATACTTTTTATCAAATGAATTCAATGTTAGTGTTCAGGACGTTAATGCCTTTGTTTTGGGTGGCCACGGTGATACCATGGTCCCTCTGATTCGTTATAGTACCGTGAGCGGGATACCGGTGCCAGAACTGATTAAATTAAAATGGACCAGCCAGAAGCGCATAAATGAGATCATCGAACGTACGCGTGACGGCGGAGGCGAAATCGGCCGCCTCATGAAAACCGCTAGCGCATTCTATGCGCCAGCGTCGTCTGCAATAGCTATGGCAGAATCATATCTTAAAGACTCTAAGCGCGTGTTACCGTGTGCTGCATACTTAAATGGTGAGTACGGTGTTAAAGGACTTTATGTAGGCGTACCTGTCATTATTGGGCGTAAAGGTGTGGAGAAGATTGTGGAATTAAAACTGACCGCGAATGAAAAAAAACAGTTTAACAAGTCAGTTAAAGCTGTCCGAAATCTGACAAATTTGGCAACCAAACTTATCAATAAAAAGGCGGCCGCACTCGAGCACCACCACCACCACCACTGA</t>
  </si>
  <si>
    <t>MRRAKITIIGAGNVGATTAHWAAAKELGDIVLLDIPQVEGMPQGKALDLAEASPIEGFDANITGTNDYADTAGSDVVIITAGIARKPGMSRDDLLATNAKIVASVTEQIKKTSPNAVVIVVSNPLDAMVQRALQVSGFPTNRVLGQAGVLDTARYRTFLAMELGVSVEDVSALLMGGHGDTMVPLPSCTSVGGIPVTQLLDQERLDAIVDRTRKGGAEIVGLLKTGSAYYAPAAATTQMVEAIVRDKKRILPCAAYCDKEYGVGGYYVGVPVILGAGGVERIIELELDAQERADFQKSVEAVKELVAVMDKLMAAAALEHHHHHH*</t>
  </si>
  <si>
    <t>ATGCGTCGCGCGAAGATTACCATCATTGGAGCCGGCAACGTAGGAGCAACAACAGCGCACTGGGCCGCCGCTAAAGAGCTGGGTGACATTGTTCTGCTCGATATCCCACAGGTGGAAGGGATGCCCCAGGGCAAGGCCTTAGATCTGGCTGAAGCATCACCGATCGAAGGCTTTGACGCAAATATAACCGGTACCAACGATTATGCAGATACTGCCGGGTCAGACGTGGTAATTATTACAGCTGGAATTGCACGCAAACCTGGGATGAGCCGCGATGATCTGCTCGCGACCAATGCTAAAATCGTTGCATCAGTCACCGAACAAATTAAAAAGACATCTCCGAATGCAGTAGTTATTGTAGTTAGCAACCCGCTCGATGCAATGGTACAGCGTGCTCTGCAGGTATCCGGTTTCCCCACAAATCGTGTTCTCGGTCAAGCTGGAGTACTTGATACAGCCCGTTATCGGACATTTCTGGCCATGGAACTCGGCGTGTCTGTGGAGGACGTTTCAGCCTTGCTCATGGGCGGACACGGTGATACCATGGTTCCACTCCCATCATGTACATCCGTAGGCGGCATTCCTGTTACTCAGCTGTTAGACCAAGAACGTCTGGATGCAATCGTTGACAGAACCCGTAAGGGGGGCGCCGAAATAGTTGGACTTCTCAAAACCGGATCCGCATATTATGCGCCAGCAGCCGCGACCACACAGATGGTAGAAGCGATTGTTCGGGATAAGAAACGCATCCTTCCTTGCGCGGCCTATTGCGATAAAGAATATGGGGTAGGTGGTTATTATGTAGGAGTCCCCGTGATTCTTGGTGCTGGCGGGGTCGAGCGCATAATAGAACTGGAACTGGATGCACAGGAACGTGCGGATTTTCAGAAAAGCGTAGAAGCCGTGAAAGAATTGGTTGCAGTGATGGATAAACTGATGGCAGCGGCCGCACTCGAGCACCACCACCACCACCACTGA</t>
  </si>
  <si>
    <t>MKVTVVGAGNVGATCANVIAHKEIANEVVLLDIKEGVAEGKALDMWQTAPINLYDTRIIGSTNDYSKTANSDVVVITSGLPRKPGMSRDDLIATNAGIVKSVTENVIKHSPNAIIIVVSNPLDVMTYCAYLTAKIDSNRVFGMAGILDTARYRAFLAEALNVSPKDIQAVLMGGHGDTMVPLPRYTTVAGIPVTELIDKDKLDAIVERTKKGGGEIVNLMGTSAWYAPGAAAAQMVEAIVRDQKRIFPVCAWLQGEYGLKDIYLGVPVKLGKNGIEKIIELKLNDEEMALLNESAKAVKEVMDVLDGMNVFAAALEHHHHHH*</t>
  </si>
  <si>
    <t>ATGAAAGTCACGGTCGTAGGAGCGGGCAATGTTGGTGCCACCTGTGCCAATGTTATAGCACATAAAGAGATTGCGAACGAAGTAGTGTTGCTTGACATTAAGGAGGGGGTAGCAGAGGGTAAGGCGTTGGATATGTGGCAGACCGCGCCCATAAATCTGTACGATACCCGCATAATTGGCTCTACAAATGATTATTCTAAAACTGCAAATTCCGACGTCGTAGTGATCACCTCAGGGTTGCCGAGAAAGCCAGGCATGAGCCGTGATGATCTCATTGCGACGAACGCCGGGATTGTAAAAAGTGTGACTGAAAATGTTATCAAACATAGTCCGAATGCAATCATCATTGTGGTATCCAATCCGCTGGATGTAATGACTTATTGTGCCTATCTGACTGCCAAAATTGACTCCAACCGCGTGTTTGGCATGGCTGGTATCTTGGATACCGCACGTTATCGTGCATTCCTGGCAGAGGCCTTAAATGTTTCCCCGAAAGATATCCAGGCCGTTCTCATGGGAGGCCATGGAGATACCATGGTCCCTTTACCACGCTACACCACCGTCGCCGGCATTCCGGTGACAGAGCTTATTGATAAAGATAAACTGGATGCCATTGTGGAACGTACCAAAAAAGGCGGTGGTGAGATAGTAAACTTGATGGGCACATCGGCCTGGTATGCGCCCGGAGCGGCGGCCGCACAGATGGTAGAAGCAATAGTCCGAGATCAGAAGCGGATCTTCCCAGTCTGCGCCTGGCTCCAGGGCGAGTATGGCTTAAAGGATATATATCTGGGTGTACCAGTCAAACTTGGGAAGAATGGCATCGAGAAAATTATTGAACTTAAACTGAACGATGAAGAGATGGCACTGCTGAACGAGAGTGCAAAGGCCGTTAAAGAGGTAATGGATGTGCTGGATGGCATGAACGTGTTTGCGGCCGCACTCGAGCACCACCACCACCACCACTGA</t>
  </si>
  <si>
    <t>MSKVTVVGAGNVGATCANVLVTNQVADEVVLIDIKEGVAEGKAMDIMQTANILGLNTRLTGVTNDYTKTAGSDVVVITSGIPRKPGMTREELIGVNAGIVKSVTDNVLKHSPNAIIICVSNPMDTMTYLIHKTSGLPKNRIIGMGGALDSARFKYFLSQALGANANEVEGMVIGGHGDTTMIPLTRYAAYRGIPASTLLSAETLEKVAADTMVGGATLTKLLGTSAWYAPGAAAAQVVAAVLHDQKKMIPCSALLEGEYGESDLCIGVPCILGRNGIEKIVELNLNEEEKALFAKSAAAVHKTNAALKEALAAALEHHHHHH*</t>
  </si>
  <si>
    <t>ATGAGCAAGGTTACCGTGGTTGGTGCCGGTAACGTCGGCGCGACTTGTGCAAATGTACTGGTGACTAACCAGGTGGCTGACGAGGTGGTCCTTATCGATATTAAGGAGGGGGTTGCTGAAGGTAAGGCAATGGATATAATGCAAACCGCGAACATATTAGGCTTGAATACACGTCTGACAGGCGTTACCAACGATTATACAAAAACTGCAGGCTCGGATGTTGTCGTTATAACGTCAGGTATCCCCCGTAAGCCGGGTATGACACGCGAGGAACTGATAGGCGTGAATGCAGGCATTGTGAAAAGTGTCACAGACAACGTGCTCAAACATAGTCCAAACGCAATTATCATATGTGTCTCAAACCCAATGGACACTATGACTTACCTTATTCATAAAACTTCTGGTCTGCCGAAAAATCGCATTATTGGGATGGGAGGTGCGCTGGATTCTGCTCGTTTCAAATACTTCCTTAGCCAGGCATTGGGTGCCAATGCTAATGAAGTGGAAGGCATGGTGATCGGTGGTCATGGTGACACTACAATGATTCCACTGACACGCTATGCGGCCTACCGGGGCATACCGGCAAGCACCCTGCTGAGCGCCGAAACGTTAGAAAAAGTCGCAGCGGATACTATGGTGGGAGGCGCCACTCTGACCAAACTGTTAGGAACATCTGCATGGTATGCCCCTGGCGCAGCCGCCGCACAGGTCGTTGCTGCCGTACTTCATGATCAAAAGAAGATGATACCCTGCTCGGCACTTTTAGAAGGGGAATATGGTGAGAGTGACCTGTGTATCGGCGTACCGTGCATTTTGGGGCGCAACGGTATTGAAAAAATTGTGGAACTGAATCTTAACGAAGAAGAAAAAGCATTGTTCGCAAAATCTGCCGCAGCGGTGCATAAGACTAATGCCGCGTTGAAAGAAGCACTGGCGGCCGCACTCGAGCACCACCACCACCACCACTGA</t>
  </si>
  <si>
    <t>MSLIDAVCVLKGDVTGAITFSQQSADGPVSIKGQITGLTEGKHGFHIHEFGDNTDGCTSAGPHFDPFKKTHGAPEDEERHVGDLGNVKAGADGCIVDIEDKVIKLTGPNSIIGRSLVVHADEDDLGKGGHKLSKTTGNAGARLACGVIGIKKKAAALEHHHHHH*</t>
  </si>
  <si>
    <t>ATGTCCTTGATAGATGCCGTTTGCGTGCTGAAAGGGGACGTTACAGGGGCAATAACATTTTCGCAACAGTCGGCGGACGGACCTGTCTCCATAAAGGGGCAAATTACGGGACTTACCGAAGGGAAGCACGGGTTTCATATCCACGAGTTTGGGGACAACACAGATGGCTGTACGTCTGCGGGACCACATTTTGATCCTTTTAAAAAGACTCATGGCGCTCCCGAAGACGAGGAGCGGCATGTGGGTGACTTAGGGAATGTTAAGGCAGGAGCCGACGGCTGCATAGTGGACATTGAGGATAAAGTGATCAAATTGACAGGGCCAAACTCAATCATAGGCAGAAGCCTTGTAGTACATGCAGATGAAGACGATCTGGGAAAGGGCGGTCATAAATTGAGCAAAACCACCGGCAACGCGGGAGCCCGGCTTGCGTGTGGAGTGATCGGCATTAAAAAGAAGGCGGCCGCACTCGAGCACCACCACCACCACCACTGA</t>
  </si>
  <si>
    <t>MANPKVTVVGAGNVGATAAQRIIEKELADVVLVDIVEGLPQGKALDLMQAAPIEGHDAKIVGTNDYAATKDSDVVVITAGIARKPGMSRDDLLKTNAGIVGSVTDEVVKYSPNAIIIVVSNPLDVMTQLAWKKSGFPKNRVIGMAGVLDSARYRTFIAMELNVSVENVTAMVLGGHGDTMVPLPRYSTVAGIPITELLSKERIEAINQRTRNGGAEIVNLLKTGSAYYAPSSAAVEMVEAILKDKKKILPCAAYLSGEYGLNDVFVGVPVKLGKNGIEEIIEIKLTEQELAALQKSAAAVKENVEKLKLAAALEHHHHHH*</t>
  </si>
  <si>
    <t>ATGGCCAATCCTAAGGTGACCGTCGTAGGGGCTGGCAACGTCGGTGCCACGGCAGCGCAACGAATTATCGAAAAAGAATTGGCTGATGTGGTGCTGGTTGATATTGTTGAGGGCCTTCCACAGGGCAAAGCTCTGGATCTTATGCAGGCCGCGCCAATCGAAGGGCACGACGCCAAGATAGTTGGAACAAATGACTACGCAGCGACTAAGGATTCGGATGTAGTAGTTATCACGGCTGGAATTGCGCGTAAGCCAGGTATGTCCCGCGATGATCTCTTAAAGACTAACGCAGGCATAGTGGGCTCCGTCACGGACGAGGTTGTAAAGTATTCCCCTAATGCCATAATCATTGTCGTGAGCAACCCGCTTGACGTGATGACGCAGCTGGCATGGAAAAAGAGCGGTTTCCCGAAAAATCGGGTAATCGGGATGGCTGGGGTCCTTGATTCCGCCCGTTATCGAACGTTTATTGCGATGGAGCTCAATGTTTCGGTTGAAAATGTTACTGCGATGGTACTTGGGGGCCATGGAGATACGATGGTCCCTTTGCCACGGTATAGCACGGTTGCAGGAATCCCTATTACTGAACTGCTCTCAAAGGAACGCATTGAGGCCATAAATCAACGTACGCGTAATGGTGGCGCTGAGATAGTGAACCTGCTCAAAACCGGCAGTGCATACTATGCTCCCTCTTCAGCAGCAGTTGAAATGGTTGAAGCAATTCTTAAGGATAAGAAGAAAATCCTGCCGTGCGCCGCCTATCTGAGCGGAGAGTATGGGTTAAATGATGTGTTCGTAGGAGTCCCGGTGAAGCTGGGCAAGAACGGTATAGAGGAAATCATCGAGATAAAGCTGACAGAGCAGGAATTAGCAGCACTTCAAAAATCCGCAGCTGCAGTCAAAGAAAATGTCGAAAAGCTGAAACTGGCGGCCGCACTCGAGCACCACCACCACCACCACTGA</t>
  </si>
  <si>
    <t>MAKKKKKKRKKISVIGAGNVGATAALMIAQKKLANEVVLVDIIEGVAKGKGLDMYEAAPVEGFDTKIIGTNDYEDTKDSDIVVVTAGSPRKPGMSREDLLKINLKICKSVTENIVKYSPNAIIIYVANPVDVLTYASWKVSGFPKNRVFGMAGVLDTARYRTFIAMEANVSVKDISAMVLGGHGDSMVPLVRYTTVGGIPITHFIPKERIDAIVERTRKGGGEIVNLLGYGSGYYAPGAAAAEMVEAIVKDKKRILPCVAYLEGEYGFKDIYAGVPVILGKNGVEKIIEIELTDEEKKALEVSFNHVKKGIEEAKKLGLAAALEHHHHHH*</t>
  </si>
  <si>
    <t>ATGGCTAAAAAGAAGAAAAAAAAACGGAAAAAGATTTCGGTGATCGGCGCTGGTAATGTGGGAGCAACAGCCGCGCTGATGATTGCGCAGAAAAAACTTGCCAATGAAGTTGTCCTCGTGGACATCATTGAAGGCGTAGCAAAAGGGAAGGGCCTCGATATGTATGAAGCTGCCCCAGTTGAGGGCTTCGATACTAAAATAATTGGCACCAACGATTACGAGGATACCAAAGATAGCGATATAGTTGTTGTCACCGCTGGATCGCCACGTAAACCAGGAATGTCTCGGGAAGACCTGTTAAAAATAAATTTAAAGATATGTAAATCTGTTACGGAGAATATTGTCAAGTATTCTCCCAACGCCATTATTATTTATGTCGCGAACCCTGTGGATGTCCTGACCTATGCATCATGGAAAGTCAGCGGTTTTCCTAAAAACAGAGTCTTCGGTATGGCTGGTGTCTTAGACACGGCTCGGTATAGAACGTTTATCGCCATGGAAGCAAATGTTAGCGTTAAAGATATTTCGGCTATGGTGCTGGGAGGTCACGGGGATTCTATGGTCCCTCTTGTCCGTTATACGACAGTAGGAGGGATTCCTATTACTCATTTTATTCCGAAAGAACGTATAGATGCGATAGTTGAGCGCACCCGAAAGGGCGGTGGCGAAATTGTTAATTTACTGGGTTATGGTTCAGGCTATTACGCGCCCGGTGCCGCAGCTGCAGAAATGGTGGAAGCAATTGTTAAAGATAAAAAGCGTATATTACCTTGCGTTGCCTATTTAGAAGGCGAATATGGCTTCAAAGACATCTATGCCGGTGTACCTGTGATTTTGGGTAAAAACGGCGTCGAGAAAATCATAGAAATCGAACTTACAGACGAGGAAAAAAAAGCTCTGGAGGTGTCATTTAACCATGTTAAGAAAGGCATCGAGGAAGCTAAAAAACTCGGCCTGGCGGCCGCACTCGAGCACCACCACCACCACCACTGA</t>
  </si>
  <si>
    <t>MPAAAPLTVCVTGAAGQIAYSLLPLLAAGAVFGPAQPVALRLLEIPPALPALAGVVMELADCAFPLLAAVVPTSDPAVAFAGADVAVLVGAFPRRAGMERKDLLAKNVAIFKAQGAALDRVAAPGVRVLVVGNPANTNALVAAAHAPSIPRANFSALTRLDHNRAVAQVAARLGVPAAAVDGVCIWGNHSSTQYPDVTRATAAGAPAAPVLPALGGAAAVAAEFIPTIQKRGAAVIKARGLSSAMSAASAIADHLRSWLLGDGDRVVSMAVPSDGSYGIEPGLFYSFPVRCLGGGAYEIVQGIEVDAFSRRYMDATAAELRAEREEALALLAAAAARSKLAAALEHHHHHH*</t>
  </si>
  <si>
    <t>ATGCCAGCTGCGGCTCCGTTGACTGTCTGCGTTACTGGTGCCGCAGGACAAATTGCGTATTCCCTGTTACCTCTTTTAGCGGCAGGTGCAGTCTTCGGTCCAGCGCAACCCGTTGCCCTGCGGCTCCTGGAGATACCACCGGCTCTCCCAGCCCTGGCTGGCGTGGTAATGGAGTTAGCAGATTGCGCCTTCCCTTTGCTGGCAGCCGTTGTTCCTACATCTGATCCAGCAGTGGCATTTGCCGGTGCGGATGTCGCAGTTCTGGTCGGTGCATTCCCGAGACGCGCTGGTATGGAACGAAAAGACCTGTTAGCGAAAAACGTAGCCATTTTTAAGGCCCAAGGTGCGGCGCTTGACCGTGTGGCCGCTCCGGGCGTACGGGTACTGGTCGTTGGTAATCCGGCCAATACAAATGCATTAGTCGCCGCGGCGCACGCTCCGTCGATCCCGCGGGCCAATTTCTCTGCCCTTACGCGTTTGGATCATAATCGCGCCGTGGCACAAGTGGCCGCTCGCCTGGGTGTTCCAGCCGCGGCGGTGGACGGAGTTTGCATCTGGGGTAATCATTCCTCAACCCAGTACCCTGATGTGACGCGTGCGACCGCTGCTGGTGCTCCAGCCGCCCCAGTCCTTCCTGCCCTGGGAGGGGCTGCGGCTGTTGCCGCCGAGTTCATTCCGACGATTCAGAAGCGTGGGGCTGCCGTGATTAAGGCCCGGGGTCTGTCTTCCGCTATGTCTGCTGCGTCTGCTATTGCCGATCACTTACGTAGTTGGTTGCTTGGTGATGGCGATCGAGTCGTATCAATGGCCGTACCGTCAGACGGGTCCTACGGTATTGAGCCTGGTTTATTCTACTCCTTCCCGGTCCGTTGTCTTGGCGGCGGAGCTTACGAAATCGTGCAGGGTATCGAAGTGGATGCCTTCTCGCGCCGCTACATGGATGCAACCGCGGCAGAATTGCGAGCCGAGCGTGAGGAAGCCCTGGCGCTGCTGGCCGCGGCCGCAGCGAGAAGCAAACTTGCGGCCGCACTCGAGCACCACCACCACCACCACTGA</t>
  </si>
  <si>
    <t>MARKKIALIGAGNIGGTLAHLAAQKELGDVVLFDIVEGMPQGKALDIAESSPVEGFDVKITGTNNYEDIKGSDVVIITAGIPRKPGMSRDDLLNINLNIMKNVAENVKKYCPNAFVIVISNPLDAMVYTFYKVSGFPKNRVVGMAGVLDSARFRYFIAEELGVSVKDVTAFVLGGHGDTMVPLVRYSTVAGIPITKLISKEKIDAIVERTRKGGGEIVGLLKTGSAFYAPAASAIEMAESYLKDKKRILPCAAYLEGEYGVKGLFVGVPVVIGANGVEKIIEIKLTPEEKAAFDKSVEAVRELVKVVKLAAALEHHHHHH*</t>
  </si>
  <si>
    <t>ATGGCGCGTAAAAAAATTGCGCTGATTGGCGCCGGCAACATAGGCGGTACGCTGGCTCACCTTGCCGCCCAGAAGGAACTGGGGGATGTGGTGTTATTCGACATCGTTGAAGGTATGCCCCAGGGTAAGGCCCTGGATATCGCAGAGAGTAGTCCAGTTGAGGGCTTCGATGTTAAGATTACTGGAACCAATAACTACGAAGACATTAAAGGTAGCGACGTGGTTATCATTACGGCCGGTATTCCGCGCAAACCGGGGATGAGCCGTGATGATCTTCTGAACATTAACCTCAATATCATGAAAAACGTAGCAGAAAACGTTAAAAAGTATTGCCCTAATGCCTTTGTTATTGTTATTTCAAATCCCCTGGATGCTATGGTGTATACCTTTTATAAAGTGAGCGGTTTTCCGAAAAATCGCGTGGTGGGAATGGCTGGTGTCCTTGATTCGGCGCGCTTCCGATATTTCATAGCCGAAGAACTGGGAGTGTCGGTAAAAGACGTCACAGCTTTCGTACTGGGCGGACATGGAGATACAATGGTGCCACTCGTGCGTTATAGTACGGTAGCCGGTATTCCTATTACAAAATTGATCAGCAAGGAGAAGATTGATGCTATTGTGGAGCGCACCAGAAAAGGGGGCGGGGAGATCGTGGGGTTATTAAAAACCGGTTCCGCTTTCTATGCACCAGCCGCCTCCGCAATTGAAATGGCGGAAAGCTATTTGAAAGATAAAAAACGTATTCTGCCGTGTGCGGCTTATCTGGAAGGCGAATACGGTGTTAAAGGACTTTTCGTGGGAGTCCCGGTTGTCATAGGCGCAAATGGGGTAGAAAAAATTATTGAAATTAAACTGACGCCGGAAGAAAAAGCGGCCTTCGATAAGTCAGTCGAAGCGGTTCGGGAATTAGTTAAGGTTGTGAAATTAGCGGCCGCACTCGAGCACCACCACCACCACCACTGA</t>
  </si>
  <si>
    <t>MKNKISIIGAGNVGASLAQRIAEKGYADVVLVDIIEGLPQGKALDILQSAPILGFDSHITGTNSYEETANSDVVVITSGIGRKPGMSRDELLLTNMEIVKGVTENVVSYSPDCIIIVVTNPVDAMTYLALHVSKFPRNRVFGLSGVLDSARLSSFIAAELNVSVENVSACVLGEHGKNMVVIPRLTTVNGIPLTEILPQETIDRLVERTIKGGAEIVGLLKTGSAFYAPSAAVARMVEAIILDKKEILPCATYLDGEYGIKDTVISVPVKLGKNGIEQIIELELTAEEKKALTESAEAVRKLIDTMKLGAAALEHHHHHH*</t>
  </si>
  <si>
    <t>ATGAAAAACAAAATCTCCATAATAGGTGCAGGAAATGTTGGCGCAAGCCTGGCACAACGCATTGCTGAGAAAGGTTATGCCGACGTTGTTCTGGTCGATATAATCGAGGGTCTCCCGCAAGGTAAAGCTTTAGATATATTACAGAGTGCCCCTATACTGGGGTTTGACTCTCACATCACTGGGACAAATTCTTATGAAGAGACCGCGAACTCGGACGTTGTGGTTATTACATCTGGGATTGGCCGTAAACCTGGGATGTCTCGTGATGAGTTGTTGCTTACAAATATGGAGATTGTTAAGGGTGTGACAGAAAATGTAGTCTCTTACTCACCCGATTGTATTATCATTGTTGTAACCAATCCAGTAGACGCGATGACCTATCTTGCACTGCATGTATCAAAGTTCCCGCGTAATAGAGTTTTCGGTCTTTCAGGAGTGCTGGACTCGGCTCGCTTAAGCTCCTTCATTGCAGCCGAGTTAAATGTGAGTGTCGAAAACGTTAGCGCGTGTGTGCTGGGCGAACATGGTAAAAACATGGTGGTTATTCCGCGTCTCACAACCGTTAATGGTATTCCTCTGACGGAAATCCTTCCGCAGGAAACTATTGATCGCCTGGTCGAACGGACCATTAAAGGCGGCGCCGAGATTGTGGGTTTACTGAAAACTGGTTCTGCTTTTTATGCACCATCTGCGGCCGTCGCCCGGATGGTAGAAGCGATTATCCTTGACAAAAAGGAAATTCTGCCCTGTGCGACCTATCTGGATGGCGAATATGGTATAAAAGATACCGTAATTTCTGTGCCGGTCAAATTAGGTAAAAACGGTATAGAACAGATCATCGAGCTCGAACTTACCGCAGAGGAGAAGAAAGCACTGACTGAGAGTGCCGAAGCCGTCCGCAAGCTCATCGATACCATGAAACTTGGTGCGGCCGCACTCGAGCACCACCACCACCACCACTGA</t>
  </si>
  <si>
    <t>MAEPIRVVVTGAAGQIAYSLLYMVARGEVFGPDQPLILHLLDIPPMMGVLEGVVMELADCALPLLREVVPTADPAVAFKDVSAAFLVGAMPRKEGMERKDLLAANVKIFKAQGQALDQHARKDVKVLVVGNPANTNALICSKYAPSIPKENFTAMTRLDQNRAQAQIAAKLGVPVAKVKNVIIWGNHSSTQFPDASHATVEVGGVTTVQKRGAAVIAARKMSSAMSAAKAASDHMRDWFLGTAPGEFVSMGVISDGSYGAPKDLVFSFPVTIDDFAREKLDATGKELLEEREEALAVCEDAAALEHHHHHH*</t>
  </si>
  <si>
    <t>ATGGCGGAGCCTATTAGAGTTGTTGTCACGGGAGCAGCCGGTCAAATCGCATATTCGCTGCTTTATATGGTTGCCCGGGGTGAAGTGTTCGGTCCTGACCAGCCTTTAATATTGCATTTGTTGGATATACCACCCATGATGGGGGTTCTGGAGGGAGTCGTCATGGAGCTTGCTGACTGTGCGTTACCTCTGTTACGTGAGGTGGTACCTACTGCGGATCCGGCCGTAGCGTTTAAAGATGTTTCTGCGGCATTTCTGGTCGGGGCGATGCCTAGAAAAGAAGGCATGGAACGCAAAGATCTTCTCGCGGCAAATGTTAAAATTTTTAAAGCACAGGGACAGGCACTTGATCAACATGCTCGCAAAGATGTGAAAGTGCTTGTTGTTGGAAATCCAGCCAACACCAACGCGCTTATTTGCTCTAAGTATGCGCCTTCTATTCCAAAAGAGAATTTTACTGCAATGACACGCTTAGACCAGAACAGAGCTCAAGCGCAGATTGCGGCGAAACTTGGTGTTCCGGTGGCCAAAGTCAAGAATGTTATTATATGGGGTAATCATTCATCAACGCAGTTTCCGGATGCCAGTCATGCCACAGTCGAGGTTGGCGGAGTTACCACTGTTCAGAAGCGCGGAGCCGCTGTTATTGCAGCTCGGAAGATGAGTTCTGCGATGTCAGCAGCCAAGGCCGCATCAGATCACATGCGCGATTGGTTTTTAGGCACGGCGCCGGGTGAGTTCGTATCTATGGGCGTTATCTCAGATGGTAGCTACGGCGCACCGAAAGATTTGGTTTTTTCGTTTCCGGTTACCATTGACGATTTCGCGCGTGAGAAATTGGACGCGACCGGTAAAGAACTTTTGGAAGAAAGAGAAGAAGCTCTTGCCGTCTGCGAGGATGCGGCCGCACTCGAGCACCACCACCACCACCACTGA</t>
  </si>
  <si>
    <t>MRPKVTVVGAGNVGATAAQRVAERELADVVLVDVVEGLPQGKALDLAEAAPVEGHDARLVGTNDYADTAGSDVVVITAGIARKPGMSRDDLLATNARIVGSVVDQVAARSPDAILVVVSNPLDVMTHLALERSGFPRERVVGMAGVLDSARFRTFLAMELGVSVEDVTAFVLGGHGDSMVPLPRYTTVAGVPVTELLPPERLAALVQRTRDGGAEIVGLLKTGSAYYAPAAAVVEMVEAILRDRKRVLPCAAHLEGEYGLRDLFVGVPVRLGRGGVERVVELELTAAEREALQASAAEVRALVARLRELAAALEHHHHHH*</t>
  </si>
  <si>
    <t>ATGAGACCCAAAGTTACAGTCGTGGGTGCTGGGAATGTTGGCGCGACCGCGGCCCAGCGCGTGGCGGAACGGGAGCTGGCTGATGTTGTTCTTGTCGACGTAGTAGAAGGTTTACCGCAAGGTAAGGCCCTTGATTTAGCGGAAGCAGCGCCAGTCGAGGGCCATGATGCTCGTTTAGTCGGTACCAACGATTATGCCGATACCGCCGGTTCAGATGTTGTGGTTATTACGGCTGGCATTGCGCGTAAGCCAGGCATGTCTCGGGATGATTTACTCGCAACGAACGCACGTATTGTGGGCTCAGTCGTGGATCAAGTGGCGGCTCGTTCCCCAGACGCCATCTTGGTGGTCGTCAGTAACCCACTGGATGTTATGACTCACCTGGCCCTGGAACGGTCTGGTTTTCCCCGTGAACGCGTTGTTGGTATGGCAGGCGTTCTCGATTCGGCCCGGTTCCGTACTTTTCTGGCCATGGAACTGGGCGTGTCAGTCGAGGATGTGACTGCATTTGTTCTGGGTGGTCATGGGGATTCTATGGTGCCCCTGCCGCGCTACACAACCGTTGCAGGGGTGCCTGTAACCGAACTCCTGCCCCCAGAACGCCTGGCCGCGCTGGTGCAGCGGACGCGAGATGGTGGCGCCGAAATTGTTGGACTTCTCAAAACCGGATCCGCATATTACGCCCCAGCCGCAGCTGTGGTGGAAATGGTGGAGGCCATCCTTAGAGACCGGAAACGCGTTTTACCTTGTGCGGCGCACCTTGAAGGTGAATACGGCTTACGTGATTTGTTTGTTGGCGTACCTGTTAGACTGGGCAGAGGCGGTGTTGAGCGTGTTGTGGAGCTGGAACTTACCGCAGCAGAGCGCGAAGCTCTCCAGGCATCGGCGGCGGAAGTGAGAGCTCTTGTAGCTCGGCTGCGTGAATTAGCGGCCGCACTCGAGCACCACCACCACCACCACTGA</t>
  </si>
  <si>
    <t>MKIAVIGAGNVGSLTAMRIAQEGLGDVLLVDIAKGLAQGKALDLEDARSVLKYDYKIEGTDDISKIEGCDIVVVTAGLARKPGMTREDLLKKNAEIVKGVCEKIKKRAPGAIVIVVTNPVDIMTYLALKVTGFDPKKVFGMGVNLDTARFANLISQELKVSVADIEAMVIGAHGEGMLPLPRFTKVKGVPLTELLDEEKIEKLVKATVERGAEIVAHLGSGSAYFAPSAAIAEMVKAIAKDEKRTLGVSAYLNGEYGLKDVCIGVPCRLGKNGIEKIVELELSPEEKAAFLKSAESVKKQVEALKLAAALEHHHHHH*</t>
  </si>
  <si>
    <t>ATGAAAATAGCGGTAATCGGTGCAGGCAATGTTGGTAGCCTCACTGCAATGAGAATTGCGCAGGAAGGGTTAGGCGATGTTCTCCTTGTAGATATTGCTAAAGGTCTGGCACAAGGTAAAGCCCTTGATTTGGAGGACGCGCGTAGTGTGTTAAAATATGATTATAAAATTGAAGGTACGGATGATATATCCAAAATAGAGGGTTGTGATATTGTCGTCGTTACAGCCGGACTTGCACGCAAACCGGGCATGACGCGGGAGGATTTGCTGAAAAAAAATGCGGAGATCGTGAAAGGGGTGTGCGAAAAAATTAAAAAGCGGGCCCCAGGCGCAATCGTTATTGTGGTGACGAACCCTGTTGATATTATGACGTATCTTGCACTGAAAGTCACGGGATTCGATCCTAAAAAAGTGTTTGGCATGGGTGTTAATCTTGATACTGCCAGATTTGCAAACTTGATTTCACAAGAATTAAAAGTCTCGGTTGCCGATATTGAAGCGATGGTTATTGGGGCCCATGGTGAAGGTATGCTCCCCCTTCCGCGGTTTACGAAGGTCAAAGGTGTACCACTGACTGAATTACTCGACGAAGAAAAAATCGAAAAACTGGTTAAAGCCACTGTAGAGCGCGGGGCAGAAATAGTAGCCCATCTGGGCTCTGGCTCAGCTTACTTTGCACCGAGCGCTGCGATTGCAGAGATGGTGAAAGCAATTGCAAAAGATGAAAAACGTACACTCGGTGTTTCAGCGTATCTGAATGGCGAGTACGGTCTCAAAGATGTCTGTATCGGTGTCCCATGTAGACTGGGGAAAAATGGCATTGAAAAAATAGTAGAACTTGAACTTTCCCCGGAGGAAAAAGCGGCATTTCTGAAGTCCGCAGAAAGTGTTAAAAAACAGGTTGAGGCTCTGAAATTGGCGGCCGCACTCGAGCACCACCACCACCACCACTGA</t>
  </si>
  <si>
    <t>MITIIGAGRVGSSVALQTISRELDDILLVDIIEGLPQGEALDLGQMAAEKGIDVEVKGSNNYEDIKGSDIVIVTAGLARKPGMTRLDLLNKNAEIIKSISEKIKEYAKNSIVLMVTNPLDVMTYVALKTTGFNKNRVFGMGGMLDLSRFKYFIAKSLGVSTSSIQALVIGQHGESMLPLPRFSSVNGIPITDFLNEEQIKEAIEKTRKIAAEVIKLKGATIYAPANGVARMVESIIKDKKSVIPVSAYLNGEYGVKDLCIGVPAVIGKNGIEKIIELELNEEEKKIFNKGVESIKNAINSLAAALEHHHHHH*</t>
  </si>
  <si>
    <t>ATGATAACTATTATTGGTGCCGGGCGTGTAGGTTCATCAGTCGCCCTTCAGACGATCTCGCGTGAATTAGATGATATTCTGTTAGTAGACATAATAGAGGGGTTGCCTCAAGGAGAAGCTTTGGATCTTGGACAGATGGCTGCCGAAAAGGGGATAGATGTGGAGGTGAAAGGAAGCAACAACTACGAGGACATCAAGGGAAGTGACATAGTGATAGTTACCGCAGGGTTAGCACGTAAACCAGGTATGACACGTTTGGATTTATTAAATAAGAACGCTGAAATCATCAAATCCATTTCCGAAAAAATTAAAGAATACGCTAAAAATTCCATTGTGCTTATGGTAACCAACCCTCTGGACGTAATGACATACGTTGCCCTTAAGACAACGGGTTTCAATAAAAACCGGGTTTTTGGCATGGGTGGCATGCTGGATTTATCCCGGTTTAAGTACTTCATTGCAAAATCGCTGGGGGTCTCAACATCGTCTATACAGGCGCTGGTGATTGGTCAGCATGGCGAGTCTATGCTGCCCCTTCCTCGTTTTAGTTCGGTAAATGGTATTCCGATCACGGACTTTCTGAACGAGGAGCAGATAAAGGAAGCCATTGAGAAAACTCGCAAAATTGCGGCCGAAGTTATTAAACTGAAAGGTGCCACTATCTATGCGCCGGCGAATGGCGTAGCGCGCATGGTCGAGTCAATTATTAAAGACAAAAAAAGCGTCATCCCTGTCAGTGCGTATCTGAATGGAGAATATGGAGTTAAAGATCTGTGCATTGGTGTTCCAGCTGTCATAGGTAAAAACGGTATTGAGAAAATCATAGAACTTGAGCTGAATGAGGAAGAGAAAAAAATATTTAATAAGGGGGTAGAAAGCATTAAAAATGCCATTAATTCCCTCGCGGCCGCACTCGAGCACCACCACCACCACCACTGA</t>
  </si>
  <si>
    <t>MKISIIGAGNVGATAAHWAAERELGDVVLVDIVEGMPQGKALDLLEAMPVIGKDVKIIGTNDYADTANSDVVIITAGIARKPGMSREDLLATNAKIVRSVTEQVVKYSPNAILIVVTNPLDTMTYLALKVSGFPRERVIGQAGVLDSARFRTFIAMELGVSVEDVQAYVLGGHGDTMVPLPRYSTVAGIPITELLDPKTIEAIVQRTRDGGAEIVRLLKTGSAFYAPSAAAVQMAEAILKDKKRIVPCSAYLQGEYGLKDICFGVPVVLGAGGVEKIIEIKLTPEEMAALKKSAAAVRESIEALKLAAALEHHHHHH*</t>
  </si>
  <si>
    <t>ATGAAAATTTCTATTATTGGTGCAGGGAATGTGGGCGCCACTGCGGCGCATTGGGCCGCGGAGAGAGAACTTGGCGACGTAGTTTTGGTGGATATCGTTGAAGGGATGCCGCAAGGGAAGGCCCTGGATCTGCTGGAAGCAATGCCGGTGATTGGAAAGGATGTTAAAATTATAGGCACCAACGACTATGCGGATACGGCTAATAGCGATGTTGTTATAATTACGGCGGGCATTGCTCGTAAACCCGGGATGAGTCGTGAGGACCTGCTTGCTACGAATGCTAAAATCGTTCGGAGCGTGACGGAACAAGTGGTAAAATATTCCCCAAACGCAATACTGATCGTTGTAACAAATCCCCTGGATACCATGACATATTTAGCCCTCAAGGTTTCAGGGTTTCCGCGAGAACGGGTTATTGGTCAGGCGGGTGTGTTGGATTCAGCGCGCTTCCGCACGTTTATAGCAATGGAACTGGGTGTGTCTGTAGAGGATGTCCAGGCATATGTACTGGGCGGCCATGGAGATACGATGGTACCGCTGCCCCGTTACTCGACCGTTGCTGGCATTCCCATTACTGAGTTACTGGATCCGAAAACCATTGAAGCGATCGTGCAGAGAACACGGGATGGCGGCGCGGAAATTGTCAGACTTCTGAAAACAGGTTCGGCGTTCTACGCACCCTCAGCGGCAGCAGTGCAGATGGCAGAAGCCATTCTGAAAGATAAAAAACGTATTGTACCTTGCTCCGCCTATTTGCAGGGTGAATACGGACTTAAAGATATTTGCTTTGGAGTCCCGGTGGTGTTAGGCGCGGGAGGGGTGGAGAAAATTATTGAAATCAAACTCACACCCGAGGAGATGGCCGCCCTTAAGAAATCCGCCGCTGCAGTTAGAGAATCAATTGAAGCTTTGAAGTTAGCGGCCGCACTCGAGCACCACCACCACCACCACTGA</t>
  </si>
  <si>
    <t>MLRNLLKKPVRVAVTGGSGQISYSLLFRIASGALLGPDQPVILQIYDLPQMQNALRGVVMELEDCAFPLVKEIVVTDKPEEAFKDADYAFLVGAKPRGPGMERADLLKQNGEIFVKAGEALDKYAKKDIKVLVVGNPVNTNCLIAMNHAPNIPKENFTAMMRLDHNRALAQVGEKLNAKVTDIKKMAVWGNHSPTMYPDLSYATVNGESVKDKVDDDWYEKEFIPVVQQRGTAIINARKASSAASAASAAIDHMRDWALGTNGEWVSMGVPSDLYNGAYGIPEGLIFSYPVTCENGKYELVKGLELDDFSKEKIKITVDELLKEKEAVADLLKAAALEHHHHHH*</t>
  </si>
  <si>
    <t>ATGCTTCGTAACTTACTGAAGAAACCCGTGCGCGTGGCCGTGACAGGTGGTAGTGGTCAAATTTCTTATTCTCTGCTCTTTCGAATCGCTTCTGGAGCATTACTGGGCCCGGATCAGCCTGTCATTTTACAGATTTACGATCTTCCACAAATGCAGAATGCGTTACGTGGCGTTGTGATGGAACTGGAGGACTGCGCATTTCCGTTGGTTAAAGAGATCGTTGTAACAGATAAACCTGAAGAGGCATTTAAAGATGCAGATTACGCGTTCTTAGTTGGAGCTAAACCGCGGGGCCCGGGTATGGAGAGAGCCGATCTCTTAAAACAAAATGGAGAAATCTTTGTTAAAGCTGGTGAAGCGTTGGATAAATATGCCAAAAAGGATATCAAAGTCCTTGTCGTTGGAAATCCGGTGAACACGAACTGTTTAATCGCGATGAACCACGCACCTAACATCCCAAAGGAGAACTTTACAGCTATGATGCGCTTAGACCACAACCGTGCCCTCGCGCAGGTAGGCGAAAAATTGAACGCCAAAGTTACCGATATAAAGAAGATGGCGGTGTGGGGGAACCACTCACCGACAATGTATCCGGATTTAAGCTACGCAACCGTCAACGGCGAATCTGTGAAAGATAAGGTTGATGACGATTGGTACGAAAAAGAATTTATCCCTGTTGTGCAGCAACGTGGAACTGCTATTATTAACGCCAGAAAGGCAAGTTCTGCTGCATCAGCAGCCTCAGCGGCTATTGATCATATGAGAGACTGGGCACTTGGTACGAATGGTGAATGGGTCAGCATGGGTGTACCATCTGACCTCTACAATGGTGCTTATGGTATTCCAGAAGGGTTGATTTTCTCTTATCCTGTTACTTGTGAAAATGGTAAATATGAACTGGTAAAAGGGCTTGAACTGGATGATTTCAGCAAAGAAAAAATTAAGATAACCGTAGACGAACTGTTAAAAGAAAAAGAGGCCGTGGCTGATCTGCTGAAGGCGGCCGCACTCGAGCACCACCACCACCACCACTGA</t>
  </si>
  <si>
    <t>MSSAARNVKVAVLGAAGGIGQPLSLLLKHNPLVTELSLYDIRGAPGVAADLSHINTPSKVTGYAPEKLKEALAGADVVLIPAGVPRKPGMTRDDLFNTNAGIVKTLATACAEVAPKAIIGVISNPVNSTVPIVAEVLKSKGVYDPKKLFGVTTLDIVRARTFVAEAKGKKPAEVNVPVIGGHSGVTIVPLLSQAGVELSEEQVKALTHRIQFGGDEVVKAKAGAGSATLSMAYAAAEFADSVLKALKGEKGVVECTFVESDVVPGVKYFSSKVELGKDGVEKILPLPKLNAFEQGLLDKCIPELKKNIAKGEAFVKAAALEHHHHHH*</t>
  </si>
  <si>
    <t>ATGTCATCCGCAGCCCGTAACGTAAAAGTTGCAGTCTTGGGAGCCGCAGGTGGGATAGGCCAACCGCTCAGCTTGTTGTTAAAACACAACCCACTGGTGACAGAACTTTCTTTATATGATATTCGGGGGGCACCAGGTGTTGCAGCGGATTTATCCCACATCAATACGCCGTCTAAAGTGACAGGTTATGCACCGGAGAAACTGAAGGAAGCCTTGGCGGGTGCAGATGTTGTGCTGATTCCGGCGGGCGTACCACGCAAACCCGGCATGACTCGCGATGACTTATTCAATACTAACGCAGGTATAGTGAAAACTCTCGCCACTGCCTGTGCCGAAGTTGCACCTAAAGCTATCATCGGAGTGATATCTAATCCAGTTAACTCTACCGTACCGATCGTAGCCGAGGTACTGAAAAGTAAAGGCGTTTACGATCCGAAGAAGCTGTTCGGAGTAACAACCCTCGACATTGTGCGCGCTCGTACTTTCGTGGCAGAAGCAAAAGGTAAGAAACCAGCCGAAGTTAACGTGCCTGTCATCGGGGGTCATTCGGGAGTGACCATCGTACCGCTGCTGTCTCAGGCAGGAGTGGAATTAAGCGAAGAACAGGTCAAAGCATTAACCCACCGAATTCAGTTCGGCGGCGATGAAGTAGTTAAGGCCAAGGCAGGCGCCGGTTCCGCCACATTGTCTATGGCATATGCTGCGGCTGAATTTGCTGACTCCGTGCTGAAAGCTTTAAAGGGAGAAAAGGGTGTGGTAGAGTGTACGTTCGTGGAATCCGACGTTGTACCCGGCGTAAAATATTTCTCATCGAAAGTTGAACTGGGCAAAGACGGTGTCGAAAAAATTTTACCTCTGCCGAAGCTCAATGCTTTTGAACAGGGACTGCTTGATAAATGTATCCCGGAACTGAAAAAGAATATTGCCAAAGGAGAGGCGTTTGTTAAAGCGGCCGCACTCGAGCACCACCACCACCACCACTGA</t>
  </si>
  <si>
    <t>MKISIIGAGNVGSLTAMRLAQEGLGDIVLIDIVKGLAQGKALDLEDARSILKYNYKIEGSDDISKIKGSDIVVITAGLARKPGMTREELLKKNAEILKDISLNIKKLAPNAIVIVVTNPLDLMTYLVLKITGFSKNKVFGMGISLDAARFANLISKELNISVTDIEACVIGSHGEGMLPLPRFTTVKGISLDELLDDEKIKELVNRTVNRGAEIVSLLGSGSAYFAPSAAIASLVKTIVKDEKRIIGVSAYLNGEYGIKDICIGVPCRLGKNGIEKIIELDLNKEEKEKFKKSAESIKELIKNLPIAAALEHHHHHH*</t>
  </si>
  <si>
    <t>ATGAAGATCAGTATCATTGGCGCAGGTAATGTTGGTAGCCTGACAGCGATGCGGCTGGCTCAGGAGGGTCTGGGTGACATTGTTCTGATCGACATCGTCAAAGGTTTGGCGCAGGGGAAAGCGCTGGATCTGGAAGACGCACGCTCGATTCTCAAGTATAACTACAAAATCGAAGGTTCCGACGATATCTCAAAGATAAAAGGCTCAGATATCGTTGTCATAACGGCGGGCCTTGCCCGTAAACCGGGGATGACACGGGAAGAATTACTTAAAAAGAACGCTGAAATTTTAAAGGATATCTCACTGAACATCAAAAAACTCGCGCCGAACGCTATCGTAATAGTTGTCACGAATCCACTGGACTTAATGACCTATTTAGTACTTAAAATCACGGGCTTTTCGAAAAACAAAGTGTTCGGTATGGGGATCTCCCTGGACGCAGCACGTTTTGCAAACCTTATTTCCAAAGAACTGAATATTAGTGTGACGGACATTGAAGCGTGTGTGATCGGCTCGCATGGTGAGGGTATGCTTCCGTTACCGCGCTTTACTACAGTTAAGGGTATTAGTCTTGACGAACTTCTGGATGATGAAAAAATTAAAGAGTTAGTCAACAGAACAGTGAATCGCGGTGCTGAGATTGTTTCATTGCTGGGCTCAGGCTCTGCTTATTTTGCGCCCAGCGCCGCAATTGCCAGTCTTGTGAAAACCATTGTAAAAGACGAAAAACGGATCATCGGTGTGTCGGCGTATTTGAACGGTGAATATGGGATCAAAGATATTTGCATCGGTGTGCCCTGCCGTCTGGGTAAGAACGGAATCGAAAAAATTATCGAACTGGATTTGAATAAAGAAGAAAAAGAAAAATTCAAAAAGTCCGCCGAGTCCATCAAAGAACTTATAAAAAATCTCCCGATCGCGGCCGCACTCGAGCACCACCACCACCACCACTGA</t>
  </si>
  <si>
    <t>MRKKVTVIGAGNVGATAAQYIAEKELADVVLLDVVEGIPQGKALDLMEAAPINDHDAKIIGTNDYKDTADSDIVVITAGIARKPGMSRDDLLKTNAKIVSEVVKNAVKYSPNAILIVVTNPLDVMTYVAKKVSGFPKNRVIGMAGVLDSARFRTFIAMELGVSVKNVTAFVLGGHGDTMVPLPRYSTVAGIPITELLPKEKIDAIVKRTANGGAEIVALLKTGSAYYAPGAAVVEMVEAILKDKKKILPCAAYLEGQYGYKDLYVGVPVKLGKNGVEKIIEIKLTDEEKAALDKSAKAVKELVDKLLAAALEHHHHHH*</t>
  </si>
  <si>
    <t>ATGCGAAAAAAGGTGACGGTGATCGGCGCAGGCAACGTTGGGGCCACCGCAGCCCAATATATAGCAGAGAAAGAGTTAGCCGATGTGGTACTCCTCGATGTGGTCGAAGGAATTCCGCAAGGGAAAGCGCTGGATCTTATGGAAGCAGCACCGATCAATGATCACGACGCAAAAATTATTGGGACAAACGATTATAAAGATACTGCAGATTCAGATATTGTCGTCATCACAGCGGGAATTGCCCGCAAGCCAGGGATGTCACGAGATGATTTATTAAAAACGAATGCAAAAATTGTAAGTGAAGTTGTTAAAAATGCAGTCAAATATTCCCCGAACGCAATCCTTATCGTCGTGACCAATCCTCTTGATGTTATGACATACGTCGCGAAAAAAGTTAGTGGCTTCCCTAAGAATCGCGTCATCGGTATGGCCGGAGTGCTGGATTCAGCCCGCTTCCGAACTTTCATAGCGATGGAACTGGGCGTAAGCGTTAAGAACGTTACGGCCTTTGTTCTGGGAGGACATGGCGATACTATGGTGCCACTGCCACGTTATTCAACGGTGGCCGGTATCCCGATAACAGAGCTGCTTCCGAAGGAGAAAATTGACGCCATCGTGAAACGTACTGCTAACGGCGGTGCCGAAATTGTGGCCCTGTTAAAGACAGGAAGTGCTTATTATGCACCCGGTGCCGCGGTTGTGGAAATGGTGGAGGCTATACTGAAGGATAAGAAAAAGATATTACCATGCGCTGCTTATCTGGAGGGCCAATATGGTTACAAAGATCTCTACGTCGGAGTGCCCGTCAAGTTGGGTAAGAACGGTGTTGAGAAGATTATTGAGATTAAATTGACTGATGAGGAAAAAGCGGCTCTGGATAAGAGTGCAAAAGCAGTGAAGGAATTGGTGGATAAGTTATTAGCGGCCGCACTCGAGCACCACCACCACCACCACTGA</t>
  </si>
  <si>
    <t>MARKKIALIGGGNIGGTLAHLAALKELGDVVIFDVVEGMPQGKALDIAESSPVEGFDAKITGTNDYADIKGADVVIITAGIARKPGMSRDDLLNTNLKIMKQVAEGVKENAPNAFVIVISNPLDAMVYTFQKVSGFPKNRVVGMAGVLDSARFRYFIAEELGVSVRDVTALVLGGHGDTMVPLVRYTTVAGIPITELIPKERIDAIVERTRKGGGEIVGLLKTGSAFYAPAASAIEMAEAYLKDQKRVLPCAALLEGEYGVNGLYVGVPVVIGAGGVEKIIEVKLTPEEQEAFNKSVEHVKELVGKIKLAAALEHHHHHH*</t>
  </si>
  <si>
    <t>ATGGCCCGGAAAAAGATAGCGTTAATTGGTGGGGGCAATATCGGTGGTACGTTAGCTCATCTTGCAGCCCTGAAAGAACTGGGCGATGTAGTGATTTTTGACGTAGTGGAAGGCATGCCGCAGGGAAAAGCACTCGATATCGCCGAGAGCTCGCCTGTCGAAGGGTTTGATGCGAAGATAACCGGAACTAATGATTACGCTGACATTAAGGGGGCAGACGTAGTTATTATTACGGCAGGGATCGCTCGTAAACCCGGTATGAGCCGGGATGACTTATTGAACACCAACCTCAAAATCATGAAACAGGTCGCCGAAGGCGTAAAAGAAAATGCTCCTAATGCCTTTGTGATTGTGATCTCTAATCCCTTAGATGCTATGGTCTATACCTTTCAGAAGGTAAGTGGTTTCCCCAAGAATCGGGTTGTCGGAATGGCAGGGGTCCTGGATAGCGCGAGATTTCGTTATTTTATCGCGGAAGAACTGGGCGTTTCGGTTCGTGATGTCACTGCATTAGTCTTAGGGGGGCATGGAGATACCATGGTTCCCCTTGTACGCTACACGACCGTGGCGGGTATACCCATTACCGAACTGATACCGAAGGAACGTATTGATGCGATTGTTGAGCGCACACGTAAGGGGGGCGGCGAAATTGTCGGATTGTTGAAGACTGGCTCCGCATTTTACGCCCCTGCGGCGTCTGCTATTGAAATGGCAGAGGCGTATCTGAAGGATCAGAAACGCGTGCTGCCTTGTGCGGCTCTTCTCGAAGGGGAGTATGGCGTAAATGGTCTGTATGTAGGGGTACCTGTGGTAATTGGAGCCGGTGGTGTAGAGAAAATTATAGAAGTTAAACTGACACCAGAAGAACAGGAGGCTTTTAATAAGTCGGTGGAGCATGTTAAAGAGCTTGTTGGTAAGATTAAGCTCGCGGCCGCACTCGAGCACCACCACCACCACCACTGA</t>
  </si>
  <si>
    <t>MRKKVSVIGAGNVGASAALYIAEKELADVVLVDIVEGVPQGKALDLLQAGPVRGYDAKITGTNDYADIAGSDVVVMTAGFPRKPGMSRDDLLKANAEIVGPAAEAIKKHAPNAIVIVVTNPLDVMTYLMWKKTGFPKRRVMGMAGVLDSARFRTFIAMELGVSVEDVQAMVLGGHGDTMVPLPRYTTVSGIPITELLPKERIDAIVQRTRNGGAEIVALLKTGSAYYAPAASAVQMVEAILKDKKRILPCAAYLDGQYGLKDIYVGVPVVLGAKGVEKIIELKLSADELAALQKSAAAVKASIAELKLAAALEHHHHHH*</t>
  </si>
  <si>
    <t>ATGCGTAAGAAGGTCTCTGTTATCGGCGCAGGAAATGTGGGTGCAAGCGCAGCTCTCTATATAGCAGAAAAAGAACTTGCAGACGTCGTACTGGTCGACATCGTTGAAGGAGTCCCGCAAGGGAAAGCCCTGGACCTGCTGCAGGCGGGCCCAGTGAGAGGGTATGATGCCAAGATTACAGGCACGAATGATTATGCCGACATAGCGGGATCTGACGTTGTCGTGATGACCGCAGGCTTTCCGAGAAAGCCGGGGATGTCTCGTGATGATCTGCTGAAAGCTAATGCAGAAATTGTAGGTCCTGCAGCTGAAGCTATCAAAAAACATGCACCGAATGCAATCGTGATTGTTGTTACAAATCCACTCGATGTAATGACTTATTTAATGTGGAAAAAAACCGGTTTTCCGAAACGGCGTGTTATGGGGATGGCGGGAGTTTTGGACTCCGCGCGCTTCCGCACTTTTATAGCCATGGAACTGGGTGTTTCTGTGGAAGACGTCCAGGCAATGGTGCTGGGAGGTCACGGCGATACGATGGTGCCGCTGCCACGTTATACAACTGTTTCCGGTATACCAATCACTGAATTACTGCCGAAGGAACGCATCGATGCGATTGTGCAGCGCACGCGGAATGGAGGAGCGGAGATAGTAGCTTTACTGAAAACTGGTAGCGCTTATTACGCTCCCGCAGCCTCGGCCGTACAGATGGTAGAAGCTATTCTGAAAGATAAAAAACGTATTCTGCCCTGTGCAGCATATCTGGATGGACAGTATGGACTGAAAGATATTTACGTGGGTGTTCCAGTTGTTCTGGGGGCAAAAGGCGTGGAAAAAATCATTGAATTGAAACTCTCCGCAGATGAGTTAGCGGCACTTCAAAAATCTGCTGCCGCCGTCAAAGCCTCAATTGCGGAACTCAAGCTTGCGGCCGCACTCGAGCACCACCACCACCACCACTGA</t>
  </si>
  <si>
    <t>MKKVTIVGAGNVGATTAHWLAEKEIADIVLVDVVEGMPQGKALDLMEAGPVEGYDTVITGTNDYEDTKNSDIVVITAGIARKPGMSREDLLNTNAKIVKSVAEQVVKYSPNAILIVVTNPLDTMTYLAYKVSGFPKNRVIGQAGVLDSARFRTFIAMELNVSVENVQAFVLGGHGDDMVPLPRYSYVGGIPITELLPKERIDAIVERTRKGGGEIVSLLKTGSAFYAPGAAVAQMVEAILKDKKRIVPCSAYLEGEYGLKDIFFGVPVILGKNGVEKIIEIKLTPEEKAALQKSADSVKKSIAELKLAAALEHHHHHH*</t>
  </si>
  <si>
    <t>ATGAAAAAAGTCACAATCGTCGGGGCAGGTAATGTTGGAGCAACTACAGCGCACTGGTTAGCAGAGAAGGAAATTGCTGACATTGTTCTGGTCGATGTGGTAGAAGGAATGCCTCAGGGTAAAGCGCTTGATTTGATGGAGGCTGGCCCGGTTGAGGGGTATGATACGGTCATAACTGGCACGAATGACTACGAAGATACAAAAAATTCCGACATCGTTGTTATAACCGCGGGCATTGCTCGCAAGCCTGGCATGTCCCGTGAAGATTTGCTGAACACGAATGCGAAAATAGTCAAGTCCGTAGCAGAACAGGTGGTGAAATACTCACCAAACGCGATTCTGATTGTTGTTACCAATCCTCTGGATACTATGACGTACCTGGCATATAAAGTGTCTGGTTTTCCGAAGAACCGGGTAATTGGTCAGGCTGGCGTTTTGGACTCCGCACGTTTTCGCACCTTTATAGCCATGGAATTAAACGTGAGCGTTGAGAATGTGCAGGCGTTTGTCTTAGGAGGGCATGGTGATGATATGGTCCCTTTACCGCGCTATTCATATGTGGGGGGTATACCGATTACGGAGCTGCTGCCGAAGGAGCGTATTGACGCGATTGTTGAACGCACCCGTAAGGGCGGTGGAGAGATCGTTTCACTCTTAAAAACCGGGTCAGCCTTCTATGCTCCGGGCGCGGCGGTGGCACAGATGGTGGAAGCCATTTTAAAAGACAAAAAGCGGATAGTGCCCTGCAGCGCGTACCTGGAAGGTGAGTACGGTCTTAAAGATATTTTCTTCGGTGTGCCGGTTATTTTAGGCAAAAACGGAGTTGAGAAAATTATTGAAATTAAGTTAACGCCTGAAGAGAAGGCAGCCCTGCAGAAAAGTGCAGACTCGGTTAAAAAGTCCATTGCTGAATTAAAACTGGCGGCCGCACTCGAGCACCACCACCACCACCACTGA</t>
  </si>
  <si>
    <t>MKKKVSVIGAGNVGAEVARRIAEKELADVVLVDIIEGIPQGKALDMLQSGPIEGFDTKIIGTNDYSEIENSDIVIITAGLARKPGMSRDDLLKKNAEIVKSVTENIVKYSPNSIIIMVTNPLDVMTYLAWKVSGFPKNRVIGMAGVLDTARFRTFIAEELNVSVEDIQAMVLGGHGDLMVPLPEYTTVSGIPITELLSKEKIDKIVERTRNGGAEIVNYLKTGSAYYAPSAAAVEMAEAILKDKKKILPCSVYLKGEYGLKDVYVGVPAKLGKNGVEEIIEIKLTEEEKEALKKSAEAVKENIKKLAAALEHHHHHH*</t>
  </si>
  <si>
    <t>ATGAAGAAAAAGGTGAGCGTTATTGGTGCAGGTAATGTTGGTGCAGAAGTTGCACGTCGTATTGCAGAAAAAGAACTGGCAGATGTTGTTCTGGTGGATATCATTGAAGGTATTCCGCAGGGTAAAGCACTGGATATGCTGCAGAGCGGTCCGATTGAAGGTTTTGATACCAAAATTATCGGCACCAACGATTATAGCGAAATCGAAAATAGCGACATCGTGATTATTACCGCAGGTCTGGCACGTAAACCGGGTATGAGCCGTGATGATCTGCTGAAAAAGAATGCCGAAATTGTTAAAAGCGTGACCGAGAACATTGTGAAATATAGCCCGAACAGCATTATCATCATGGTTACCAATCCGCTGGATGTTATGACCTATCTGGCATGGAAAGTTAGCGGTTTTCCGAAAAATCGTGTTATTGGTATGGCAGGCGTTCTGGATACCGCACGTTTTCGTACCTTTATTGCCGAAGAACTGAATGTTAGCGTGGAAGATATTCAGGCAATGGTTTTAGGTGGTCATGGTGATCTGATGGTTCCGCTGCCGGAATATACCACCGTGAGCGGTATTCCGATTACCGAACTGCTGAGCAAAGAGAAAATTGACAAAATTGTTGAACGCACCCGTAATGGTGGTGCGGAAATTGTGAATTATCTGAAAACCGGTAGCGCATATTATGCACCGAGCGCAGCAGCAGTTGAAATGGCAGAAGCAATTCTGAAAGACAAAAAGAAAATTCTGCCGTGCAGCGTGTATCTGAAAGGTGAATATGGTCTGAAAGATGTGTATGTTGGTGTTCCGGCAAAACTGGGTAAAAATGGTGTGGAAGAAATCATCGAAATCAAGCTGACCGAAGAAGAGAAAGAAGCACTGAAGAAAAGCGCAGAAGCCGTGAAAGAAAACATCAAAAAGCTGGCGGCCGCACTCGAGCACCACCACCACCACCACTGA</t>
  </si>
  <si>
    <t>MKKPVNVAITGAAGNIAYSAIFRIASGDMLGKDQPINLNLIDIEPAMNALKGVKFELEDCAFPLLNSITITSDLSVGFGDADYALLIGAKPRSKGMERKDLLKANGKIFSVQGKAINDVASKDVKVLVVGNPANTNALIAMSNAPDINPKQFTSMMRLDHDRTLAQLAKKTGKDISDIKKVVVWGNHSNTQVPDLTNAEVNGKKISDILNEDWYKNDFIPRIQKRGAEIIEARGLSSAASAANAAISHMRDWVLGSSDWVSMGQLSSSNPYGISDDLIFSFPTICSNGSYSRIENIEIPQSLLDYIKKTEKELIEERDSVLDLLAAALEHHHHHH*</t>
  </si>
  <si>
    <t>ATGAAAAAACCAGTGAATGTTGCAATAACGGGCGCTGCTGGAAATATTGCCTACTCAGCCATTTTTCGTATAGCGAGTGGTGATATGTTAGGTAAAGATCAGCCTATTAACTTGAACCTGATTGATATAGAACCGGCCATGAATGCTCTGAAAGGCGTTAAGTTTGAACTGGAAGATTGCGCATTTCCTCTGCTGAATAGCATCACCATCACCTCAGACCTTAGTGTGGGATTCGGTGACGCAGACTATGCACTGCTGATAGGTGCCAAACCGAGATCGAAGGGAATGGAACGAAAAGACCTTCTGAAAGCCAATGGGAAAATATTCTCTGTGCAAGGGAAAGCTATCAATGACGTGGCATCTAAAGATGTAAAAGTCTTAGTAGTTGGTAATCCCGCGAATACAAACGCCCTGATCGCTATGAGTAATGCGCCGGATATTAATCCAAAGCAATTTACCAGTATGATGCGTTTAGACCATGATAGAACCCTGGCACAGCTGGCGAAAAAAACGGGCAAAGATATTTCCGACATCAAAAAAGTCGTAGTGTGGGGTAACCACTCCAACACACAAGTGCCAGACCTGACTAACGCAGAGGTTAATGGGAAGAAAATTTCTGACATTCTCAATGAAGATTGGTATAAAAATGACTTTATTCCACGAATCCAGAAACGCGGCGCCGAAATTATTGAAGCCCGTGGTCTGTCATCTGCAGCCAGTGCGGCGAACGCGGCTATAAGCCACATGCGCGATTGGGTTTTAGGGTCGTCAGATTGGGTCTCGATGGGACAGCTGTCGAGCTCTAATCCCTACGGTATTAGTGACGATCTCATATTTTCATTTCCGACTATTTGCAGCAATGGTTCTTACAGTCGAATCGAAAATATCGAGATTCCGCAAAGTCTCTTGGACTATATTAAAAAGACGGAAAAAGAATTAATTGAGGAGCGTGACTCTGTCCTTGACTTACTGGCGGCCGCACTCGAGCACCACCACCACCACCACTGA</t>
  </si>
  <si>
    <t>MKVTIVGAGNVGATAAQRIAEKGLADVVLVDVVEGLPQGKALDMMESRSVEKFTAKITGTNDYAATAGSDVVVITAGIARKPGMTRDDLLGVNAGIMRSVIEQALAHSPDAVFICVTNPLDVMTYLAHKVSGLPRERVIGMGGVLDSARLRYFIAEELGVSVADVQALVLGAHGEGMVVLPRFTTVNGKPITELLPADKIQAIVERTVNGGAEVVGLLKTGSAYYAPGASIAKMVEAILKDTGEVLPCCVYLDGEYGLKDVYVGVPVRLGRGGVREIVELDLTAEELAALHESAASVKKAVESLGLAAALEHHHHHH*</t>
  </si>
  <si>
    <t>ATGAAGGTCACTATTGTTGGCGCAGGAAACGTAGGTGCGACAGCTGCACAACGTATAGCAGAGAAAGGCCTGGCAGACGTAGTCCTTGTGGATGTGGTGGAAGGTTTGCCCCAGGGTAAAGCCCTGGATATGATGGAAAGCCGCTCGGTGGAGAAATTTACCGCGAAGATTACCGGCACCAATGATTATGCCGCTACCGCAGGCAGCGACGTCGTTGTCATCACAGCAGGTATCGCTCGGAAACCTGGTATGACCAGAGACGATCTTTTAGGGGTGAATGCCGGCATTATGCGTAGTGTAATCGAACAGGCTCTGGCCCACTCTCCTGACGCAGTCTTTATCTGTGTCACAAACCCGTTAGATGTGATGACTTATCTTGCCCACAAAGTTTCAGGTTTACCCCGCGAACGGGTTATTGGGATGGGAGGTGTTCTCGATAGTGCTCGCCTCCGTTATTTTATTGCGGAGGAGTTGGGCGTTTCAGTTGCAGATGTCCAGGCATTAGTTCTGGGTGCCCATGGCGAAGGTATGGTTGTTCTTCCGCGCTTTACCACGGTGAATGGAAAACCGATAACAGAGCTTTTACCTGCCGACAAAATTCAGGCCATAGTGGAACGCACTGTAAACGGTGGTGCAGAGGTTGTGGGATTACTGAAAACCGGCTCGGCGTATTATGCTCCAGGTGCGAGTATAGCCAAGATGGTTGAAGCGATTTTAAAAGATACTGGTGAAGTTCTGCCCTGTTGCGTGTACCTCGATGGAGAGTATGGATTGAAGGATGTGTATGTGGGGGTTCCTGTCCGTCTTGGCCGAGGGGGAGTGCGCGAGATCGTGGAACTGGATTTAACCGCGGAGGAACTTGCCGCCTTACACGAATCGGCAGCCAGTGTAAAGAAGGCTGTTGAATCTTTAGGTCTTGCGGCCGCACTCGAGCACCACCACCACCACCACTGA</t>
  </si>
  <si>
    <t>MKKVSVIGAGNVGATCAFVLALKGIEEVVLKDIVKGLAEGKAIDMMQSKPILGFNGKIIGTNSYEDIKNSDVVVITAGLARKPGMSREDLLNKNAEIISEVVKEIKKNSPNSKIILVTNPLDIMTYLAYKVSGFDPKRVFGMAGVLDTARYRYFVSEKLGVMPNQVEALIIGSHADDMVVLPRLTTIDGKNAIELLSEKDINEIVERTKNAGAEIVGLLKTGSAYYAPGAAAAKMAEAILNDKKEILPACAYLNGEYGFKDVYAGVPVVIGKNGVEKIIEIELTEKEKKELNNSISSIKKSLKELKLAAALEHHHHHH*</t>
  </si>
  <si>
    <t>ATGAAGAAAGTTAGCGTCATTGGGGCGGGTAATGTTGGTGCGACGTGTGCTTTTGTGTTGGCTCTTAAGGGTATTGAAGAAGTCGTCCTGAAGGATATAGTTAAAGGACTTGCCGAAGGTAAAGCTATTGACATGATGCAATCTAAACCGATTCTGGGTTTTAATGGTAAAATTATCGGGACTAACTCTTACGAGGATATCAAAAACTCCGATGTCGTTGTGATTACCGCCGGCCTCGCTCGCAAGCCGGGAATGAGCAGAGAAGATCTGCTTAATAAAAATGCTGAAATAATCTCGGAGGTGGTTAAAGAAATTAAAAAAAATAGCCCTAATTCCAAGATTATACTGGTTACGAATCCCCTGGACATTATGACCTATCTTGCCTATAAAGTGTCTGGTTTTGATCCCAAAAGAGTGTTTGGTATGGCAGGTGTACTGGATACGGCACGCTATCGTTATTTTGTCAGCGAAAAGTTAGGTGTGATGCCCAATCAAGTAGAAGCACTCATTATAGGCAGTCATGCAGATGATATGGTTGTGTTACCTCGTCTCACAACCATTGACGGTAAAAACGCCATCGAACTTCTCAGCGAGAAAGATATTAATGAGATAGTGGAACGTACGAAAAATGCAGGTGCAGAGATCGTTGGTTTATTAAAAACAGGGAGTGCTTATTATGCACCGGGGGCGGCCGCCGCGAAAATGGCAGAGGCCATCCTGAATGATAAGAAAGAAATCTTGCCCGCATGTGCGTATTTGAACGGTGAATACGGGTTTAAGGACGTGTACGCAGGTGTTCCAGTGGTCATTGGCAAGAACGGTGTTGAGAAGATTATTGAAATCGAACTGACGGAGAAAGAAAAAAAAGAGTTGAACAACTCTATCAGCTCCATAAAAAAATCTCTGAAAGAGTTGAAACTCGCGGCCGCACTCGAGCACCACCACCACCACCACTGA</t>
  </si>
  <si>
    <t>MDIAIIGASGDVGRQIAQQLVAERLLDRSETLTLVGNPEGPSARSAYGLAADLTDAYAEIVPTIDVVLDPARIRADLIIAAAGATPRPPLTRDGLAEANAPIFERYARAIAAHGHGEIVICVSNPVELGVAVFARHLGRQRVLGMGAFLDSLRFRQEIAADLGIDRRRVHAFVVGEHGALSVPLWSGVHVYGLDDAALAEALARIRAGRPIAEFPAAVAAAQARLAALIAEGRVREAYAAVEALPPDVRVVVRPFVTHYSGAKTVIGTAHATVELVRTITAGADALVSGQVALDGEWLGIHGTIGVPFVVGRDGVDRVFELPLDAAEQQALAASAQAVAAANARFAAALEHHHHHH*</t>
  </si>
  <si>
    <t>ATGGATATTGCTATCATTGGTGCTAGTGGCGATGTTGGCCGTCAGATCGCACAACAGCTGGTCGCCGAGCGGTTACTGGATCGCTCGGAAACCCTGACCCTGGTGGGTAACCCTGAAGGACCATCAGCACGTTCGGCATATGGTCTGGCCGCGGATCTGACAGACGCATATGCTGAAATAGTTCCAACAATCGATGTCGTGTTGGATCCTGCTCGTATTCGGGCTGACCTTATAATTGCTGCTGCTGGTGCGACACCTCGCCCTCCTCTGACTCGTGATGGATTAGCAGAAGCGAACGCACCGATATTTGAACGATACGCTCGTGCAATTGCTGCGCATGGCCATGGTGAAATTGTCATCTGCGTCAGCAACCCTGTGGAATTAGGAGTTGCAGTATTTGCCCGGCACTTAGGTCGGCAGCGCGTTCTGGGGATGGGTGCCTTCTTGGACTCGTTACGTTTTAGACAAGAAATTGCCGCTGATTTAGGAATCGATCGCCGCCGGGTACATGCATTCGTTGTTGGGGAGCATGGTGCACTGAGCGTTCCGTTATGGAGTGGCGTGCATGTGTATGGCTTAGACGATGCAGCCCTGGCCGAGGCTCTGGCGCGCATTCGGGCTGGCCGTCCAATTGCTGAGTTCCCTGCCGCAGTAGCTGCAGCACAAGCTCGGTTAGCAGCCTTGATTGCAGAAGGTCGAGTGCGCGAGGCATATGCTGCGGTTGAAGCGCTGCCTCCGGATGTGCGAGTCGTCGTTCGACCATTCGTAACTCATTACTCCGGGGCTAAAACAGTTATTGGCACAGCGCATGCCACTGTGGAACTGGTTCGTACCATAACGGCAGGTGCTGATGCGCTGGTGAGCGGTCAGGTTGCCTTAGATGGGGAATGGTTGGGAATCCACGGTACCATCGGCGTCCCGTTCGTAGTAGGCCGCGACGGAGTAGATCGAGTATTTGAGCTCCCATTGGATGCTGCTGAGCAGCAGGCCTTGGCTGCAAGTGCGCAAGCCGTAGCGGCGGCCAATGCCCGTTTTGCGGCCGCACTCGAGCACCACCACCACCACCACTGA</t>
  </si>
  <si>
    <t>MTATRAAAAKFKVAVLGAAGGIGQPLSLLLKMNPLVSELALYDIANTPGVAADLSHINTGAKVKGFVGGDEQLGDALKGCDLVIIPAGVPRKPGMTRDDLFNINAGIVKTLCEGVAKHCPKALVNIISNPVNSTVPIAAEVFKKAGVYDPKRLFGVTTLDVVRANTFVAELAGLDPTKVDVPVVGGHAGVTILPLLSQTTPKVEFTDEQAKALTVRIQNAGTEVVEAKAGAGSATLSMAYAAARFAESCLKGLNGEKVVECAYVESSVVEGLPFFSSKVTLGKNGVEEIHGLGPLSKFEQEGLEKMKAELEGSIKKGVEFANKAAALEHHHHHH*</t>
  </si>
  <si>
    <t>ATGACAGCGACCCGAGCCGCAGCAGCGAAATTCAAGGTTGCTGTCTTAGGCGCAGCAGGGGGAATAGGCCAGCCGCTGTCACTGCTCTTAAAAATGAACCCTCTTGTCTCAGAACTGGCCCTGTACGATATCGCAAACACACCTGGTGTCGCTGCTGATCTTTCTCATATTAATACAGGAGCAAAGGTGAAAGGTTTTGTAGGCGGTGATGAGCAGTTGGGTGATGCGCTGAAAGGTTGTGACTTAGTTATAATCCCTGCGGGAGTACCGCGCAAACCGGGTATGACGCGCGATGATCTCTTCAATATTAACGCCGGGATAGTTAAAACGCTTTGCGAAGGCGTGGCAAAGCACTGTCCCAAAGCACTTGTTAACATCATTTCCAACCCCGTGAATTCAACTGTCCCGATTGCCGCGGAAGTTTTTAAAAAAGCGGGGGTGTATGACCCTAAGCGCCTGTTTGGAGTAACTACACTGGACGTTGTACGCGCCAACACGTTTGTGGCTGAATTAGCCGGCTTAGACCCCACTAAAGTGGACGTACCGGTCGTCGGGGGTCATGCTGGAGTGACGATCCTCCCCTTGCTTTCTCAGACCACTCCGAAAGTAGAATTTACCGATGAACAGGCCAAAGCATTAACGGTGAGAATTCAGAATGCGGGGACGGAAGTCGTTGAGGCGAAAGCCGGTGCCGGGTCAGCTACTCTGTCAATGGCCTATGCGGCGGCTAGATTCGCTGAGAGCTGCCTGAAGGGGCTGAATGGCGAGAAGGTTGTTGAATGTGCATATGTGGAATCTAGTGTGGTAGAAGGCCTCCCTTTTTTTAGCTCAAAAGTGACCTTAGGAAAAAACGGGGTGGAGGAGATACACGGTCTTGGTCCTTTAAGCAAATTCGAGCAGGAGGGTCTCGAGAAGATGAAGGCCGAACTGGAGGGTTCAATTAAAAAAGGGGTGGAATTCGCAAATAAAGCGGCCGCACTCGAGCACCACCACCACCACCACTGA</t>
  </si>
  <si>
    <t>MKKITIVGAGRVGESTAQILAKEELCREIVLIDIKEGVPQGVALDIQESAPLFGFDTRVTGSTDPAAMAGSDLVVITAGIPRKPGMSRSDVLDTNLAVIRGIVDDVLRHAPDAMLLMVTNPVDVLTYAAWKATGWDRRRVFGLSGVLDSARMASFIALETGFSVKDITAMVLGGHGDAMVPMPRYTTINGIPVRHFLDEATIARIVERTRHGGAEILALKKTSSAYDAPAAAIATMVDAIVHDRRRILPCVAILDGEYGLRDIAMGVPVVLGEGGMERVIELELTEEERAAFRASAAGVRADIARLRGAAALEHHHHHH*</t>
  </si>
  <si>
    <t>ATGAAAAAGATCACCATTGTTGGTGCAGGTCGTGTTGGTGAAAGCACCGCACAGATTCTGGCAAAAGAAGAACTTTGTCGCGAAATTGTGCTGATCGATATTAAAGAAGGTGTTCCGCAGGGCGTTGCACTGGATATTCAAGAAAGCGCACCGCTGTTTGGTTTTGATACCCGTGTTACCGGTAGCACCGATCCGGCAGCAATGGCAGGTAGCGATCTGGTTGTTATTACCGCAGGTATTCCGCGTAAACCGGGTATGAGCCGTAGTGATGTTCTGGATACCAATCTGGCAGTTATTCGTGGTATTGTTGATGATGTGCTGCGTCATGCACCGGATGCAATGCTGCTGATGGTTACCAATCCGGTGGATGTTCTGACCTATGCAGCATGGAAAGCCACCGGTTGGGATCGTCGTCGTGTTTTTGGTCTGAGCGGTGTGCTGGATAGCGCACGTATGGCAAGCTTTATTGCCCTGGAAACCGGCTTTAGCGTTAAAGATATCACCGCAATGGTTTTAGGTGGTCATGGTGATGCAATGGTTCCGATGCCTCGTTATACCACAATTAATGGTATTCCGGTTCGCCACTTTCTGGATGAAGCCACCATTGCACGTATTGTGGAACGTACCCGTCATGGTGGTGCCGAAATTCTGGCACTGAAAAAGACCAGCAGCGCATATGATGCACCGGCAGCAGCAATTGCCACCATGGTTGATGCCATTGTTCATGATCGTCGCCGTATTCTGCCGTGTGTTGCAATTCTGGATGGTGAATATGGTCTGCGTGATATTGCAATGGGTGTTCCGGTTGTGTTAGGTGAAGGTGGTATGGAACGTGTTATTGAACTGGAACTGACCGAAGAAGAACGCGCAGCATTTCGTGCAAGCGCAGCCGGTGTTCGTGCAGATATTGCCCGTCTGCGTGGTGCGGCCGCACTCGAGCACCACCACCACCACCACTGA</t>
  </si>
  <si>
    <t>MKTPKRVAVTGAAGQIGYSLLPRIASGAIFGPDTPVILQLLEIPPALGALNGVRMELEDCAFPLLHDIVCTDDPEVAFKDANLALLVGSKPRGPGMERKDLIRENGPIFTGQGKALDKVAASDVRVVVVGNPCNTNCLIAMHNAPSIPKERFTAMTQLDHNRAIAQLAAKAGVHVTDVTNMTIWGNHSNTQYPDWHHATIGGKPAAEVIGDDAWLQGEFIKTVQERGKAIIEARGKSSAASAANAAIDHARLLFRGTPEGDWTSMAVCSDGSYGVPEGLISSFPVRCKGNGDYEIVQGLEFDDFGKAQFEATLAELKEERETVADLLAAALEHHHHHH*</t>
  </si>
  <si>
    <t>ATGAAAACACCTAAACGTGTTGCCGTTACTGGTGCGGCTGGCCAGATTGGTTATTCCCTTTTACCTCGCATCGCTTCCGGCGCTATTTTCGGCCCTGATACGCCCGTAATTCTTCAACTTCTCGAAATTCCGCCGGCTCTGGGGGCATTGAATGGCGTCCGGATGGAATTAGAAGACTGTGCCTTTCCACTGTTACACGATATTGTTTGTACAGACGATCCGGAAGTCGCGTTTAAAGATGCGAACTTAGCCCTTTTAGTGGGCAGTAAACCGCGTGGACCAGGAATGGAACGGAAAGATTTAATCCGCGAAAACGGTCCTATCTTTACCGGTCAGGGGAAAGCGTTGGATAAGGTGGCTGCAAGTGATGTCCGTGTGGTTGTCGTAGGTAACCCGTGCAATACCAATTGTTTGATTGCGATGCATAATGCCCCCTCCATCCCGAAAGAACGGTTCACTGCGATGACCCAGTTAGATCATAATCGCGCGATTGCGCAACTGGCCGCCAAGGCCGGGGTGCACGTCACCGATGTTACGAATATGACAATATGGGGCAACCATTCTAACACACAATATCCCGATTGGCATCATGCCACAATTGGGGGGAAACCGGCAGCAGAAGTAATAGGTGACGATGCGTGGCTTCAGGGCGAATTTATTAAAACAGTACAGGAGCGTGGGAAGGCCATTATTGAAGCCCGCGGTAAGTCCTCAGCAGCTAGTGCCGCAAATGCGGCGATAGATCATGCCCGCCTGTTATTTCGTGGGACCCCTGAGGGAGATTGGACTAGCATGGCCGTGTGCAGCGATGGATCGTACGGCGTTCCAGAAGGGCTGATCTCATCATTTCCAGTACGCTGTAAGGGAAATGGAGATTATGAGATTGTGCAAGGTCTGGAATTTGATGATTTTGGAAAAGCGCAATTTGAGGCAACGTTAGCGGAACTGAAAGAGGAACGTGAAACCGTAGCCGATCTGTTGGCGGCCGCACTCGAGCACCACCACCACCACCACTGA</t>
  </si>
  <si>
    <t>MRKKIAVVGAGNVGATTAQYLAEKGLGDVVLVDVVEGLPQGKALDLLEAAPVEGYDSRVIGTNGYEETAGADIVVITAGIARKPGMSRDDLLATNAGIVRSVAEEVARYSPDAIVIVVSNPLDVMTYVAYKVTGFPRNRVMGMAGVLDSARFRTFIAMELGVSVEDIEAMVLGGHGDTMVPLLRYTTVGGIPVTQLIPPERLEAIVERTRKGGGEIVALLKTGSAYYAPAAAVVQMVEAIVKDKKRILPCAAYLEGEYGIDGLYVGVPVVLGAGGVERVIELKLTDEELAALQKSAAAVRGLVDKLAAALEHHHHHH*</t>
  </si>
  <si>
    <t>ATGCGTAAAAAAATTGCCGTTGTTGGAGCCGGAAATGTCGGCGCCACAACGGCCCAGTATTTAGCGGAGAAGGGTCTGGGTGACGTGGTGCTCGTCGATGTGGTGGAAGGTTTACCACAGGGCAAAGCTCTGGATCTCCTTGAAGCGGCGCCTGTGGAGGGTTACGACAGCCGGGTGATAGGAACCAATGGGTACGAAGAAACTGCCGGCGCTGACATCGTTGTAATAACAGCTGGCATCGCTCGCAAACCGGGCATGAGCCGCGATGATCTTCTGGCGACAAACGCGGGGATAGTTCGCTCCGTTGCTGAGGAAGTGGCGAGATACTCCCCAGACGCGATAGTGATTGTTGTGAGTAATCCATTAGATGTCATGACGTATGTGGCATATAAAGTTACCGGCTTCCCGCGTAACCGAGTTATGGGTATGGCGGGTGTGTTAGATAGCGCACGCTTTCGGACATTTATCGCAATGGAATTGGGTGTGTCCGTCGAAGATATTGAAGCGATGGTCCTGGGGGGCCATGGTGATACAATGGTTCCCCTGCTCCGTTATACTACGGTTGGGGGCATTCCGGTTACCCAATTGATCCCCCCGGAACGTTTAGAAGCTATCGTAGAACGTACCCGCAAAGGCGGTGGGGAGATCGTTGCACTGTTAAAAACTGGTTCCGCATATTATGCTCCGGCTGCCGCGGTTGTCCAGATGGTTGAAGCTATTGTCAAAGATAAAAAACGGATTCTGCCATGTGCAGCATATCTGGAGGGAGAATATGGGATTGATGGTCTGTACGTGGGGGTACCGGTGGTGCTTGGTGCCGGCGGGGTGGAACGCGTCATCGAGTTAAAACTGACGGACGAGGAATTAGCAGCTCTCCAGAAATCAGCAGCGGCTGTCCGGGGACTGGTTGATAAATTAGCGGCCGCACTCGAGCACCACCACCACCACCACTGA</t>
  </si>
  <si>
    <t>MSRPKITVVGAGNVGATTALRLAEKELGDVVLVDIVEGMPQGKALDLLESGPVEGYDSRIIGTNGYEETKDSDIVIITAGIPRKPGMSRDDLLATNAKIVKSVTEQVAKYSPDAILIVVSNPLDAMTYVAYKVSGFPKNRVMGMAGVLDSARFRTFIAMELGVSVEDIHAFVLGGHGDDMVPLPRYTTVAGIPITELLPKERIDALVERTRKGGGEIVKLLKTGSAYYAPAAAVVEMVEAILKDKKRILPCAALCEGEYGIKDLFVGVPVKLGKNGIEEIIEIKLTEEERAALQKSADHVRELCDKVDELGVLAAALEHHHHHH*</t>
  </si>
  <si>
    <t>ATGAGTCGCCCAAAAATCACAGTGGTCGGTGCGGGAAACGTTGGAGCGACCACGGCATTACGCCTGGCGGAAAAAGAATTAGGAGACGTTGTGCTGGTGGATATTGTTGAAGGGATGCCACAGGGTAAAGCGTTAGACCTGCTCGAGTCTGGCCCCGTGGAAGGATACGATAGCCGCATCATTGGCACTAATGGTTATGAAGAAACCAAGGATTCCGACATAGTGATAATCACAGCAGGCATCCCTAGAAAACCAGGAATGTCTCGAGACGATCTGCTTGCGACTAATGCCAAGATCGTAAAATCCGTGACCGAACAGGTTGCGAAATACTCACCGGACGCCATTCTTATTGTAGTAAGTAATCCTCTCGACGCGATGACCTATGTCGCGTACAAGGTTTCAGGTTTTCCTAAAAATCGCGTCATGGGCATGGCGGGAGTGCTGGATTCAGCCAGATTTAGAACGTTTATCGCTATGGAATTAGGTGTGTCTGTAGAAGATATCCACGCCTTTGTTCTGGGCGGCCATGGTGATGATATGGTGCCGCTCCCCCGATATACAACCGTAGCTGGCATCCCCATTACAGAGCTTCTGCCAAAAGAACGAATTGACGCTCTGGTCGAACGCACACGTAAAGGTGGAGGAGAGATTGTCAAACTCCTGAAAACTGGGAGCGCGTACTATGCACCCGCAGCGGCTGTGGTGGAAATGGTTGAAGCCATACTGAAAGATAAAAAACGTATTCTGCCATGCGCCGCTTTATGTGAGGGGGAATATGGCATCAAGGATCTGTTCGTCGGGGTGCCGGTAAAACTGGGTAAAAACGGAATTGAAGAAATAATCGAAATTAAATTAACGGAAGAGGAACGGGCAGCACTGCAAAAATCAGCAGATCATGTTCGGGAACTGTGTGACAAGGTGGATGAGCTGGGGGTCCTGGCGGCCGCACTCGAGCACCACCACCACCACCACTGA</t>
  </si>
  <si>
    <t>MRKKISVIGAGNVGASTALYLAEKELGDVVLVDIVEGVPQGKALDLLQAGPVRGYDSKITGTNDYKDIAGSDIVVMTAGFPRKPGMSRTDLLKANADIVGKAAESVKEHAPNAFVIVVTNPLDVMTYLMWKKTGFPKNRVMGMAGVLDSARFRTFIAMELGVSVEDVQAMVLGGHGDTMVPLPRYTTVSGIPVTELIPKERLDEIVERTRNGGAEIVKLLKTGSAFYAPAASAVQMVEAILKDKKRLLPAAAYLDGEYGLKDIYLGVPVILGAKGVEKIVELKLSPEELAALQKSAKDVKESIAELGLAAALEHHHHHH*</t>
  </si>
  <si>
    <t>ATGCGCAAGAAAATAAGCGTTATCGGTGCCGGTAACGTTGGAGCCAGTACGGCACTGTATCTTGCAGAAAAAGAGCTGGGAGATGTCGTTTTAGTAGACATAGTGGAGGGAGTTCCCCAAGGCAAAGCGCTGGATTTGCTTCAAGCGGGTCCAGTCCGAGGATACGATTCGAAAATAACGGGGACTAATGACTACAAAGATATAGCCGGCAGCGACATTGTGGTTATGACTGCAGGCTTTCCGCGGAAACCCGGCATGAGCCGTACGGACTTACTGAAGGCAAATGCGGACATCGTAGGTAAAGCAGCGGAATCCGTTAAAGAACACGCTCCAAACGCGTTCGTGATTGTTGTGACCAACCCACTTGATGTCATGACGTATCTGATGTGGAAAAAGACCGGTTTTCCGAAAAACCGTGTTATGGGCATGGCAGGCGTGTTAGATTCAGCCCGCTTTAGAACTTTTATAGCGATGGAGTTGGGCGTTTCTGTGGAAGATGTCCAAGCGATGGTCCTGGGTGGTCATGGCGACACCATGGTTCCGCTTCCCCGATATACAACAGTTTCAGGCATCCCGGTAACAGAGCTCATCCCCAAGGAACGGTTAGATGAGATTGTCGAAAGAACACGTAATGGCGGCGCAGAAATAGTCAAGTTGCTGAAAACGGGAAGTGCATTTTATGCCCCGGCTGCGTCGGCCGTTCAAATGGTAGAAGCCATTCTGAAAGACAAAAAACGGTTGCTGCCAGCAGCCGCGTATTTAGATGGGGAGTACGGTCTTAAAGATATATATTTGGGTGTACCGGTGATTTTAGGCGCGAAGGGAGTTGAGAAAATCGTTGAATTGAAGTTATCACCAGAAGAACTTGCCGCCCTCCAGAAAAGTGCAAAAGATGTCAAAGAAAGTATCGCCGAACTTGGTTTAGCGGCCGCACTCGAGCACCACCACCACCACCACTGA</t>
  </si>
  <si>
    <t>MEEELRREWRALRRVRERDRIGVWGFGNVSRDVVLYLVEQGLGKEIVFYGRPKEGYPNRAGAWIEDLKANALRRPRILGTNRVEDMAGLDVIFIGVGVPRREGQSRRDLLAVNTEVIARTSLEIRRLYEGCPPEDLPILVYMGNPVTAMTWVGYKATGFPRENVMGQAGNLDSRRICHAVARALGLSGRDMRGIVFGDHGDSMVVSPRYFTVGGIPLDVLIESRGIDPAEIRRIIEEAKKGGTHFVNETGQSASAGPAKAVGEMLRCIVTGEPEVQPVVAILEKEYGLLKPEDGLDSMSFGVPARIGPYGVERIYELPVEDIREELERSAAIVKEDIREAARILKERFGIGAAALEHHHHHH*</t>
  </si>
  <si>
    <t>ATGGAAGAAGAACTGCGTCGTGAGTGGCGTGCACTGCGTCGCGTGCGGGAACGAGACCGCATCGGCGTATGGGGCTTTGGGAACGTTTCTCGTGACGTGGTGCTTTATCTGGTAGAACAAGGGCTGGGGAAAGAAATAGTGTTTTATGGCCGTCCTAAAGAGGGTTATCCTAACCGTGCCGGGGCCTGGATCGAAGATTTGAAAGCTAATGCTTTACGCCGTCCTAGAATACTGGGCACCAATCGCGTAGAAGATATGGCTGGTCTTGATGTAATTTTCATCGGTGTGGGTGTCCCGCGCAGAGAGGGCCAGTCTCGCCGCGATCTTCTGGCAGTGAATACTGAAGTGATCGCCCGTACTAGTCTGGAAATTCGCCGGTTATACGAAGGTTGTCCCCCGGAAGACTTACCTATTTTAGTCTACATGGGCAATCCGGTAACTGCCATGACTTGGGTGGGATATAAAGCTACGGGCTTCCCTCGCGAGAATGTCATGGGTCAGGCAGGTAATTTAGATTCTCGCCGCATCTGTCATGCTGTTGCGCGAGCTCTCGGACTTAGTGGCCGGGATATGCGTGGCATTGTGTTTGGTGATCACGGTGATAGCATGGTGGTTAGCCCACGCTATTTTACAGTTGGTGGGATCCCGCTTGATGTATTAATAGAATCACGCGGCATTGATCCGGCCGAAATAAGACGTATTATCGAAGAAGCTAAGAAAGGAGGCACACATTTTGTCAATGAGACGGGACAGAGCGCGTCAGCCGGCCCAGCGAAAGCGGTTGGTGAGATGCTTCGATGTATCGTGACTGGTGAACCGGAGGTACAACCAGTGGTGGCCATTCTGGAAAAAGAATATGGGCTGCTTAAGCCGGAAGATGGACTCGATTCAATGAGCTTTGGTGTTCCGGCGCGTATCGGGCCATATGGAGTGGAGCGAATATATGAGCTTCCGGTGGAGGACATCCGTGAGGAACTGGAAAGAAGTGCCGCCATCGTAAAAGAAGATATCCGCGAAGCTGCTCGGATACTGAAGGAGCGGTTTGGGATCGGGGCGGCCGCACTCGAGCACCACCACCACCACCACTGA</t>
  </si>
  <si>
    <t>MRKKITVIGAGNVGATTAQLLAEKELGDIVLIDIIEGVPQGKALDLLESCPVEGFDVKVIGTNNYEDTANSDIVVITAGIARKPGMSRDDLLNTNANIVKSCTEQAVKYSPNAIIIVVSNPLDVMTYVAYKVSGFPKNRVIGMAGVLDSARFRTFIAMELNVSVENIHAFVLGGHGDTMVPLPRYSTVAGIPITELLPKEKIDKIVERTRNGGAEIVSLLKTGSAYYAPAASVVEMVEAIVKDKKKILPCAAYLEGEYGIKDLFVGVPVKLGKNGIEEIIEIKLTEEEKKALNKSAEAVKNLVEKLKLAAALEHHHHHH*</t>
  </si>
  <si>
    <t>ATGCGCAAAAAGATTACCGTTATTGGTGCAGGTAATGTTGGTGCAACCACCGCACAGCTGCTGGCAGAAAAAGAACTGGGTGATATTGTGCTGATCGATATCATTGAAGGTGTTCCGCAGGGTAAAGCACTGGATCTGCTGGAAAGCTGTCCGGTTGAAGGTTTTGATGTTAAAGTTATTGGCACCAACAACTATGAAGATACCGCCAATAGCGATATTGTTGTTATTACCGCAGGTATTGCACGTAAACCGGGTATGAGCCGTGATGATCTGCTGAATACCAATGCCAATATTGTTAAAAGCTGTACCGAACAGGCAGTGAAATATAGCCCGAATGCAATTATCATTGTTGTGAGCAATCCGCTGGATGTTATGACCTATGTTGCATATAAAGTTAGCGGCTTTCCGAAAAATCGTGTTATTGGTATGGCAGGCGTTCTGGATAGCGCACGTTTTCGTACCTTTATTGCAATGGAACTGAATGTGAGCGTGGAAAACATTCATGCCTTTGTTTTAGGTGGTCATGGTGATACCATGGTTCCGCTGCCTCGTTATAGCACCGTTGCAGGTATTCCGATTACCGAACTGCTGCCGAAAGAGAAAATTGACAAAATTGTTGAACGTACCCGTAATGGTGGTGCCGAAATTGTTAGCCTGCTGAAAACCGGTAGCGCATATTATGCACCGGCAGCAAGCGTTGTTGAAATGGTTGAAGCAATTGTGAAAGACAAAAAGAAAATTCTGCCGTGTGCAGCATATCTGGAAGGTGAATATGGTATCAAAGACCTGTTTGTTGGTGTTCCGGTTAAACTGGGTAAAAACGGCATTGAAGAAATCATCGAAATCAAGCTGACCGAGGAAGAAAAGAAAGCACTGAATAAAAGCGCAGAAGCCGTTAAAAATCTGGTGGAAAAACTGAAGCTGGCGGCCGCACTCGAGCACCACCACCACCACCACTGA</t>
  </si>
  <si>
    <t>MKRNKVTIVGAGNVGATAAHWAASKELGDIVLVDIIEGMPQGKALDLMQAAPVEGFDVNIIGTNDYKDTANSDVVIITAGIPRKPGMSRDDLLATNVKIVKDVTAKVAQYSPNAILIIVSNPLDAMVYTAWKVSGFPTNRVVGMAGVLDSARFRTFIAMELGVSVENVTAFVLGGHGDTMVPLPRYSTVAGIPVTELLPKDKIEAIVKRTAKGGAEIVSLLKTGSAYYAPSAAAVEMAEAILKDKKKILPCAAYCDKEYGVGGYFVGVPVKLGKNGVEQIIEIKLTDEEKAAFNKSVAAVKELVAQVDKLLAAALEHHHHHH*</t>
  </si>
  <si>
    <t>ATGAAACGCAACAAAGTGACCATTGTTGGTGCAGGTAATGTTGGTGCCACCGCAGCACATTGGGCAGCAAGCAAAGAACTGGGTGATATTGTTCTGGTGGATATCATTGAAGGTATGCCGCAGGGTAAAGCACTGGATCTGATGCAGGCAGCACCGGTTGAAGGTTTTGATGTTAATATCATTGGCACCAATGACTACAAAGATACCGCCAATAGTGATGTGGTGATTATTACCGCAGGTATTCCGCGTAAACCGGGTATGAGCCGTGATGATCTGCTGGCAACCAATGTTAAAATTGTGAAAGATGTGACCGCAAAAGTTGCACAGTATAGCCCGAATGCAATTCTGATTATTGTTAGCAATCCGCTGGATGCCATGGTTTATACCGCATGGAAAGTTAGCGGTTTTCCGACCAATCGTGTTGTTGGTATGGCAGGCGTTCTGGATAGCGCACGTTTTCGTACCTTTATTGCAATGGAACTGGGCGTTAGCGTTGAAAATGTTACCGCATTTGTTTTAGGTGGTCATGGTGATACCATGGTTCCGCTGCCTCGTTATAGCACCGTTGCCGGTATTCCGGTTACCGAACTGCTGCCGAAAGACAAAATTGAAGCAATTGTTAAACGTACCGCCAAAGGTGGTGCAGAAATTGTTAGCCTGCTGAAAACCGGTAGCGCATATTATGCACCGAGCGCAGCAGCAGTTGAAATGGCAGAAGCCATTCTGAAAGACAAGAAAAAGATTCTGCCGTGTGCAGCCTATTGCGATAAAGAATATGGTGTTGGTGGTTATTTTGTTGGTGTTCCGGTTAAACTGGGTAAAAATGGTGTTGAGCAGATTATCGAAATCAAACTGACCGATGAAGAAAAGGCAGCCTTTAACAAAAGCGTTGCAGCAGTTAAAGAGCTGGTTGCACAGGTTGATAAACTGCTGGCGGCCGCACTCGAGCACCACCACCACCACCACTGA</t>
  </si>
  <si>
    <t>MSKPKVTVVGAGNVGATTAQRLVEKELADVVLVDIVEGLPQGKALDLMQAAPVEGHDSKIVGTNNYDETKDSDVVVITAGIARKPGMSRDDLLKTNAEIVGGVTKEIVKRSPNAIIIVVSNPLDVMTQLAWKKSGFPSKRVIGMAGVLDSARYACFIAEALNCSIEDVRAMVLGGHGDTMVPVPQYSTVNGIPITELLSKEKIEAINDRTRNGGAEIVKYLKTGSAYYAPSSSAVAMVEAILKDKKKILPCAAYLEGEYGIKDLFVGVPVKLGKNGVEEIIELKLTDEELEALHKSAAAVKELVEKLAAALEHHHHHH*</t>
  </si>
  <si>
    <t>ATGTCAAAGCCCAAAGTCACAGTGGTTGGAGCTGGCAACGTAGGGGCCACCACAGCTCAGCGCTTAGTAGAGAAAGAACTGGCAGATGTTGTACTGGTAGATATTGTGGAGGGGCTTCCTCAGGGCAAAGCCTTGGATCTGATGCAAGCGGCGCCAGTGGAAGGTCACGATAGCAAAATCGTTGGAACAAACAATTACGATGAAACAAAGGATTCTGATGTGGTCGTGATTACTGCCGGTATAGCCCGGAAGCCGGGTATGAGCAGAGACGATTTACTCAAAACGAACGCGGAAATTGTCGGCGGAGTAACTAAAGAAATAGTGAAACGCTCTCCCAACGCGATTATCATAGTGGTTAGTAACCCGCTGGATGTGATGACTCAGCTTGCCTGGAAGAAAAGTGGTTTCCCGAGCAAACGTGTTATCGGCATGGCAGGAGTCCTTGATAGTGCTCGTTATGCTTGTTTTATTGCCGAGGCCCTGAATTGTTCTATCGAAGACGTACGCGCAATGGTATTGGGTGGCCACGGGGATACTATGGTGCCCGTACCCCAGTACAGTACCGTCAACGGGATTCCGATTACCGAACTGTTGTCCAAAGAGAAGATAGAAGCTATTAACGATCGCACTCGCAATGGCGGTGCAGAGATTGTCAAATACTTAAAAACTGGGAGCGCCTATTACGCACCGAGCTCAAGTGCAGTCGCGATGGTTGAAGCAATTCTGAAGGACAAGAAAAAAATTCTGCCTTGCGCTGCCTACTTAGAAGGTGAATACGGGATTAAGGATTTATTTGTGGGTGTGCCGGTTAAATTGGGAAAAAACGGAGTGGAAGAGATAATCGAACTGAAACTTACGGATGAGGAACTTGAGGCGTTGCATAAGAGCGCGGCGGCAGTGAAGGAGCTGGTAGAAAAGCTTGCGGCCGCACTCGAGCACCACCACCACCACCACTGA</t>
  </si>
  <si>
    <t>MRKKISVIGAGNVGATTAHLIAQKELGDVVLVDIVEGMPQGKALDMAQASPIEGYDVEIKGTNSYEDIKGSDIVVVTAGIARKPGMSRDDLLKTNAEIVKSVAENIKKYAPDSIVIVVTNPLDVMTYLMWKVTGFPKNRVMGMAGVLDSARFRYFIAKELNVSVEDVQAMVLGGHGDTMVPLPRYTTVSGIPITELLPKEKIDEIVERTRNGGAEIVKLLKTGSAYYAPAASVVEMVESILKDKKRILPCAAYLEGEYGLNDIFIGVPVKLGKNGVEKIIELKLTDEELEALHKSAKSVKENIDILKELLAAALEHHHHHH*</t>
  </si>
  <si>
    <t>ATGCGCAAAAAAATCAGTGTTATTGGTGCAGGCAATGTCGGTGCCACCACAGCGCACCTCATTGCACAGAAGGAACTCGGTGATGTAGTTTTGGTAGACATTGTGGAAGGTATGCCGCAGGGGAAAGCGCTTGATATGGCACAAGCCTCCCCGATCGAGGGTTATGATGTAGAGATCAAAGGGACGAACAGCTATGAGGATATCAAGGGTAGCGACATTGTGGTTGTAACCGCGGGAATCGCCCGCAAACCTGGCATGTCAAGAGATGATTTACTTAAGACGAATGCCGAAATCGTGAAAAGTGTGGCCGAGAACATCAAAAAATACGCCCCGGACAGTATTGTTATTGTGGTCACTAATCCATTAGACGTCATGACTTACCTCATGTGGAAAGTCACCGGCTTTCCTAAAAACCGTGTGATGGGGATGGCGGGTGTGCTGGACTCAGCGCGTTTCAGATATTTTATAGCTAAAGAACTGAACGTATCAGTTGAAGACGTCCAGGCAATGGTCCTGGGAGGTCATGGGGATACTATGGTGCCTTTACCGAGATATACTACGGTTTCCGGTATTCCTATAACAGAACTGTTGCCGAAAGAGAAAATCGATGAAATAGTGGAACGTACGCGTAACGGTGGTGCAGAAATTGTGAAGCTCTTAAAAACAGGTAGCGCCTATTACGCACCAGCTGCCTCTGTGGTAGAAATGGTCGAGAGCATTTTAAAGGATAAAAAACGCATTCTTCCCTGTGCAGCATACCTGGAAGGTGAATATGGCCTGAATGACATATTTATCGGCGTTCCTGTCAAACTTGGCAAAAACGGCGTGGAAAAAATTATAGAACTGAAACTGACCGACGAGGAATTGGAAGCTCTGCATAAGTCCGCTAAATCAGTTAAGGAAAACATTGACATCCTGAAAGAACTGCTCGCGGCCGCACTCGAGCACCACCACCACCACCACTGA</t>
  </si>
  <si>
    <t>MSKQPVRVAVTGAAGQIGYALLFRIASGEMLGKDQPVILQLLEIPDEKAQNALKGVIMELEDCAFPLLVGIEAHSDPMTAFKDVDYALLVGSRPRGPGMERAELLAVNGEIFTAQGKALNAVASRNVKVLVVGNPANTNAYIAMKSAPDLPAKNFTAMLRLDHNRALSQVAAKTGKAVADIEKLAVWGNHSPTMYADYRFATINGESVEKMINDQEWNANVFLPTVGKRGAAIIEARGLSSAASAANAAIDHMRDWALGTNGKWVTMGIPSNGEYGIPAETMFGFPVTCENGEYTIVKDLPIDEFSKERIAKTLAELEGERAGVAHLLAAALEHHHHHH*</t>
  </si>
  <si>
    <t>ATGAGCAAGCAGCCTGTTCGCGTTGCGGTGACTGGGGCCGCCGGTCAGATAGGATATGCTCTCTTGTTTCGCATTGCTTCAGGGGAGATGCTGGGTAAGGACCAGCCGGTGATTCTGCAGTTGTTAGAGATCCCAGACGAAAAAGCACAGAACGCTTTAAAAGGCGTAATTATGGAATTAGAGGATTGTGCATTTCCTCTCTTAGTCGGCATTGAGGCACACTCAGATCCGATGACAGCCTTCAAAGATGTGGATTACGCACTCCTGGTTGGAAGTCGCCCGCGCGGACCGGGGATGGAACGCGCTGAATTACTGGCAGTTAATGGCGAGATATTTACTGCTCAAGGCAAGGCGCTGAACGCGGTAGCCTCACGCAACGTTAAAGTATTAGTAGTGGGTAACCCTGCGAATACTAATGCGTATATTGCTATGAAATCCGCACCCGATCTCCCGGCGAAAAATTTTACCGCGATGCTGCGCCTTGATCATAATCGTGCCCTCAGTCAGGTTGCAGCAAAAACAGGAAAGGCTGTTGCTGATATAGAAAAGCTGGCCGTTTGGGGTAATCATAGTCCGACAATGTATGCTGACTATCGGTTTGCCACCATTAACGGTGAGAGTGTTGAAAAGATGATTAACGATCAGGAATGGAATGCAAATGTATTTTTACCCACAGTAGGCAAACGGGGTGCAGCGATCATAGAGGCGCGAGGTTTGAGCTCTGCAGCGTCTGCGGCGAATGCAGCTATAGATCACATGCGAGATTGGGCCCTTGGTACTAACGGGAAGTGGGTGACAATGGGCATACCCTCCAATGGGGAATATGGGATACCCGCAGAAACCATGTTCGGCTTCCCGGTAACTTGTGAGAATGGTGAGTATACCATTGTAAAAGACCTGCCGATTGATGAGTTTAGTAAGGAACGTATTGCCAAAACCTTAGCTGAATTAGAAGGCGAACGTGCAGGCGTTGCACACCTTTTGGCGGCCGCACTCGAGCACCACCACCACCACCACTGA</t>
  </si>
  <si>
    <t>MKKIAFIGVGKIGQTIAYSSLIDGIFDEAILYDIIPELPEKFEHELRHAFATKGIKTEVLGTNSLDDVSGADIVVITAGKPRKPGMSRRDLFVDNAKIMIDLAKKLPKKNPGAIYVMVANPVDMMASVFMKYSKEYTISTGDQVETMRMRSFIAKKLKVPVNKVNGYVGGEHGEDAVVLWSTVKVNGKPVDELGIDKKEVEEYVKKIPGEIIRVMGGTTWGPGTIIADIIRSIALNENRVMSIATPREYEGEIIHISVPVVVGRTIGPSLESLLDEKDRWHLMAAMKDFYSVYKELIKTSLIEQLSAAALEHHHHHH*</t>
  </si>
  <si>
    <t>ATGAAGAAAATCGCATTCATTGGCGTCGGCAAGATTGGCCAGACTATTGCATATTCATCGTTAATCGATGGGATCTTTGACGAGGCTATCTTATATGATATTATACCCGAATTACCGGAAAAATTCGAACATGAGTTACGCCATGCATTCGCGACAAAAGGCATCAAAACCGAAGTTCTGGGTACTAACAGTTTGGACGATGTAAGCGGTGCTGATATAGTTGTGATCACCGCCGGTAAGCCTCGTAAACCAGGCATGAGCCGTCGTGACCTGTTTGTTGATAATGCCAAAATTATGATTGATCTGGCGAAAAAACTGCCGAAAAAGAATCCTGGGGCCATCTATGTGATGGTAGCGAACCCAGTGGATATGATGGCTAGTGTGTTTATGAAATACTCGAAAGAGTACACAATATCTACCGGTGATCAGGTCGAGACTATGCGCATGCGTTCTTTTATAGCTAAAAAATTGAAAGTTCCGGTGAATAAAGTCAATGGCTATGTGGGTGGCGAACATGGAGAGGACGCAGTGGTGTTATGGTCTACTGTAAAAGTTAATGGCAAACCCGTAGATGAACTGGGAATCGATAAAAAAGAAGTCGAAGAATACGTTAAAAAAATTCCAGGCGAAATTATCCGTGTAATGGGCGGAACCACTTGGGGGCCCGGTACGATTATTGCTGATATTATTCGCTCGATAGCCCTGAATGAGAACAGAGTCATGAGCATTGCCACACCTCGGGAATATGAGGGCGAAATTATCCATATTAGCGTCCCAGTGGTAGTTGGCCGAACCATTGGTCCCTCACTGGAGTCACTGCTGGATGAAAAAGATCGGTGGCATTTGATGGCCGCGATGAAGGACTTTTATAGTGTTTATAAAGAGCTGATCAAGACTAGCCTGATAGAACAGCTGAGCGCGGCCGCACTCGAGCACCACCACCACCACCACTGA</t>
  </si>
  <si>
    <t>MTISIIGSGKVGASVALNCGLRELDDINLIDIIEGLPQGEAMDINHQLSERGSDSIVKGTNDFSVIKDSDIVILVAGVGRKPGMTRMDLLKTNASIVKGVAENISKYAKDSKLIVVTNPLDPMTYLALKVTKFKKNNVMGMGGMLDLSRFKSFIHEYTKISRDSIQAMVISEHGENMLPLIRFSSISGIPLTNFISEKQSNEIFEKTKQVAAEVIKLKGATVYAPGNAVATMVESIIKDKKSVIPVSAYLDGEYGYSDVCIGVPAVIGKNGVEKIIELDLNDFEKEIFDKGVESVKNAISSLPIAAALEHHHHHH*</t>
  </si>
  <si>
    <t>ATGACAATCTCTATTATTGGTTCTGGAAAAGTGGGTGCATCGGTCGCACTGAATTGCGGCTTACGCGAACTTGATGATATTAATCTGATTGATATTATCGAAGGTTTGCCGCAAGGCGAAGCAATGGATATTAACCACCAGCTTTCAGAAAGAGGCAGCGATAGCATTGTTAAAGGTACGAATGATTTTTCTGTGATTAAAGATTCAGACATTGTGATTCTCGTTGCGGGCGTGGGTCGGAAACCTGGTATGACACGTATGGACCTTCTTAAAACAAACGCAAGTATTGTGAAAGGTGTCGCGGAAAATATAAGTAAATACGCTAAAGATTCTAAATTGATTGTGGTGACCAACCCGCTGGATCCCATGACGTATTTGGCCCTGAAAGTCACCAAATTTAAAAAAAATAATGTGATGGGCATGGGTGGTATGCTCGACCTGTCTCGATTTAAGAGCTTCATTCACGAGTATACTAAGATATCGCGTGATTCTATCCAAGCTATGGTGATTTCAGAACATGGCGAAAATATGTTGCCTCTGATCAGATTCTCATCCATCTCAGGAATACCTCTCACCAATTTTATCTCTGAAAAACAATCAAATGAAATATTTGAGAAAACGAAACAGGTGGCGGCTGAGGTGATCAAACTCAAAGGAGCAACCGTTTACGCACCGGGCAACGCCGTTGCAACAATGGTTGAGAGCATAATAAAAGACAAAAAAAGTGTAATCCCAGTTAGTGCTTATCTCGATGGCGAGTATGGTTACTCTGACGTTTGTATCGGGGTACCGGCAGTCATCGGCAAAAATGGGGTAGAAAAAATTATCGAGTTAGACTTAAATGATTTCGAAAAAGAGATTTTTGACAAAGGCGTCGAATCTGTGAAAAATGCCATATCAAGTCTGCCTATAGCGGCCGCACTCGAGCACCACCACCACCACCACTGA</t>
  </si>
  <si>
    <t>MARPKIALIGAGNIGGTLAHLAGLKELGDVVLFDIAEGIPQGKALDLAESSPVEGFDAKLSGTNSYADIKGADVVIVTAGVPRKPGMSRDDLIGINTKVIKSVGEGIKKYAPNAFVIVITNPLDVMVGVMRDATGFPHNKVVGMAGVLDSARFRYFLAEELKVSVKDVQAFVLGGHGDTMVPLPRYSNVAGIPLPDLVKMGWITQKKLDEIVDRTRNGGAEIVNLLKTGSAFYAPAASAIAMAESYLKDQKRVLPCAAYLNGEYGVKDLYVGVPVVIGAKGVERIVEIKLNAEEKKMFDNSVKAVKGLVAAVKKLAAALEHHHHHH*</t>
  </si>
  <si>
    <t>ATGGCACGCCCGAAAATAGCATTAATCGGTGCCGGTAACATTGGTGGTACTCTGGCCCATTTAGCTGGCCTGAAGGAACTGGGTGACGTTGTTCTTTTTGATATTGCCGAAGGTATTCCCCAAGGAAAAGCGTTAGATTTGGCTGAATCGTCACCAGTAGAGGGCTTTGATGCCAAACTGTCAGGAACCAATTCCTATGCCGACATCAAAGGTGCGGATGTGGTGATTGTCACTGCAGGAGTACCGCGTAAACCGGGCATGAGCAGAGATGACTTGATCGGTATTAACACAAAAGTGATTAAAAGCGTTGGAGAAGGAATTAAGAAGTACGCACCAAACGCGTTTGTCATTGTTATTACCAATCCTCTGGACGTTATGGTGGGAGTGATGCGTGATGCCACTGGGTTCCCGCATAACAAAGTGGTAGGTATGGCCGGAGTTCTGGACTCAGCCCGTTTTAGATACTTTCTGGCGGAAGAGTTGAAAGTGAGTGTCAAAGATGTTCAGGCATTCGTGTTAGGTGGCCATGGAGATACCATGGTGCCGCTGCCACGCTACTCTAATGTCGCCGGTATACCGCTGCCAGATCTCGTTAAAATGGGCTGGATTACACAGAAGAAATTGGATGAGATTGTTGATCGGACAAGAAATGGAGGCGCTGAAATCGTGAACCTCTTGAAAACTGGCTCGGCATTTTATGCGCCGGCAGCATCTGCGATAGCGATGGCTGAAAGTTACTTGAAAGACCAGAAAAGAGTCTTACCGTGTGCCGCGTATCTGAATGGAGAGTATGGAGTCAAAGATCTCTATGTTGGCGTGCCCGTAGTAATTGGGGCGAAAGGAGTGGAGCGTATAGTGGAAATTAAATTGAACGCCGAAGAGAAGAAGATGTTTGATAACTCTGTTAAAGCTGTAAAGGGACTGGTAGCAGCGGTTAAAAAGCTTGCGGCCGCACTCGAGCACCACCACCACCACCACTGA</t>
  </si>
  <si>
    <t>MHTVAVVGGAGTIGTTAAYTLGVDRPDVDVRLCDVAGDDAAGHAIDLRHARCHTAAHALGGPPTGEVTAVDPPAAVADADCVLVTASVPRPTERGEEAGRNAWWPANREVAETVGAWLAAADPVPVVLSVTNPLDRYLAVLHAESGWPRHRFVGYSGLSETARMADAIARRVGADPAAVDCPILGEHGEHMVPAYSRATVGGEPFDPALSPAEREALLDETKAAPYDVIDLRGGEDSSRWVTARGVALVVERILDGGEGTVCLSTPLDGEYGVEGVPVSVPVELGPDGVERVVEWELSDAERRGVERAVAAVRDDLAAALEHHHHHH*</t>
  </si>
  <si>
    <t>ATGCATACCGTTGCGGTGGTAGGTGGTGCCGGAACCATTGGCACCACTGCGGCATACACTTTAGGTGTTGACCGGCCAGATGTAGATGTGCGCCTCTGTGACGTAGCGGGCGATGATGCGGCAGGGCATGCGATTGACCTGCGTCATGCACGTTGTCATACCGCCGCGCATGCCTTGGGTGGTCCGCCGACCGGCGAAGTCACTGCAGTAGATCCTCCAGCCGCTGTGGCGGACGCTGATTGCGTCCTGGTAACGGCTTCAGTGCCACGGCCCACAGAACGTGGTGAGGAAGCCGGTCGTAATGCTTGGTGGCCAGCCAACCGCGAAGTGGCAGAGACTGTAGGCGCGTGGCTGGCGGCTGCAGATCCGGTTCCCGTTGTGCTGTCAGTTACGAATCCTTTGGATCGCTACCTGGCTGTGCTGCACGCGGAGTCCGGTTGGCCGCGTCACCGTTTCGTGGGTTACTCTGGTCTGAGCGAAACGGCGCGTATGGCCGATGCAATAGCCCGCAGAGTGGGTGCAGACCCAGCGGCCGTAGATTGCCCGATACTGGGGGAACACGGTGAACACATGGTTCCGGCGTATTCCCGCGCAACTGTAGGTGGTGAACCGTTCGATCCTGCGCTGAGCCCGGCAGAACGGGAAGCACTTCTTGACGAGACCAAAGCGGCCCCCTATGATGTAATAGACCTTCGTGGAGGTGAGGATTCCTCTCGTTGGGTGACCGCACGCGGTGTTGCTCTCGTCGTGGAAAGAATTTTGGATGGCGGCGAGGGTACCGTCTGCCTGTCTACACCACTGGACGGCGAATACGGCGTTGAAGGGGTTCCCGTTAGCGTGCCGGTTGAGCTGGGCCCGGATGGGGTGGAACGCGTTGTTGAGTGGGAGCTTTCTGATGCGGAACGTCGCGGTGTAGAACGAGCTGTCGCCGCGGTTCGAGACGATTTAGCGGCCGCACTCGAGCACCACCACCACCACCACTGA</t>
  </si>
  <si>
    <t>MSSPTDRRPRVSIIGAGRVGSTLAQRLVEKNIADVVLLDIVEGMPQGIALDLMEARGVERHDRQIIGTNDYADTSNSDVVVITAGRPRKPGMNREDLIKTNAKIVVEAAKKAIARSPDAILIVVTNPLDVMTYLAWEASGLPPRRVVGMAGVLDAARFKTFIAMELGVSIQEINAMVLGDHGKLMVPLPRYSTVNGIPITELMDAATIDRLVERTRNGGTEIVELMQTGSAYFAPASSTCLMVESILHNQSRLLPAAAYLQGEYGLQDIFLGVPCVLGYQGVEKIVELNLTPEELAALHESAKSVRQNIQRAKAILSSAAALEHHHHHH*</t>
  </si>
  <si>
    <t>ATGTCGTCACCTACCGACAGACGGCCCCGTGTCAGTATTATAGGAGCCGGCCGTGTTGGCAGCACTTTGGCACAGCGGCTGGTGGAGAAAAATATAGCTGACGTTGTCCTGCTGGATATTGTTGAGGGAATGCCACAGGGAATTGCGCTGGATCTGATGGAGGCCCGCGGCGTTGAACGTCACGATCGTCAGATCATTGGTACTAATGATTATGCCGATACTAGCAACAGTGATGTAGTCGTCATTACTGCCGGGCGCCCGCGCAAGCCTGGAATGAACAGAGAAGATTTGATCAAAACAAATGCGAAAATTGTGGTGGAGGCCGCCAAAAAGGCGATAGCGCGCAGTCCAGATGCTATTCTCATAGTGGTCACGAATCCGTTAGACGTTATGACTTATCTGGCCTGGGAAGCCTCCGGTTTACCTCCGAGACGTGTTGTAGGCATGGCGGGGGTTCTGGACGCAGCACGTTTTAAGACTTTCATTGCTATGGAACTTGGCGTGAGTATCCAGGAGATAAACGCAATGGTTTTGGGCGACCATGGCAAGCTGATGGTCCCCCTTCCGCGTTATTCAACCGTGAATGGAATTCCAATTACGGAATTGATGGATGCTGCAACTATTGACCGCCTGGTGGAGCGCACACGTAACGGTGGCACAGAAATTGTTGAGCTGATGCAGACTGGAAGCGCTTATTTTGCGCCCGCTTCATCAACCTGTCTGATGGTTGAATCGATACTGCATAATCAATCCCGTCTTTTGCCGGCTGCCGCCTATTTACAAGGTGAATATGGTCTTCAGGATATCTTCCTGGGCGTACCGTGTGTTCTGGGGTACCAGGGTGTGGAAAAAATTGTTGAACTCAATCTGACACCGGAAGAGCTGGCCGCTCTTCACGAGTCTGCAAAAAGTGTACGACAGAATATCCAGCGCGCAAAAGCAATACTGAGCTCGGCGGCCGCACTCGAGCACCACCACCACCACCACTGA</t>
  </si>
  <si>
    <t>MSIKVCITGAAGQIGYALLPHICSGKTFGPDQPVTLHLLDIAPAMGALEGVKMELEDATYPLLKGVVATADEEVAFKDVNAAILVGAFPRKEGMERKDLLEKNCGIFKSQGKALDKYAAKDVKVLVVGNPANTNCLIAMECAPSIPKENFSALTRLDHNRAIGQLAIKTGSKLEDVKNCIIWGNHSSTQYPDINHATITTKDGKVKAKDAIDDEKWYTGEFIPTVQKRGAAIIAARKLSSALSAAQAICDHMHDWVLGTPKGKYVSMAVDSTGTYGVPDGLIYSFPVTCENGKWKIVQGLSIDDFSKSKMAETEKELVEEKADALAILEAAKKEKKEEKAAALEHHHHHH*</t>
  </si>
  <si>
    <t>ATGAGTATTAAAGTGTGCATTACAGGTGCAGCTGGACAGATTGGCTATGCTCTGCTTCCGCACATCTGTAGCGGCAAAACATTTGGCCCTGACCAGCCGGTTACGCTTCATTTATTAGACATAGCTCCAGCCATGGGTGCCCTCGAGGGGGTTAAGATGGAGCTGGAGGATGCCACCTATCCATTGCTGAAAGGTGTGGTCGCGACGGCAGATGAAGAAGTTGCGTTCAAAGATGTAAATGCTGCGATACTGGTCGGCGCATTTCCGCGTAAAGAAGGTATGGAACGAAAGGACCTTCTCGAAAAAAATTGTGGTATTTTTAAATCACAGGGCAAAGCCCTTGATAAGTATGCGGCCAAAGACGTCAAAGTTTTGGTGGTGGGTAACCCTGCAAATACCAACTGCCTGATCGCAATGGAATGTGCACCGTCAATTCCGAAAGAAAACTTTTCCGCACTGACGCGATTGGACCATAATCGGGCAATAGGTCAACTGGCGATCAAAACCGGATCGAAACTTGAAGACGTAAAAAATTGCATAATATGGGGCAACCATTCTTCTACGCAGTATCCGGATATTAACCATGCGACAATAACCACTAAAGACGGCAAAGTTAAAGCGAAAGACGCGATTGATGATGAGAAATGGTACACCGGGGAATTCATCCCGACTGTCCAAAAACGTGGTGCCGCCATCATTGCGGCGCGTAAACTGTCCTCAGCACTTAGCGCAGCTCAGGCAATATGCGATCATATGCATGATTGGGTATTGGGGACGCCCAAAGGTAAATATGTTAGCATGGCAGTAGATAGCACTGGGACGTACGGGGTCCCAGACGGTTTAATTTACTCCTTTCCGGTGACATGTGAGAACGGCAAATGGAAAATTGTGCAGGGGCTTTCCATAGACGATTTCTCAAAATCTAAGATGGCCGAGACCGAAAAAGAGCTGGTTGAAGAAAAGGCCGACGCGTTAGCAATTCTGGAAGCTGCCAAGAAGGAAAAGAAAGAAGAGAAGGCGGCCGCACTCGAGCACCACCACCACCACCACTGA</t>
  </si>
  <si>
    <t>MPLSLLLKLNPKVTDLRLYDIRLAPGVAADLGHINTPSQCTGYAQENLEKALEGAEVIVIPAGVPRKPGMTRDDLFNTNASIVRDLAKAAAKVSPKAHMLIISNPVNSTVPIVAEVFKRAGVYDPKRLFGVTTLDIVRASTFLSGIAGSKPADTNVPVIGGHSGVTIVPLLSQAQQGSAVSGEAYEKLIHRIQFGGDEVVKAKDGAGSATLSMAFAGARFANSLLRAAQGEKGVIEPTFVDSPLYKDQGIDFFSSKVELGPNGVEKIHPLGELSAYEQKLLDACLVDLKKNIEKGVKFVAENPAAALEHHHHHH*</t>
  </si>
  <si>
    <t>ATGCCGCTTTCGCTGCTCTTGAAATTGAATCCAAAAGTGACGGATCTCCGACTGTATGACATTCGCTTAGCGCCGGGTGTTGCTGCAGACCTTGGCCATATAAATACCCCCTCACAGTGCACCGGGTACGCTCAGGAGAACCTCGAGAAAGCTCTGGAAGGTGCAGAAGTCATCGTCATACCAGCGGGCGTTCCGCGCAAACCTGGGATGACACGCGACGATCTCTTCAATACCAATGCCTCGATTGTTCGTGACCTGGCCAAAGCAGCGGCTAAAGTGTCGCCAAAAGCTCACATGTTAATAATCTCAAACCCTGTGAATTCGACTGTGCCGATCGTTGCTGAGGTGTTTAAAAGAGCGGGTGTGTATGACCCAAAACGCCTCTTTGGTGTAACCACGCTGGATATAGTGCGGGCAAGCACCTTTCTGTCGGGCATTGCCGGATCGAAACCAGCAGATACAAACGTGCCTGTTATTGGAGGCCACTCTGGTGTGACCATTGTACCTCTGCTCAGTCAAGCTCAACAGGGCAGTGCCGTTTCTGGAGAGGCCTATGAAAAACTCATTCATCGTATACAGTTTGGTGGCGACGAAGTGGTGAAAGCAAAAGATGGCGCAGGTTCTGCCACCTTATCAATGGCGTTCGCAGGTGCGCGTTTCGCAAATTCGTTACTGCGGGCCGCCCAAGGCGAAAAAGGGGTAATAGAACCCACTTTTGTGGATAGTCCTCTGTACAAGGATCAGGGGATTGATTTTTTCTCTTCGAAAGTGGAACTCGGTCCAAACGGAGTCGAAAAAATACACCCGCTGGGCGAACTTTCGGCGTATGAACAAAAGCTTCTGGATGCGTGTCTCGTCGATCTTAAAAAAAATATAGAGAAAGGCGTTAAGTTTGTGGCAGAGAATCCGGCGGCCGCACTCGAGCACCACCACCACCACCACTGA</t>
  </si>
  <si>
    <t>MKVTIVGAGNVGASCAEYIAIKKIASKVVLLDIKEGFAEGKALDLMQTATTLGFNTTIEGVTNDYSKTANSDVVVITSGIPRKPGMTREELIGINAGIVKSVSENILKHSPNTIIVVVSNPMDTMTYLAHKATGLPKNRIIGMGGALDSARFKYRLAEALDAPISDVDGMVIGGHSDVGMVPLTRLATRNSVPVSKFISKERLEQVKEDTKVGGATLTKLLGTSAWYAPGAAVSGLVQAIACDQKKMFPCSVFLEGEYGQKDICIGVPVIIGKNGIEKIVDIELSEEEKKKFKESAEGVRKTNELLKEVLAAALEHHHHHH*</t>
  </si>
  <si>
    <t>ATGAAGGTAACGATCGTTGGGGCGGGCAATGTTGGGGCCTCATGTGCAGAGTATATCGCTATTAAAAAGATCGCAAGCAAGGTGGTTCTGCTTGACATAAAGGAAGGGTTCGCAGAAGGGAAAGCCCTGGATCTGATGCAAACAGCCACAACTCTGGGTTTTAACACTACGATCGAGGGCGTGACAAATGATTATTCAAAGACAGCAAATAGTGACGTAGTCGTGATCACCTCAGGCATCCCGCGCAAGCCCGGAATGACTCGGGAGGAGTTGATTGGCATAAATGCAGGTATAGTAAAGAGTGTCAGCGAGAACATATTAAAACACTCTCCAAATACGATTATCGTTGTGGTCAGTAACCCAATGGATACTATGACATATTTGGCCCATAAGGCAACTGGGTTGCCAAAAAACCGTATCATTGGCATGGGAGGGGCCTTAGATAGTGCACGGTTTAAATACCGTTTAGCAGAAGCCTTAGACGCCCCCATCTCCGACGTAGATGGCATGGTAATCGGCGGTCACTCTGATGTAGGGATGGTTCCGCTGACCAGACTGGCTACGCGGAACTCAGTCCCAGTATCGAAGTTTATCTCGAAAGAGCGTCTTGAGCAGGTTAAAGAAGACACTAAGGTGGGAGGTGCCACTCTGACGAAGCTTTTGGGGACATCGGCCTGGTACGCGCCGGGTGCTGCTGTATCAGGATTGGTCCAGGCAATCGCTTGCGACCAAAAGAAAATGTTTCCATGTAGTGTCTTCCTGGAGGGAGAGTACGGACAAAAAGACATTTGCATAGGTGTCCCTGTGATTATTGGGAAGAACGGAATTGAAAAAATCGTTGATATCGAGTTGAGTGAAGAGGAGAAGAAAAAATTCAAGGAATCTGCCGAAGGGGTTCGCAAGACTAACGAATTATTGAAGGAGGTCCTGGCGGCCGCACTCGAGCACCACCACCACCACCACTGA</t>
  </si>
  <si>
    <t>MKITIIGAGNVGVSIAYALILREFANEIVLIDKNEDLLLARELELGQSIAALNLDINLICTSDYSYTKNSDIVIFCAGLARKEGQSREELLQINTDIMLNCAKNIKKYVEDPLFIILTNPVDFLLNTLYENKIFSSKKIIAMAGVLDNARFKYELAKKLNVKTKDIDTKLIGFHNDDMVLLKSYSSINNEKISELLNEEEFEDIENEVKTGGAKVIKHLKTSAYLAPAAACVRMLEAIRSGEFLPMSVILHGEFGIKNKAFGVMARLGLEGVIEIMNLELDEEEKKKLEKSLIKYNYAAALEHHHHHH*</t>
  </si>
  <si>
    <t>ATGAAAATAACAATTATAGGGGCTGGAAATGTAGGTGTTTCCATCGCGTACGCGCTGATTCTTCGCGAATTTGCGAATGAGATCGTTCTGATCGACAAAAACGAAGATCTGCTGTTGGCGCGCGAGCTGGAACTGGGTCAGAGCATTGCTGCGTTGAATTTGGACATCAATCTGATTTGCACCAGCGATTATTCCTACACCAAAAACAGCGACATCGTGATTTTCTGCGCCGGTCTGGCGCGTAAAGAAGGTCAGTCTCGTGAGGAGCTCCTCCAAATTAATACCGATATCATGTTGAACTGCGCGAAAAATATTAAAAAGTACGTTGAAGATCCGCTGTTTATCATTCTGACCAATCCGGTGGACTTCTTGTTGAACACCCTTTATGAAAATAAAATTTTTTCATCGAAAAAGATCATCGCCATGGCTGGCGTGCTGGACAACGCTCGCTTCAAATACGAGCTCGCTAAGAAGCTGAACGTGAAGACGAAGGACATCGACACCAAGCTGATCGGCTTCCACAACGATGATATGGTTCTTCTGAAGTCCTATAGCAGCATTAACAACGAGAAAATCAGCGAATTGCTGAATGAGGAGGAATTTGAAGATATCGAGAACGAGGTCAAAACTGGTGGTGCAAAAGTTATCAAGCACCTGAAAACGTCTGCATACCTGGCGCCAGCAGCGGCGTGTGTTCGTATGCTGGAAGCAATTCGTAGTGGTGAATTCCTGCCGATGAGCGTGATCCTCCATGGCGAGTTCGGCATTAAGAACAAAGCATTTGGCGTGATGGCCCGTCTGGGCTTGGAGGGGGTCATCGAGATTATGAACCTGGAATTGGACGAGGAAGAAAAGAAGAAGCTGGAGAAAAGCCTGATCAAGTACAACTATGCGGCCGCACTCGAGCACCACCACCACCACCACTGA</t>
  </si>
  <si>
    <t>MSTPVKVAVTGAAGQIGYALVFRIASGQMLGPDTPVELRLLEIPQARGALDGVAMELDDCAFPALANVVCTDDPNVAFDGANIAMLVGARPRTKGMERGDLLEANGAIFTVQGKAINDHAADDIKVLVVGNPANTNALIAMSNAPDVPRERFTAMMRLDHNRAIAQLAQKTGAAVTDITEMVVWGNHSPTMFPDLFHAKVGGQDAAAVVGDLDWYRETYLPTVGKRGAAIIEARGASSAASAANAAIDHVRDWVLGADGLHSMGVPSTGAYGVPEGLISGFPVRCSGGEYEIVEGLEIDDFSRQKIDASVAELAEERDAVRELGLIAAALEHHHHHH*</t>
  </si>
  <si>
    <t>ATGTCAACCCCGGTAAAAGTGGCAGTTACTGGTGCTGCGGGTCAGATTGGTTACGCACTCGTTTTCCGAATCGCATCGGGACAGATGTTAGGACCTGATACTCCTGTTGAACTGCGGCTTCTGGAGATCCCACAAGCACGCGGTGCCTTGGACGGCGTTGCAATGGAGTTAGACGATTGTGCGTTTCCAGCCTTGGCAAATGTAGTCTGTACTGATGATCCGAACGTTGCTTTTGATGGCGCAAATATAGCGATGTTAGTAGGAGCTCGTCCTCGTACCAAAGGCATGGAACGGGGTGATCTGTTGGAAGCGAACGGTGCTATTTTTACCGTCCAAGGAAAAGCGATTAACGATCATGCAGCAGATGACATCAAGGTTTTGGTGGTTGGCAATCCGGCGAACACGAACGCGCTGATCGCCATGTCCAATGCGCCGGATGTCCCCCGAGAGCGTTTTACGGCGATGATGCGTTTAGATCATAACCGGGCTATTGCACAGTTAGCACAGAAGACGGGTGCTGCCGTTACGGATATCACTGAAATGGTTGTCTGGGGTAATCACTCTCCAACAATGTTTCCAGATCTTTTTCATGCCAAAGTTGGTGGCCAAGATGCGGCCGCTGTCGTGGGTGATTTAGATTGGTATCGCGAAACCTACCTGCCTACGGTGGGCAAACGTGGCGCAGCGATTATCGAAGCACGGGGCGCCTCTTCGGCAGCTAGCGCTGCTAATGCTGCAATAGATCACGTACGCGACTGGGTTCTCGGGGCAGATGGCCTTCATAGCATGGGAGTACCGTCTACGGGCGCATACGGTGTGCCTGAAGGTCTGATTAGTGGCTTTCCTGTACGCTGTTCTGGCGGGGAATACGAAATTGTGGAGGGTCTCGAGATTGATGATTTCTCTCGCCAGAAAATAGATGCGTCAGTTGCCGAATTGGCTGAGGAACGTGATGCCGTCCGTGAGCTGGGTCTCATCGCGGCCGCACTCGAGCACCACCACCACCACCACTGA</t>
  </si>
  <si>
    <t>MNNITIGIVGVGNVGSTLAFNLATSGLCDTILLKDIREDFTKAMALDISQAAKASNNNTKVKACLSNEEFKNCNIIVITAGIARKPNMSREDLLLTNAKIINSIFDDIIKYNKDAIFIIVSNPLDAMVYTALEKSNLPRNRVFGMAGALDTSRFKYYIEKKLNINYKNIDALVIGSHSNKMVPLINHVKIDDKNLIDILNEKDIEEILENTKNGGAKIVELLKTGSAYFAPAHSCFLMCKAIINDEKEIFSCSVKLEGEYNYNNLTLGVPCILGKNGIEKIIELELSKEELEELKNSAKIIENSINLLKKAAALEHHHHHH*</t>
  </si>
  <si>
    <t>ATGAATAACATTACCATCGGGATCGTTGGAGTGGGTAATGTGGGAAGTACTCTGGCGTTTAATTTGGCAACAAGTGGTCTGTGTGACACTATCTTGTTGAAAGATATCCGTGAAGATTTTACTAAGGCAATGGCGTTGGACATTTCTCAGGCCGCCAAAGCGAGCAATAACAATACCAAGGTAAAGGCTTGCCTTTCGAATGAAGAGTTCAAAAATTGCAATATCATAGTAATCACGGCAGGCATTGCTCGAAAGCCTAACATGTCGAGAGAGGATCTGTTATTAACCAACGCAAAGATCATCAATAGCATTTTCGATGATATTATAAAATATAATAAAGATGCGATTTTTATCATAGTGTCGAACCCGCTCGACGCTATGGTATACACGGCCTTGGAAAAAAGTAATCTGCCGCGAAATCGGGTGTTCGGGATGGCGGGTGCTCTTGACACAAGCCGGTTCAAATACTACATTGAAAAAAAACTGAACATCAATTATAAGAACATTGATGCTTTAGTTATTGGTTCTCACTCTAATAAAATGGTGCCTCTGATCAATCACGTTAAGATTGACGATAAAAATCTGATTGACATCCTGAATGAAAAAGATATCGAAGAAATCCTGGAAAACACTAAAAACGGTGGCGCCAAGATTGTAGAGTTGCTTAAGACCGGAAGTGCATACTTTGCCCCGGCGCATTCTTGTTTTCTTATGTGTAAGGCGATCATTAACGACGAAAAAGAAATCTTCTCTTGCTCTGTTAAACTGGAGGGGGAATATAATTATAATAACCTCACCTTGGGGGTCCCGTGCATTTTGGGGAAGAACGGCATTGAAAAAATAATTGAACTGGAACTCAGCAAAGAAGAACTTGAGGAGCTCAAAAATAGCGCGAAAATTATCGAGAATAGTATAAATCTGCTTAAAAAGGCGGCCGCACTCGAGCACCACCACCACCACCACTGA</t>
  </si>
  <si>
    <t>MLNKIGLIGGGNIGGVLLQELVKRRLAKTVALMDVKGPDVAKGKCLDIAEGTPVIGSDIKFEAGKEYDVLKDAEIIINTAGVPRTKRPDGTIPTREELLATNLKITDDVAAGITKYCPDAFVISVANPLDAIVFRLYQKMKPSKNKLMGMAGALDSARYRYFVAQAAGVSVENVEAMVLGGHGDTMVPIRSCCRIAGMPVEKFVSEEDLAAIEARTRKAGGEVVGLLGVGSAFVSPAVSALDMVEAIVFDKKKIIPTCVLLEGEYGVNGLFVGVPVIIGKNGIEKIIELDLTDEEKAGFAKSVAAVKKTTDEVLAAAALEHHHHHH*</t>
  </si>
  <si>
    <t>ATGCTTAACAAGATCGGCTTGATAGGAGGGGGAAACATAGGTGGTGTATTACTTCAGGAATTAGTAAAGCGTAGACTTGCCAAAACAGTGGCGTTGATGGACGTTAAAGGGCCTGATGTGGCAAAAGGGAAGTGCTTGGACATAGCAGAGGGCACCCCAGTAATCGGGTCCGACATAAAGTTCGAGGCGGGTAAAGAGTATGATGTACTGAAGGACGCCGAGATTATAATAAATACCGCAGGTGTCCCCCGGACCAAGCGTCCAGATGGTACCATTCCAACTCGGGAAGAGCTTTTAGCAACGAATTTGAAAATAACAGACGACGTCGCTGCTGGCATCACGAAGTATTGCCCCGACGCCTTCGTGATTTCCGTAGCGAATCCCCTGGACGCTATTGTATTTCGTCTTTACCAAAAGATGAAGCCGTCGAAAAATAAGCTTATGGGGATGGCGGGTGCTCTGGATAGTGCACGTTATCGTTATTTCGTAGCTCAAGCGGCGGGCGTCTCGGTCGAGAACGTTGAAGCTATGGTACTTGGTGGGCATGGGGACACAATGGTCCCCATACGGTCATGTTGCAGAATCGCAGGCATGCCAGTCGAAAAATTTGTAAGTGAGGAAGACCTTGCCGCAATCGAGGCACGTACTAGAAAGGCGGGGGGTGAGGTGGTAGGATTACTGGGTGTCGGCTCAGCCTTTGTATCGCCAGCAGTATCAGCCCTTGACATGGTCGAGGCAATAGTCTTCGACAAAAAGAAGATCATCCCAACGTGTGTGTTACTTGAAGGTGAATACGGAGTTAACGGTTTATTCGTTGGCGTTCCGGTGATCATAGGCAAGAACGGAATCGAGAAAATAATAGAGCTTGATTTGACGGACGAAGAGAAGGCTGGGTTCGCTAAGTCGGTGGCAGCCGTTAAAAAGACAACCGATGAGGTATTGGCGGCGGCCGCACTCGAGCACCACCACCACCACCACTGA</t>
  </si>
  <si>
    <t>MKRVAIIGSGNVGANTAFFLAENGTASVTLVDIKEGLSTGKALDLMEAGPIRGYDTRIRGTDRIEDIAGSDVVVVAAGRVRRPGEDRSDLYRDNAPVVRGLCREIRALAPGAVVINVVEPIDSLTLLIHEELGFPRERVLGVGGLLSSTRLRYLVSSALGVSPREVTALVIGPHRQSMVVLQDTIRVSGIPAAQLLGEERLDAIVEETRRAGDTILEMAQHSTAYYAPSAAVAALVEAVVRDTRAILPVSVRLEGEYGVEGLCVGVPARIGAAGAERILEVRLRAEEARAFEAAAAELRAVLAQAAARRAAAALEHHHHHH*</t>
  </si>
  <si>
    <t>ATGAAAAGAGTCGCGATAATAGGGTCAGGAAACGTGGGAGCTAACACAGCCTTCTTTCTTGCCGAGAATGGAACTGCCTCGGTTACCCTTGTAGATATAAAGGAAGGCTTATCAACGGGAAAGGCGTTAGACTTAATGGAAGCAGGACCGATACGCGGTTACGACACACGTATTAGAGGTACGGACAGAATAGAGGATATCGCAGGGAGTGACGTAGTCGTCGTTGCTGCGGGACGCGTTCGTAGACCTGGGGAGGATCGCTCGGACCTTTATCGTGACAACGCTCCAGTAGTCAGAGGTTTGTGTCGTGAAATTCGTGCGCTTGCTCCGGGAGCCGTAGTAATAAATGTGGTTGAGCCTATAGACTCATTAACACTTCTGATACACGAAGAACTGGGGTTTCCGCGTGAGCGCGTCCTTGGGGTAGGGGGATTGTTGTCATCCACGAGATTACGGTACTTAGTTTCTTCCGCTCTTGGAGTATCCCCCCGGGAAGTCACTGCCTTGGTAATCGGGCCTCATCGGCAGTCCATGGTGGTCTTACAGGACACGATTCGCGTCAGTGGTATACCTGCGGCTCAGCTTCTGGGGGAAGAGCGCTTAGACGCTATTGTGGAAGAAACCAGACGTGCCGGTGACACCATTTTAGAGATGGCGCAACACTCGACAGCTTATTACGCACCTTCCGCCGCAGTGGCAGCTCTGGTGGAGGCTGTGGTCCGTGATACGAGAGCCATTTTGCCAGTCAGCGTGAGATTGGAGGGCGAATACGGGGTCGAAGGTTTGTGTGTGGGGGTTCCCGCGAGAATAGGGGCTGCGGGGGCTGAGCGTATCTTAGAAGTACGGCTTCGGGCAGAAGAAGCCCGGGCTTTCGAGGCAGCAGCCGCAGAACTTAGAGCCGTGTTAGCGCAAGCAGCCGCCCGTCGTGCTGCGGCCGCACTCGAGCACCACCACCACCACCACTGA</t>
  </si>
  <si>
    <t>MDAAAAAAPRASLMALGRNKIAVVGAGNVGATAAHWAAAKELGDVVLVDIIEGVPQGKALDLAQAAPVEGFDVKLTGTNDYADIAGADVVIITAGIPRKPGMSRDDLLNTNAKIVKSVAENVAKYAPNAFIIVVSNPLDAMAYVAKEVSGFPKNRVMGMAGVLDSARFRAFIAEELGVSVEDVTAFVLGGHGDTMVPLPSHATVGGIPLPELLPADRIKALVDRTANGGAEIVNLLKTGSAYYAPSASAVQMAEAILKDKKRILPCAAYLEGEYGVKGLFVGVPCKLGANGVEKIVEIKLTPEEKAAFDKSVAAVKELVAALPLAAALEHHHHHH*</t>
  </si>
  <si>
    <t>ATGGATGCAGCAGCCGCAGCCGCTCCTAGAGCATCTCTGATGGCCTTAGGCAGAAATAAAATTGCCGTAGTTGGAGCAGGCAATGTTGGTGCTACCGCCGCACATTGGGCCGCCGCGAAAGAACTTGGCGATGTGGTGTTGGTTGACATTATTGAAGGAGTGCCCCAGGGAAAAGCGCTGGACTTAGCTCAGGCAGCTCCTGTGGAAGGTTTTGACGTCAAGCTGACCGGGACCAACGACTACGCTGACATTGCTGGTGCGGACGTAGTGATTATCACGGCAGGTATCCCGCGCAAACCTGGCATGAGCAGAGACGACCTTCTGAATACTAATGCAAAAATTGTTAAATCAGTTGCTGAAAACGTAGCAAAGTATGCGCCAAACGCTTTTATAATCGTTGTGAGTAATCCGCTGGACGCAATGGCCTATGTCGCGAAAGAGGTTAGTGGGTTTCCGAAAAACCGAGTAATGGGTATGGCGGGCGTCCTGGATTCCGCCCGCTTCCGTGCATTCATTGCGGAAGAGCTGGGGGTCAGCGTAGAAGATGTCACAGCGTTTGTTCTGGGTGGACACGGAGACACCATGGTTCCGCTGCCTAGCCATGCGACCGTTGGGGGTATACCGCTTCCGGAACTGCTGCCGGCCGACAGAATCAAAGCTCTTGTTGACCGCACCGCGAACGGTGGAGCAGAAATAGTAAATCTGCTTAAAACGGGTAGCGCATATTATGCCCCCTCTGCGTCCGCGGTTCAGATGGCCGAAGCAATATTGAAAGACAAGAAGAGAATACTTCCCTGCGCGGCATACTTAGAAGGTGAATATGGCGTTAAAGGTTTGTTCGTAGGAGTGCCGTGTAAACTGGGTGCAAACGGTGTCGAAAAAATCGTGGAGATCAAACTGACACCGGAGGAAAAGGCCGCTTTTGATAAAAGCGTTGCTGCGGTTAAAGAACTGGTCGCGGCCCTGCCCCTGGCGGCCGCACTCGAGCACCACCACCACCACCACTGA</t>
  </si>
  <si>
    <t>MEFLTNEKLTIVGAAGMIGSNMAQTALMMKLTPNICLYDPYGPALEGVAEELYHCAFEGVNITYTTDIKEALTGASYIVSSGGAARKAGMTREDLLKGNAEIAAQFGKDIRAYCPDVKHVVVVFNPADITGLITLLYSGLKPSQVSTLAALDSTRLQNELVKYFKIPASEIVNCRTYGGHGEQMAVFASTTKVNGKPLSEIIGTEALPEKEWNELKQRVIQGGKHIIDLRGRSSFQSPAYLSIEMIAAAMGGKPFRWPAGVYVHSGKFNHIMMAMETTIDKNGVHYKEVKGTPEEEKELENSYNHLCKLRDEVIAMGIIPPISEWNKLNPNIKAAALEHHHHHH*</t>
  </si>
  <si>
    <t>ATGGAATTTTTGACCAACGAAAAACTTACCATTGTCGGCGCAGCCGGAATGATAGGTTCAAACATGGCCCAGACAGCCCTCATGATGAAACTGACCCCCAATATCTGTCTGTACGATCCTTATGGCCCAGCACTGGAAGGTGTTGCTGAAGAATTATATCACTGCGCGTTCGAAGGCGTGAATATCACTTACACAACAGATATTAAAGAAGCCCTGACGGGTGCAAGTTATATAGTGTCTTCCGGCGGTGCAGCTAGAAAAGCTGGTATGACTCGAGAAGATCTTTTAAAGGGAAATGCCGAAATAGCCGCTCAGTTCGGGAAGGACATCCGTGCGTATTGTCCAGATGTTAAGCATGTTGTGGTCGTGTTTAATCCTGCCGATATAACAGGATTAATTACTTTATTGTACAGCGGTCTGAAACCCTCGCAGGTCTCTACTCTTGCGGCACTGGACAGCACCAGACTCCAGAATGAGCTCGTGAAGTATTTTAAGATCCCAGCGTCGGAGATTGTTAACTGCCGTACCTACGGTGGACACGGGGAACAGATGGCGGTCTTTGCCAGTACCACGAAAGTTAATGGCAAACCCCTGAGCGAGATCATTGGTACAGAAGCCCTGCCTGAAAAAGAATGGAATGAGTTGAAGCAACGGGTCATCCAAGGTGGTAAACACATCATTGATCTGCGTGGTCGTTCGTCTTTCCAGTCACCGGCGTATCTTAGCATCGAAATGATAGCCGCAGCAATGGGCGGAAAACCATTCAGATGGCCAGCTGGGGTGTATGTTCATTCCGGTAAGTTCAACCACATCATGATGGCCATGGAAACTACCATAGATAAGAATGGTGTTCACTATAAGGAAGTAAAAGGTACCCCTGAAGAGGAAAAAGAATTAGAAAATAGCTACAATCATCTCTGTAAACTGCGTGACGAGGTCATAGCGATGGGTATCATCCCGCCGATATCTGAGTGGAACAAACTGAATCCAAATATCAAAGCGGCCGCACTCGAGCACCACCACCACCACCACTGA</t>
  </si>
  <si>
    <t>MDTEPSTACRFIERVKERDKVGVWGFGNVSRDVVLSLVDQGLGKEIIFYGRPKEKYPNRAGAWIEDLKANAVRRPRIMGTNNIEDMAGLDVIFIGVGVPRKEGQSRRDLLAVNTKVIAETSLEIRRLYEGCSSKDLPILVYMGNPVTAMTWVGYKATGFPKENVMGQAGNLDSRRICHAVSKVLGLSGTDMRGIVFGEHGDSMVASPRYFSVGGIPLDDLVRAEGIDPARIKKVIEEAKKGGTHFVNETGQSASAGPARAACDMLRCIITGESEVQPVIAIIEKEYGLLKEEDGLDSMSFGVPAKIGPYGVEKIYELPVEDIREELERSAAIIKEDIKAAAEILKEKFAAALEHHHHHH*</t>
  </si>
  <si>
    <t>ATGGATACCGAGCCCAGCACCGCCTGTCGGTTCATTGAGCGTGTGAAAGAACGTGATAAAGTCGGTGTATGGGGTTTCGGAAACGTCTCCCGGGATGTCGTTCTGAGCTTAGTCGATCAAGGTTTAGGCAAGGAAATTATCTTTTATGGAAGACCGAAGGAAAAGTACCCCAATCGCGCAGGAGCCTGGATTGAAGACTTAAAAGCTAATGCAGTTCGTCGTCCTCGCATTATGGGGACAAACAACATTGAAGATATGGCCGGACTGGATGTAATTTTTATTGGCGTGGGTGTACCTCGTAAGGAGGGCCAAAGCCGCCGAGATCTTCTCGCAGTTAATACGAAAGTGATTGCGGAGACAAGCTTGGAAATTCGCCGGCTGTACGAAGGTTGCTCCAGCAAAGATCTGCCGATATTAGTTTATATGGGTAACCCGGTAACGGCGATGACATGGGTCGGGTATAAGGCAACCGGATTTCCGAAGGAAAACGTGATGGGTCAGGCTGGTAACTTAGATTCACGCCGCATTTGCCATGCGGTATCTAAAGTTTTAGGTCTGAGTGGCACCGACATGCGCGGGATTGTTTTTGGTGAACATGGCGACTCAATGGTTGCGTCACCCCGGTACTTTTCCGTTGGAGGTATTCCGTTAGACGATCTGGTACGTGCTGAAGGTATTGACCCAGCCAGAATAAAAAAAGTGATTGAAGAAGCGAAGAAAGGTGGTACTCACTTTGTTAATGAGACGGGCCAATCGGCATCCGCTGGGCCAGCGCGCGCGGCGTGTGATATGCTGCGCTGTATTATTACCGGTGAATCGGAAGTGCAACCAGTTATAGCCATCATTGAGAAAGAATACGGTCTGCTGAAAGAGGAAGACGGGCTGGATTCAATGTCGTTTGGCGTACCGGCTAAGATCGGTCCCTACGGTGTAGAAAAAATCTACGAACTCCCTGTAGAAGACATCAGAGAAGAACTGGAGCGGAGCGCCGCCATTATTAAAGAAGACATAAAAGCTGCGGCAGAGATTCTGAAAGAAAAATTCGCGGCCGCACTCGAGCACCACCACCACCACCACTGA</t>
  </si>
  <si>
    <t>MVIKNVTITGAAGNIAYSLIFRILSNLPFKDTDKINLRLLDITPSQKSLLGLKYEIEDCAFESLDKLLITDDPEEAFKDSDYIIMVGAKPRSKGMERSDLILDNAEIFKSQAEIINEVCSKKTKIIVVGNPANTNALILNYNTPKIPNENITSLMKLDQNRAKSILATKLNERVENIKNMIIWGNHSTTQVPDLYNCNVNSKEINLEHSWIHDTFIPRVQKRGGEIIEFRGLSSAASAASAIYDHINVLENGSDDCEALGILSSGEYNISPNLMFSLPLTINNGTYTVIDNININDSLIELIKKSEEELLKERDIVKKYLPAAALEHHHHHH*</t>
  </si>
  <si>
    <t>ATGGTCATTAAGAATGTAACAATAACGGGGGCCGCGGGAAATATTGCCTATTCTCTGATTTTCCGCATATTATCTAATCTGCCTTTTAAGGATACAGATAAGATCAATCTCCGCTTACTTGATATTACTCCTAGCCAGAAATCTCTGTTGGGTCTTAAGTACGAGATAGAAGATTGCGCGTTTGAATCGCTTGATAAACTCCTGATAACAGATGATCCTGAAGAAGCGTTTAAAGACTCTGACTATATCATCATGGTTGGCGCAAAACCCCGCAGCAAAGGTATGGAACGCAGCGATTTGATTCTTGATAATGCGGAGATTTTTAAATCACAAGCTGAAATCATAAACGAGGTCTGTTCGAAAAAGACAAAAATAATAGTCGTTGGAAATCCAGCTAACACGAACGCACTTATTCTGAACTATAATACGCCGAAGATACCAAACGAAAACATTACGAGTCTGATGAAACTGGATCAGAATCGTGCTAAAAGCATATTAGCAACCAAATTGAATGAACGCGTTGAAAATATTAAAAACATGATTATATGGGGAAATCATTCTACTACTCAGGTACCTGACCTGTACAACTGTAATGTTAATAGTAAAGAGATTAATTTGGAACATTCATGGATCCATGACACATTTATTCCTCGTGTCCAAAAGAGAGGTGGCGAGATTATTGAATTTCGTGGTTTATCAAGCGCTGCATCCGCCGCGTCGGCTATTTATGACCATATTAATGTTTTGGAAAATGGTTCAGATGATTGTGAAGCGCTTGGAATTCTGAGCTCAGGCGAATATAACATTAGCCCCAATCTTATGTTTTCGCTTCCACTGACAATAAATAACGGTACCTATACAGTGATTGATAACATTAACATCAATGATAGTCTTATTGAACTTATTAAGAAGAGTGAAGAAGAACTCTTGAAGGAACGTGATATCGTGAAGAAATATCTGCCAGCGGCCGCACTCGAGCACCACCACCACCACCACTGA</t>
  </si>
  <si>
    <t>MTSQTVGRRKVTVIGAGNVGGTAAQRLAERGYADVVLVDIVEGLPQGKALDLMQAGPLLGYDTRIIGTNDYAETAGSDIVIITSGIPRKPGMSRDDLLRTNAGIVGSVTRQVAPLSPDAILIVVSNPLDAMCHVALEASGFPRERVIGMAGVLDSARFRTFIAMELGVSVREVSAFVLGGHGDTMVPLSRYSTVAGVPITELLPPERVKALEERTANGGAEIVALLKTGSAYYAPAASTVEMVKSILLDKKRILPCAALLEGEYGIRGLFVGVPVKLGAGGIEEIIEIKLTPEEQAALDASLAAVEALVAALAGLAAALEHHHHHH*</t>
  </si>
  <si>
    <t>ATGACTAGTCAAACAGTGGGCCGACGTAAAGTAACCGTGATCGGCGCCGGGAATGTGGGAGGAACAGCAGCACAACGGCTGGCAGAACGTGGTTATGCCGATGTAGTGCTGGTGGATATTGTAGAAGGCCTTCCGCAGGGAAAGGCTCTCGATCTGATGCAAGCCGGCCCGCTTTTAGGTTATGATACCAGAATCATAGGAACCAACGATTATGCAGAAACGGCTGGCAGCGACATTGTGATTATAACGAGTGGGATTCCTCGGAAACCCGGGATGAGCCGCGATGATTTGCTGCGGACCAATGCTGGGATCGTTGGGTCTGTGACACGCCAGGTTGCTCCACTGTCTCCGGACGCGATCTTGATAGTAGTTTCTAACCCACTTGATGCCATGTGCCATGTAGCACTCGAAGCATCAGGTTTTCCTCGTGAACGGGTTATTGGAATGGCTGGTGTTTTAGACTCAGCTCGATTCCGAACCTTTATTGCTATGGAACTGGGTGTATCAGTACGGGAAGTATCTGCATTTGTTCTGGGTGGTCATGGTGATACTATGGTGCCCCTGAGCAGATATTCTACCGTTGCGGGCGTGCCTATTACTGAGCTGCTCCCCCCTGAACGGGTCAAAGCGCTCGAAGAACGTACCGCCAATGGAGGTGCTGAAATTGTTGCTTTATTAAAAACAGGTAGTGCGTACTATGCCCCTGCAGCAAGCACGGTAGAGATGGTGAAAAGTATTTTGCTGGACAAAAAGCGCATTTTACCATGTGCCGCTTTACTTGAGGGGGAATATGGTATCAGAGGGCTCTTCGTCGGCGTCCCCGTCAAACTTGGAGCGGGTGGGATAGAAGAAATAATTGAAATTAAACTGACACCGGAAGAACAGGCGGCACTGGACGCTAGTTTGGCAGCTGTCGAGGCCCTGGTAGCCGCTCTCGCTGGACTGGCGGCCGCACTCGAGCACCACCACCACCACCACTGA</t>
  </si>
  <si>
    <t>MRRKVTVVGAGNVGATTAQRIFDRGHADVVLVDIVEGLPQGKALDMLEAGPVVGSDARVVGTNGYEETAGSDVVVITAGIARKPGMSRDDLLRTNAGIVASVTREVVARSPRAVLVVVSNPLDAMAQLAHRVSGFPRERVVGMAGVLDTARFRTFIAQELGVSVRDVQAYVLGGHGDTMVPLVGYTTVAGVPVAELLPAERLEAIVQRTRDGGAEIVALLKTGSAYYAPSAAVAQMVEAILLDRRRILPCAAYLEGEYGIDGLFVGVPVKLGAGGVEEIVRVRLTPEEQAALERSAAAVRELVAEMAAGAGAAAALEHHHHHH*</t>
  </si>
  <si>
    <t>ATGCGTCGGAAGGTTACAGTAGTGGGCGCTGGAAATGTCGGTGCGACGACCGCGCAACGTATATTCGATCGTGGCCATGCCGACGTTGTCTTAGTTGACATCGTGGAAGGTCTCCCGCAGGGAAAAGCCTTAGACATGCTGGAAGCTGGTCCAGTGGTGGGCAGCGATGCGCGTGTTGTTGGAACTAATGGCTACGAAGAAACCGCAGGTTCTGATGTGGTAGTCATCACAGCCGGAATAGCCCGTAAACCCGGAATGTCACGGGACGACTTACTTAGAACCAACGCGGGCATTGTTGCTTCCGTTACCCGTGAGGTGGTAGCACGTTCACCACGCGCAGTTCTGGTCGTAGTTTCCAATCCGTTGGACGCAATGGCACAGCTGGCACACCGTGTGTCTGGCTTCCCGCGTGAACGCGTTGTTGGGATGGCAGGTGTTTTAGACACCGCCCGTTTTCGCACGTTCATTGCCCAGGAACTGGGTGTTAGCGTTCGCGACGTTCAGGCCTACGTGCTTGGAGGCCATGGGGACACTATGGTTCCACTGGTTGGGTATACTACTGTGGCAGGTGTGCCGGTTGCAGAACTGCTCCCCGCCGAGCGTCTTGAAGCGATAGTCCAGCGAACACGTGACGGTGGTGCGGAAATCGTTGCTCTGCTCAAAACCGGTTCAGCCTATTATGCGCCATCGGCAGCAGTGGCTCAGATGGTAGAAGCAATTCTTTTGGATCGCCGTCGCATTTTGCCATGCGCGGCATATTTAGAAGGCGAATATGGTATTGACGGTCTGTTCGTTGGTGTACCGGTCAAATTAGGGGCAGGCGGTGTGGAGGAAATTGTCCGTGTGCGTCTTACTCCTGAGGAACAGGCTGCATTGGAACGCTCTGCCGCAGCGGTTCGTGAATTAGTGGCAGAAATGGCCGCCGGAGCCGGCGCGGCGGCCGCACTCGAGCACCACCACCACCACCACTGA</t>
  </si>
  <si>
    <t>MMKIAVFGAGGTGGAIAELLLYDGFGEIALIDVNGALAEGKALDIAQAGVLTGRDSRIYGGNDPAICAGADIVIITAGIGRRPGMSREDLLATNAKIVGEICEEIKKLAPNAFVIVLTNPADILAYVTWKATGFPANKVMAQGGILDSARLATWIAKLCDVSQSDVRAMVLGGHGDHMLPVKSFASIHGIPASLLMSEEEWQQAVERTRNGGGEILSKFATHGAAITPAHAVVAMVKALLSPIPQVLPVSVRSEGAYGLPEDIFIGLPVKLSHKGVEEILELPLTEEELAQLHKSAAILDEAFQKWLKAAALEHHHHHH*</t>
  </si>
  <si>
    <t>ATGATGAAAATAGCGGTTTTCGGCGCTGGGGGAACTGGGGGTGCCATTGCAGAACTTCTTTTATATGATGGCTTCGGTGAAATCGCACTTATAGACGTAAACGGAGCCTTAGCAGAGGGTAAAGCATTGGATATAGCACAGGCAGGGGTTCTGACGGGTCGTGATTCTCGTATATACGGAGGTAATGATCCGGCAATTTGTGCAGGGGCCGACATTGTGATAATAACGGCAGGCATCGGCCGCCGCCCAGGGATGAGTCGTGAGGATCTGCTTGCGACCAACGCAAAGATTGTGGGCGAAATTTGTGAAGAAATTAAAAAACTGGCTCCAAATGCATTCGTCATCGTATTAACAAATCCGGCCGACATCCTGGCATATGTCACGTGGAAGGCGACTGGATTTCCTGCGAATAAAGTCATGGCGCAGGGGGGAATACTTGATTCTGCTCGCCTGGCCACCTGGATTGCGAAACTCTGCGATGTTAGTCAGTCTGATGTGAGAGCCATGGTCCTTGGGGGGCATGGAGACCACATGCTGCCGGTAAAGTCATTCGCTTCAATCCATGGGATTCCGGCCTCTCTCTTGATGTCAGAAGAAGAATGGCAACAGGCAGTCGAACGTACTCGTAATGGTGGAGGGGAAATCTTAAGCAAATTTGCGACACATGGTGCAGCTATTACTCCAGCACATGCGGTTGTAGCCATGGTTAAAGCTTTGCTGTCACCCATTCCCCAGGTTTTGCCAGTTAGTGTCAGATCCGAAGGAGCCTACGGACTGCCAGAAGATATATTTATTGGCTTACCAGTAAAATTATCTCACAAAGGTGTCGAAGAAATTCTGGAACTCCCGCTGACTGAAGAGGAGCTTGCACAGCTGCATAAAAGTGCCGCGATACTGGATGAAGCGTTTCAGAAATGGCTTAAAGCGGCCGCACTCGAGCACCACCACCACCACCACTGA</t>
  </si>
  <si>
    <t>MAPLADDALQDPRFLIGYLGPEQLPDCLKGCDVVVIPAGVPRKPVVNTQPLATIWKSLMSFMNLSCWIISGMTRDDLFNTNATIVATLTAACAQHCPEAMICIIANPVNSTIPITAEVFRKHGVYNPNKIFGVTTLDIVRANTFVAELKGLDPARVNVPVIGGHAGKTIIPLISQCTPKVDFPQDQLATLTGRIQEAGTEVVKAKAGAGSATLSMAYAGARFVFSLVDAMNGKEGVVECSFVQSKETECTYFSTPLLLGKNGLEKNLGIGKISAFEENMIVEAIPELKASIKKGEDFVAAALEHHHHHH*</t>
  </si>
  <si>
    <t>ATGGCCCCGTTGGCTGATGACGCTCTGCAGGACCCCCGGTTCCTGATCGGCTACTTAGGTCCGGAACAGCTCCCGGATTGTCTTAAGGGGTGCGATGTTGTCGTAATTCCGGCAGGCGTTCCTCGCAAACCGGTTGTCAATACGCAGCCATTAGCCACGATCTGGAAAAGTCTGATGAGTTTCATGAATCTGTCTTGCTGGATCATTTCGGGGATGACGCGCGATGATCTGTTTAATACCAATGCTACAATTGTGGCCACACTTACTGCAGCTTGCGCCCAACACTGTCCGGAGGCTATGATTTGCATCATTGCCAACCCAGTCAATTCGACAATTCCGATTACCGCCGAAGTTTTCCGAAAGCATGGCGTTTATAATCCCAATAAAATTTTTGGCGTCACGACACTGGATATTGTTCGGGCAAACACTTTTGTTGCAGAGCTCAAAGGCTTGGATCCAGCGCGCGTGAATGTGCCGGTTATTGGCGGCCACGCCGGTAAAACAATTATCCCACTGATCAGTCAATGCACCCCGAAAGTGGATTTTCCCCAAGATCAGCTGGCCACACTGACAGGGCGTATTCAGGAAGCTGGTACCGAAGTGGTGAAAGCCAAAGCTGGTGCAGGGTCAGCAACCCTGAGCATGGCCTATGCCGGAGCTCGTTTTGTTTTTTCACTCGTTGATGCAATGAACGGCAAAGAGGGGGTAGTTGAATGTTCTTTTGTGCAGTCAAAAGAGACAGAATGTACCTATTTTAGCACCCCTTTACTGTTAGGAAAAAATGGCCTGGAAAAAAACTTAGGCATAGGTAAAATTTCTGCTTTCGAAGAAAATATGATTGTGGAAGCTATCCCAGAACTGAAAGCCAGTATAAAGAAAGGAGAAGATTTCGTCGCGGCCGCACTCGAGCACCACCACCACCACCACTGA</t>
  </si>
  <si>
    <t>MSFELPDLPYSKSALEPYIDAQTMEIHHDKHHAGYTTKLNDAIEGTELEKQSIEDILKNVSKHSGGVRNNGGGYYNHSLFWSIMGPDAGGDPTGDVGAAIDDAFGSYENFKTEFSNAAATRFGSGWAWLIVNGEGKLEVTSSPNQDNPLMDVAEKKGTPILGLDVWEHAYYLKYQNKRPDYISAFFNVINWDEVNRRFAEAKAAALEHHHHHH*</t>
  </si>
  <si>
    <t>ATGAGTTTTGAACTCCCTGATCTCCCGTACAGTAAATCGGCTCTGGAACCCTATATTGATGCACAAACGATGGAGATACACCATGACAAGCACCATGCAGGGTATACTACTAAACTGAATGATGCCATCGAGGGCACAGAACTGGAAAAGCAAAGTATTGAGGATATACTGAAGAATGTAAGCAAACACTCAGGTGGTGTACGCAATAATGGCGGCGGATATTATAATCACAGCTTGTTCTGGTCCATCATGGGTCCAGACGCTGGCGGCGATCCCACAGGCGACGTGGGAGCCGCCATCGACGACGCTTTTGGTTCGTACGAAAATTTTAAAACTGAATTTTCTAATGCTGCGGCCACACGTTTTGGTAGCGGCTGGGCGTGGCTTATTGTTAATGGTGAAGGCAAACTGGAAGTCACTTCATCACCCAACCAGGATAATCCTCTTATGGACGTAGCAGAGAAAAAAGGAACCCCCATTCTGGGTTTGGATGTCTGGGAACATGCTTACTATCTTAAATACCAAAATAAACGTCCCGATTATATTTCTGCTTTTTTCAATGTGATTAATTGGGATGAGGTTAATCGTCGTTTTGCCGAAGCTAAGGCGGCCGCACTCGAGCACCACCACCACCACCACTGA</t>
  </si>
  <si>
    <t>MVKAVAVLRGDSNIKGTVTFEQADENSPTTISWNITGHDANAERGMHVHQFGDNTNGCTSAGPHFNPFGKTHGAPADEERHVGDLGNFKTDGQGNAVGSVQDKLIKLIGAESVLGRTIVVHAGTDDLGRGGNEESKKTGNAGPRPACGVIGISAAAALEHHHHHH*</t>
  </si>
  <si>
    <t>ATGGTTAAAGCCGTGGCAGTCCTGCGGGGCGACTCAAATATCAAAGGAACGGTTACATTTGAGCAAGCTGATGAAAATTCTCCAACTACCATTAGCTGGAATATTACAGGTCATGATGCGAACGCTGAACGTGGAATGCACGTACACCAGTTCGGCGATAACACAAACGGTTGCACCTCTGCGGGTCCTCATTTCAATCCTTTCGGAAAAACACACGGCGCGCCGGCCGATGAAGAGCGGCATGTAGGTGATCTCGGAAATTTTAAAACAGATGGTCAGGGAAACGCAGTGGGGAGTGTACAAGATAAACTCATTAAACTGATTGGCGCAGAAAGTGTTCTCGGTCGGACCATCGTTGTACATGCGGGGACTGATGACCTGGGCCGAGGCGGGAACGAGGAATCAAAAAAAACTGGCAACGCGGGACCACGTCCCGCATGCGGCGTTATTGGTATTTCTGCCGCGGCCGCACTCGAGCACCACCACCACCACCACTGA</t>
  </si>
  <si>
    <t>MAPKCSKAVCVLQGEKVKGIVYFLQPQSGAPVKVTGKLTGLAPGSHGFHIHQFGDNTNGCLSAGDHYNPENKEHGGVTDKERHVGDLGNVIADSKGEVNVSIVDKLISLDGPQSILGRTVIVHEGEDDLGRGGHALSKSTGNAGARLACGVIGVADSMVLAAALEHHHHHH*</t>
  </si>
  <si>
    <t>ATGGCGCCGAAGTGCAGCAAAGCCGTATGCGTATTACAAGGAGAGAAAGTGAAGGGAATAGTTTATTTTCTGCAACCCCAGAGCGGAGCTCCAGTGAAAGTAACAGGGAAATTGACTGGGTTAGCGCCGGGCTCGCACGGGTTTCATATCCATCAGTTCGGCGACAATACAAATGGGTGCTTGTCGGCCGGCGATCATTATAATCCCGAAAATAAAGAACATGGAGGGGTTACGGATAAAGAACGACATGTAGGTGACCTCGGAAATGTAATTGCCGATAGTAAAGGTGAGGTTAATGTTTCGATAGTAGACAAACTTATATCCTTAGATGGACCGCAGTCTATTCTGGGTCGGACAGTTATTGTTCATGAAGGGGAAGATGACTTAGGTCGGGGAGGGCATGCATTAAGTAAATCAACGGGAAATGCAGGAGCCCGGCTGGCCTGCGGCGTAATTGGCGTTGCAGATTCTATGGTTCTTGCGGCCGCACTCGAGCACCACCACCACCACCACTGA</t>
  </si>
  <si>
    <t>MSWGVCVLSSPKGVKGTVRFFDSGKETLIFGEVTGLAPGEHGFHIHEWGDQTSGCMSSGGHFNPHKKNHGAPTDEERHLGDLGNLLATAQGGCVLSLLDQLIHLDGPYSVVGRTVVIHAGKDDLGRGGHKDSLKTGNAGGRIACGIIGTTAPPENADALLRDARSRARPSRLAAALEHHHHHH*</t>
  </si>
  <si>
    <t>ATGAGCTGGGGTGTATGCGTCTTATCATCACCAAAAGGTGTTAAGGGTACCGTTCGCTTTTTTGACAGCGGCAAAGAAACATTAATCTTTGGTGAGGTAACCGGTTTGGCCCCAGGCGAGCATGGGTTTCATATACATGAATGGGGTGATCAGACATCGGGCTGCATGAGTTCGGGCGGTCATTTTAATCCGCATAAAAAAAATCACGGCGCCCCGACCGATGAGGAACGCCATCTTGGCGACCTGGGTAATTTGTTAGCGACGGCGCAGGGTGGGTGTGTTCTGTCTCTCCTGGACCAATTGATTCATCTCGATGGGCCGTATTCTGTTGTAGGGAGAACGGTTGTTATACATGCTGGAAAAGATGACCTGGGCCGCGGGGGTCATAAAGATTCACTGAAAACGGGTAATGCAGGTGGCCGGATAGCATGCGGAATAATAGGAACTACTGCCCCGCCCGAAAATGCGGATGCCTTACTGAGAGATGCTCGCAGTCGTGCGAGACCGTCTCGCCTTGCGGCCGCACTCGAGCACCACCACCACCACCACTGA</t>
  </si>
  <si>
    <t>MAAGGGNLKGVALIAGGDSNSTVRGSLHFIHDTATGHTQVRGKITGLFPGLHGFHIHSFGDTTNGCNSTGPHFNPQNKLHGAPNDEERHAGDLGNIVANQDGIADVCLKDLQIPLSGPNSILGRAVVVHADPDDLGRGGHELSKSTGNAGARIGCGIIGLQSAVAAALEHHHHHH*</t>
  </si>
  <si>
    <t>ATGGCAGCTGGAGGCGGGAATCTGAAAGGAGTAGCTCTTATCGCAGGTGGTGATAGCAATAGCACTGTGAGAGGATCTCTGCACTTCATTCACGATACGGCGACTGGCCACACTCAAGTCAGAGGAAAAATTACCGGTCTGTTTCCCGGCCTGCATGGATTCCATATTCACTCCTTTGGAGACACTACTAACGGGTGTAATAGCACCGGTCCCCATTTTAACCCACAGAACAAACTGCATGGAGCACCGAATGATGAGGAGCGCCATGCGGGTGACTTAGGTAACATTGTTGCGAACCAGGATGGTATCGCTGACGTTTGCCTGAAAGATTTACAAATTCCGCTGAGTGGACCAAACAGCATTTTAGGGCGCGCTGTAGTCGTCCATGCCGATCCAGATGACCTGGGCCGTGGTGGCCATGAGCTCAGCAAGTCAACAGGCAATGCTGGCGCTCGCATTGGTTGCGGCATCATTGGTTTACAGTCTGCAGTCGCGGCCGCACTCGAGCACCACCACCACCACCACTGA</t>
  </si>
  <si>
    <t>MVLKAVCVLKGSGEVNGTVFFEQEGDDGPVKLTGEISGLTPGEHGFHVHAFGDNTNGCISAGPHFNPHNHTHGGPTDDVRHVGDLGNVTAGQDKVAKISIQDKQLKLTGIHSIIGRTMVIHEKADDLGKGGNDESLKTGNAGSRLACGVIGITQAAALEHHHHHH*</t>
  </si>
  <si>
    <t>ATGGTTCTGAAGGCAGTTTGCGTTCTGAAAGGGTCCGGTGAAGTCAATGGAACAGTATTTTTCGAACAGGAAGGTGACGATGGGCCGGTTAAACTGACCGGTGAGATATCCGGCTTAACTCCGGGGGAACATGGCTTCCATGTTCATGCGTTTGGTGATAATACCAATGGGTGCATTAGCGCTGGCCCGCATTTTAATCCCCACAATCATACGCATGGTGGTCCTACAGACGATGTGCGTCATGTTGGTGATTTAGGAAACGTTACAGCTGGGCAGGATAAAGTTGCGAAAATCTCAATTCAGGATAAACAACTTAAATTAACCGGGATACACTCTATAATAGGCCGTACAATGGTTATCCATGAAAAAGCGGACGATCTGGGGAAAGGTGGTAATGATGAATCACTGAAAACCGGTAACGCCGGGAGCCGTCTGGCATGTGGAGTGATTGGTATTACCCAGGCGGCCGCACTCGAGCACCACCACCACCACCACTGA</t>
  </si>
  <si>
    <t>MAKSSVTFSSEDDKITGSILLEQSSESTPTIIKGEVEGLTPGKHAIAVLVFGDLSNPPTTLGGHFNPHGKNHGATTADERHVGSLGNIEADASGKAVIEIEDKLVKLIGPQSIIGRSIAIMAQEDDLGLGGHEQSLFNGNAGPAVAYGVVGIKMAAALEHHHHHH*</t>
  </si>
  <si>
    <t>ATGGCGAAATCTTCCGTAACCTTTTCTAGTGAGGACGACAAAATCACCGGTTCAATCCTGCTGGAACAATCCTCCGAAAGTACCCCAACGATAATCAAGGGGGAGGTTGAAGGTTTAACACCGGGGAAACACGCCATTGCTGTGCTGGTGTTCGGCGATCTGAGCAATCCCCCAACTACGCTTGGAGGCCATTTTAATCCCCATGGCAAAAACCATGGCGCCACCACGGCAGATGAACGCCATGTCGGGAGTTTAGGAAATATTGAAGCTGATGCAAGCGGGAAGGCAGTCATTGAGATAGAGGATAAATTAGTGAAATTAATCGGTCCGCAATCAATTATAGGTCGTAGTATTGCAATAATGGCTCAGGAAGATGATTTAGGCCTGGGGGGTCATGAACAGAGTTTGTTTAACGGGAATGCAGGGCCGGCAGTGGCGTACGGAGTTGTAGGCATCAAAATGGCGGCCGCACTCGAGCACCACCACCACCACCACTGA</t>
  </si>
  <si>
    <t>MSSGSVLGVARFVQVSEDVCIIDGAVDGLTPGLHGLNIHELGDLSQGCFSTGDHYNPGNSRHGAPEDNERHVGDLGNILADNNGRAHFRMEDRNVKVWDVIGRSLVVHSREDDLGRGSNVLSQINGNSGPGLTCGIIARSAGLFQNSKKFCACDGKILWEDKPLYVPTRSPPSQLAAALEHHHHHH*</t>
  </si>
  <si>
    <t>ATGTCGAGTGGGTCAGTTTTAGGCGTAGCCCGCTTTGTACAGGTTTCCGAAGATGTGTGTATTATCGATGGCGCAGTTGACGGTTTGACCCCGGGCCTGCACGGTTTGAACATTCACGAACTGGGCGATTTGAGCCAAGGCTGTTTCTCCACCGGTGACCATTACAATCCGGGCAACAGCCGGCACGGTGCACCAGAAGACAATGAGCGGCACGTCGGTGATCTGGGTAATATTTTGGCGGATAATAATGGTCGTGCGCACTTCCGCATGGAGGATAGAAATGTGAAAGTATGGGACGTCATCGGACGGAGCCTGGTAGTTCATAGCCGCGAAGATGACTTAGGCAGAGGTTCCAACGTCCTGTCACAGATCAATGGCAATTCTGGCCCGGGCTTAACCTGTGGTATTATAGCCCGCAGTGCAGGCCTGTTTCAGAATTCGAAGAAGTTTTGTGCCTGCGACGGTAAAATTTTATGGGAGGACAAACCTCTTTACGTTCCGACACGCTCTCCCCCTTCGCAACTCGCGGCCGCACTCGAGCACCACCACCACCACCACTGA</t>
  </si>
  <si>
    <t>MKHCRYMTVTVSGQVQLHQASKDVPVQMTVSVQGLTPPGLHGFHLHRDGKTDDDCKAAGPHFNPFNHTHGGPEDEIRHAGDFGNILADEYGNASVVIPGTQISLCPDSVGYAVGHAFVVHAGTDDLGRGGNEESLKTGNAGGRLACCVVEAVNNAAALEHHHHHH*</t>
  </si>
  <si>
    <t>ATGAAACACTGTCGGTACATGACTGTGACAGTTAGCGGTCAGGTACAACTGCATCAAGCGTCCAAGGACGTCCCAGTGCAAATGACGGTGAGCGTGCAGGGCTTAACACCCCCCGGGTTACACGGTTTCCATCTGCACCGCGATGGGAAAACCGATGATGATTGTAAGGCCGCAGGGCCTCATTTCAATCCCTTTAATCATACACATGGTGGACCCGAAGACGAAATTCGCCACGCAGGTGATTTTGGTAACATTCTGGCGGACGAATACGGGAACGCATCTGTGGTGATTCCGGGCACCCAAATTAGCTTATGTCCCGATTCAGTTGGATATGCAGTGGGGCATGCCTTTGTCGTTCACGCCGGTACCGACGATTTGGGACGTGGTGGTAACGAAGAAAGTCTTAAAACGGGCAACGCTGGCGGCCGATTAGCCTGTTGTGTGGTAGAAGCAGTGAACAATGCGGCCGCACTCGAGCACCACCACCACCACCACTGA</t>
  </si>
  <si>
    <t>MVAKAVCVINGDAKGTVYFEQEKEGAPVKVTGEVTGLAKGLHGFHVHEFGDNTNGCTSAGPHFNPLSKEHGAPTDANRHVGDLGNIEASGSGATSVNISDAQISLFGANSIVGRTVVVHADPDDLGKGGHELSKSTGNAGARIGCGVIGICKAAAALEHHHHHH*</t>
  </si>
  <si>
    <t>ATGGTTGCAAAAGCCGTATGCGTGATTAATGGTGATGCGAAGGGAACCGTTTACTTTGAACAGGAAAAAGAGGGAGCCCCTGTTAAAGTCACAGGGGAGGTTACTGGTCTGGCGAAGGGGTTGCATGGGTTTCATGTGCACGAATTCGGAGATAATACGAATGGTTGCACCTCAGCAGGCCCGCATTTTAACCCCCTCAGTAAGGAACACGGAGCGCCGACAGATGCTAATCGGCATGTTGGCGACCTGGGTAATATAGAGGCCTCCGGCAGTGGTGCGACGAGTGTTAATATTTCTGACGCTCAGATATCTCTCTTCGGTGCGAATAGTATTGTGGGCCGGACCGTAGTAGTTCACGCAGACCCAGACGATCTCGGCAAAGGTGGTCATGAATTGTCAAAGTCAACGGGAAACGCGGGTGCCCGTATTGGGTGCGGCGTCATTGGAATTTGTAAAGCGGCGGCCGCACTCGAGCACCACCACCACCACCACTGA</t>
  </si>
  <si>
    <t>MFHHAFYYRNCISVIDNDEVKGIITLRQKNSDEVIEINGDLKFKNSKNTDHGLHVYENGNTTDGCSHLGEILFHHHTVTPTKPFFGNLGNIKVDENGQSKFSIKCGSLNLYGAPSILGKGLAIHKQADGAENVNLAEVSRRPKLACGVIGIDEFEKIEPKNTYFKLEPNRAAALEHHHHHH*</t>
  </si>
  <si>
    <t>ATGTTTCATCACGCCTTTTACTATCGCAATTGCATTAGTGTTATAGATAATGACGAAGTTAAGGGTATCATTACCCTGCGTCAAAAGAACAGTGATGAAGTTATTGAGATTAACGGAGATCTTAAATTTAAAAACAGCAAAAATACAGACCATGGCCTGCACGTGTATGAAAACGGTAATACAACGGACGGGTGTTCCCACTTGGGTGAAATACTGTTTCACCACCATACAGTTACTCCAACTAAACCTTTCTTTGGGAATCTCGGAAATATAAAAGTTGACGAAAATGGTCAATCGAAATTTTCAATAAAATGTGGAAGTTTAAACCTGTATGGTGCTCCGTCTATTCTTGGTAAGGGTCTCGCAATCCACAAACAGGCTGATGGGGCGGAGAATGTTAATTTGGCAGAAGTGTCGCGTCGGCCTAAACTGGCGTGTGGTGTTATCGGGATCGATGAATTTGAAAAAATAGAACCGAAGAATACCTATTTTAAGCTGGAGCCCAATCGCGCGGCCGCACTCGAGCACCACCACCACCACCACTGA</t>
  </si>
  <si>
    <t>MDNSNLVCGAEFLVSAAVSEFKGPVIFGVVRLAQVNMELARVEANFSGLPPGKHGWSINQFGDLTKGAASTGKVFNPSNNGEEPLGDLGTLDVDEKGEAFYSGAKEKLRVYDLIGRSIAVYGTENKSDEGIAAAVIARSAGVGENYKKLCTCDGTTIWEATNADFVNSKVAAALEHHHHHH*</t>
  </si>
  <si>
    <t>ATGGATAACTCAAACTTGGTCTGTGGCGCGGAATTCCTCGTGTCAGCTGCTGTCTCCGAATTCAAGGGCCCCGTTATTTTTGGGGTTGTGCGTTTAGCGCAGGTCAACATGGAGTTGGCACGGGTGGAAGCCAACTTCTCAGGATTGCCGCCTGGTAAACATGGCTGGAGTATTAACCAGTTCGGGGACCTGACGAAAGGGGCGGCCTCTACAGGTAAGGTTTTTAATCCTAGCAATAATGGCGAAGAACCTCTGGGGGACCTCGGTACACTTGATGTAGATGAGAAAGGGGAGGCCTTTTACAGCGGTGCGAAAGAGAAATTACGGGTATATGATCTGATCGGCCGGAGTATTGCCGTGTACGGAACGGAAAATAAGAGCGATGAAGGTATTGCAGCTGCAGTTATTGCCCGATCCGCTGGTGTAGGTGAAAATTACAAAAAGCTGTGTACATGCGATGGCACCACCATTTGGGAAGCGACCAACGCCGATTTTGTAAATAGTAAAGTAGCGGCCGCACTCGAGCACCACCACCACCACCACTGA</t>
  </si>
  <si>
    <t>MAKAPLRVAVTGAAGQIGYSLLFRIANGDMLGKDQPVILQLLEIPDEKAQKALSGVMMEIDDCAFPLLAGMTAHSDPMTAFKDIDYAVLVGARPRGPGMERKDLLSANAQIFTAQGKALNAVAKRTVKTLVVGNPANTNAYIAMKSAPDLPAKNFTAMLRLDHNRALSQIAAKTGKAVADIEKLIVWGNHSPTMYPDYRFATIGGQSVKQMINDEEWNKNTFLPTVGKRGAAIIDARGLSSAASAANAAIDHIHDWHCGTNGKWVTMGIPSDGSYDIPKDVMYGFPVTCENGEYKIVQGLEIDAFSRERMNFTLNELTEEQEGVKHLLAAALEHHHHHH*</t>
  </si>
  <si>
    <t>ATGGCAAAAGCACCCCTCCGGGTGGCCGTTACAGGCGCCGCCGGCCAGATAGGTTACTCGCTGCTTTTCCGAATTGCAAACGGCGACATGCTGGGGAAAGATCAGCCCGTAATTCTTCAGCTTCTGGAAATACCAGACGAAAAAGCTCAAAAGGCTCTTTCGGGAGTAATGATGGAAATTGACGACTGCGCGTTCCCATTGTTGGCGGGAATGACCGCACACTCTGATCCGATGACCGCGTTTAAAGACATAGACTATGCAGTTTTAGTAGGTGCGCGTCCTCGGGGGCCGGGTATGGAACGGAAAGACCTCTTAAGCGCAAACGCCCAGATCTTCACCGCACAGGGTAAAGCTTTGAATGCAGTCGCTAAGCGCACGGTGAAAACTCTGGTAGTGGGTAATCCAGCCAATACTAACGCATATATCGCCATGAAATCTGCACCTGATCTGCCCGCGAAAAATTTCACAGCCATGCTGCGCCTTGATCATAATCGGGCTCTGTCTCAAATCGCAGCTAAAACGGGCAAAGCGGTGGCAGATATCGAGAAACTGATTGTGTGGGGGAATCATTCACCGACCATGTATCCTGATTATCGTTTTGCGACGATTGGTGGACAGTCAGTGAAACAAATGATAAATGACGAAGAATGGAACAAAAATACGTTCCTGCCCACGGTTGGCAAGCGTGGAGCTGCGATCATTGACGCCCGCGGCTTGAGCTCGGCTGCGTCGGCTGCCAATGCGGCTATCGACCACATCCACGATTGGCACTGCGGCACGAATGGCAAATGGGTAACAATGGGTATACCGTCTGATGGGAGCTATGATATTCCCAAGGATGTGATGTATGGCTTCCCAGTTACATGTGAAAATGGGGAATATAAAATCGTACAGGGACTGGAAATAGATGCCTTCTCCCGCGAACGCATGAATTTTACCCTGAATGAACTTACTGAAGAGCAGGAGGGAGTGAAACACCTTCTGGCGGCCGCACTCGAGCACCACCACCACCACCACTGA</t>
  </si>
  <si>
    <t>MKISVVGAGNVGASIAYALCMRELCDEIALVDIFGDVARAKAIDLAQSSCVFNAKTSVCGGDDFVLIEGSDIVIVTAGSPRKEGQTREDLLLKNAVVVKQTAQKIAEFAKNAVIIVVTNPLDVMVWTAHKFSGFSKNKVIGMAGELDSARCRYELALLKDKDASKLRAKIVGAHNDEMIVSASNISENLNENELKVLKKETSTGGAKIVKLLGTSAYYAPAAAAVKMCEMIVGKSDEIISASVLIDDELSCGRLVRLGRDGLKEILELNLDEDEQEQLNKSEAEIRKNIKFLKENLEAAALEHHHHHH*</t>
  </si>
  <si>
    <t>ATGAAGATATCTGTGGTTGGTGCAGGTAATGTTGGTGCAAGCATCGCGTATGCTCTGTGCATGCGGGAACTTTGCGATGAAATAGCCTTAGTGGACATATTCGGGGACGTTGCTCGCGCCAAAGCAATCGATCTGGCCCAAAGCTCATGCGTCTTTAACGCAAAGACCTCTGTTTGTGGCGGTGATGATTTTGTTCTTATAGAAGGCTCAGATATTGTTATAGTTACAGCTGGCAGTCCACGCAAAGAGGGTCAGACACGCGAGGACCTGCTCCTGAAAAATGCGGTTGTAGTAAAACAAACTGCGCAAAAAATCGCCGAATTCGCGAAAAATGCCGTGATTATTGTAGTTACGAATCCGCTCGATGTCATGGTTTGGACGGCACACAAATTTTCTGGTTTCTCAAAGAATAAAGTGATTGGTATGGCCGGGGAGCTGGATAGTGCAAGATGTCGTTACGAACTGGCGCTTCTGAAAGATAAAGATGCCTCCAAACTGCGTGCTAAAATAGTTGGTGCCCACAATGATGAAATGATAGTTTCAGCCTCTAATATTTCTGAAAACCTGAACGAAAACGAACTCAAAGTTTTGAAAAAAGAAACCTCGACAGGAGGTGCGAAGATCGTCAAGCTGCTGGGTACGAGCGCATACTATGCCCCGGCTGCAGCAGCTGTTAAGATGTGTGAAATGATAGTGGGTAAATCAGATGAAATTATTAGCGCTAGCGTCTTGATCGATGACGAACTGTCCTGTGGACGGTTAGTGAGACTGGGGCGTGATGGCTTAAAGGAAATCCTTGAGTTGAACTTAGATGAGGACGAACAAGAACAGCTGAATAAATCCGAAGCTGAAATCAGAAAGAATATAAAATTCTTGAAAGAAAACTTAGAAGCGGCCGCACTCGAGCACCACCACCACCACCACTGA</t>
  </si>
  <si>
    <t>MLDVIMMYKSNAERDDIMTKRKISIIGAGNTGSTLAFLIAERELADVVLIDQPKNEGQVKGKALDILESSPIYGFDVNVFGSVAYSDIKDSDIVVITAGVPRKPGMSRDDLVKINEKVMEEVTTEIIKYAPDCKIVVLTNPVDAMTYTVLKTSGFSKNRVIGQSGVLDTARYQTFIAQALSVSVKDIKGLVLGGHGDTMVPLVKATNVNGVPLTDLLDESVINEIVERTRKGGAEIVELLGTGSAYYAPASAVYSMLEAILKDQQRLLPTIALLNGEYGFSDICLGVPAILGKNGIEHVLELTLSDEEQNQLQTSANAVQEVKQSLKNVAAALEHHHHHH*</t>
  </si>
  <si>
    <t>ATGCTGGACGTCATTATGATGTATAAAAGCAATGCGGAAAGAGATGACATTATGACCAAACGCAAAATCAGTATTATTGGCGCAGGTAACACCGGCTCAACTCTGGCATTTTTGATTGCAGAACGCGAACTTGCAGACGTTGTGCTCATTGATCAACCGAAGAACGAGGGGCAAGTAAAGGGAAAAGCCTTAGATATTCTGGAATCCAGTCCTATTTATGGCTTCGACGTCAACGTATTTGGTAGCGTTGCTTACAGTGACATCAAGGACTCGGATATAGTGGTGATTACGGCCGGCGTTCCTCGCAAACCAGGTATGTCCCGCGATGATCTGGTCAAGATCAATGAAAAAGTCATGGAAGAAGTGACTACGGAGATAATTAAATATGCACCGGATTGTAAAATCGTTGTATTAACGAACCCTGTCGATGCGATGACATATACAGTTCTGAAAACCAGTGGTTTTTCAAAAAATCGTGTTATAGGGCAGTCTGGCGTTTTGGATACCGCTAGATATCAGACTTTTATCGCGCAAGCCTTATCTGTCTCAGTGAAAGATATTAAGGGGCTTGTGCTGGGTGGCCACGGAGACACCATGGTTCCCCTCGTGAAGGCAACCAATGTAAATGGGGTACCACTTACTGATTTACTGGATGAGAGTGTGATCAATGAAATTGTAGAGCGTACGCGCAAAGGTGGGGCGGAAATCGTTGAATTGCTCGGCACGGGGAGTGCGTATTACGCACCGGCATCAGCCGTTTACTCGATGCTTGAAGCAATTCTGAAGGATCAGCAGCGCCTTCTGCCGACAATTGCCCTGTTGAATGGAGAATACGGCTTTTCAGACATCTGCCTCGGTGTTCCTGCAATATTGGGTAAAAACGGTATTGAACATGTTTTGGAACTTACACTGAGTGACGAGGAACAGAATCAATTACAGACGAGCGCCAATGCTGTTCAGGAGGTAAAGCAGTCACTGAAGAACGTCGCGGCCGCACTCGAGCACCACCACCACCACCACTGA</t>
  </si>
  <si>
    <t>MSKVSVIGAGNVGATCANVLAFREIADEVVLLDIKEGVSEGKAMDMMQAAVTAGFASRIKGVTNNYEATANSDMVVITSGIPRKPGMTREELIGVNAGIVKSVAQNILKYSPNAILVVISNPMDTMTYLSLKSLGLPKNRIIGMGGALDSSRFKYFLSQALGCNANEVEGMVIGGHGDTTMIPLARLATYKGQPVSTLLSEEKLNEVVASTMVGGATLTKLLGTSAWYAPGAAGAYVVESIIHNQKKMIPCSVYLEGEYGESDICIGVPVILGKNGIEKIVELELTADEKAKFAASAAAVHKTNAALKEVGALAAALEHHHHHH*</t>
  </si>
  <si>
    <t>ATGAGTAAAGTGTCCGTCATCGGTGCAGGTAATGTGGGCGCCACCTGTGCCAATGTGTTGGCTTTCCGCGAAATTGCAGACGAGGTTGTTCTGCTGGACATTAAAGAAGGAGTGTCCGAAGGTAAAGCTATGGATATGATGCAGGCAGCGGTGACAGCGGGTTTCGCGTCGCGCATCAAGGGAGTCACCAACAACTACGAGGCCACGGCTAACTCTGACATGGTTGTGATTACTTCAGGGATTCCTCGAAAGCCTGGCATGACACGTGAAGAACTGATAGGTGTCAATGCGGGCATAGTGAAAAGTGTGGCCCAGAACATTCTGAAATATTCGCCTAACGCCATTCTGGTGGTGATCAGTAATCCTATGGATACTATGACGTACCTTAGCCTGAAGTCACTGGGCCTGCCGAAAAACCGGATTATTGGGATGGGCGGTGCATTAGACTCTAGCCGCTTTAAATACTTTCTTTCACAAGCGTTGGGGTGCAACGCAAATGAGGTCGAGGGTATGGTGATCGGTGGACACGGTGATACTACTATGATTCCACTGGCCCGTCTGGCGACATATAAGGGGCAACCAGTGAGTACGCTTTTATCGGAGGAAAAATTGAATGAAGTTGTCGCGTCAACCATGGTCGGGGGGGCGACTCTGACAAAGCTGCTTGGAACAAGCGCCTGGTACGCGCCAGGCGCAGCAGGGGCTTACGTCGTTGAATCTATCATCCATAATCAGAAAAAGATGATTCCATGTAGCGTGTATCTCGAGGGCGAATACGGCGAATCTGATATTTGTATTGGTGTCCCAGTTATCTTAGGGAAAAATGGCATTGAGAAAATTGTCGAGTTAGAACTGACAGCCGATGAGAAGGCGAAATTTGCGGCCTCTGCTGCAGCAGTACACAAAACGAACGCCGCGTTGAAAGAGGTCGGGGCCTTAGCGGCCGCACTCGAGCACCACCACCACCACCACTGA</t>
  </si>
  <si>
    <t>MEFLTNDKLTIVGAAGMIGSNMAQTALMMRLTPNICLYDPYAPALEGVAEELYHCAFEGVNITWTSDVKEALSGAAYVVSSGGAARKAGMTREDLLKGNAEIAAQFGKDIKAYCPDVKHVVVVFNPADITGLVTLIYAGIRPSQLSTLAALDSTRLRSELAKYFRISPDEIRNCRTYGGHGEQMAVFASTTLVAGRPLSELIGREMPEGDWHDLQQRVIQGGKHIIDLRGRSSFQSPAYLSICMIAAAMGGRPFGYPAGVFVHNDRFKHILMAMETEITKDGISYKNVQGTAEENKALADSYGHLCKLRDEVISMGIIPPCLLYTSDAADDLTRVAAALEHHHHHH*</t>
  </si>
  <si>
    <t>ATGGAGTTTCTGACTAACGACAAATTAACGATTGTCGGGGCGGCAGGGATGATTGGATCTAATATGGCCCAGACGGCCTTAATGATGCGGCTTACTCCAAATATATGCCTGTACGATCCGTATGCACCTGCACTCGAGGGCGTGGCTGAAGAGCTCTACCATTGTGCGTTTGAAGGCGTTAATATAACCTGGACGTCAGATGTAAAAGAAGCCCTGTCTGGCGCTGCATATGTAGTCTCGAGCGGTGGTGCGGCACGCAAAGCTGGAATGACCAGAGAGGACCTTCTGAAAGGCAATGCTGAAATAGCGGCTCAGTTCGGAAAGGATATTAAAGCCTATTGCCCCGACGTGAAGCATGTGGTTGTCGTATTTAATCCTGCGGATATCACCGGCCTGGTTACTCTGATATATGCAGGAATCCGCCCCTCTCAGCTGTCCACGCTGGCCGCGCTCGATTCAACTCGTCTCCGTTCCGAGCTGGCAAAATATTTCCGCATTAGTCCCGACGAAATACGCAACTGTCGCACATATGGCGGCCATGGCGAGCAGATGGCTGTTTTTGCCTCAACCACTTTAGTCGCGGGTCGGCCCCTGTCCGAACTTATTGGACGTGAAATGCCGGAAGGAGATTGGCATGATCTGCAACAACGTGTAATCCAGGGAGGAAAACATATCATCGATCTGCGCGGTAGAAGTTCATTCCAGAGTCCGGCATATCTGAGCATTTGCATGATTGCTGCTGCTATGGGAGGCCGCCCCTTTGGATACCCGGCAGGCGTTTTTGTACACAATGATCGATTTAAACATATTTTAATGGCCATGGAAACAGAAATTACAAAAGACGGTATTTCCTATAAAAATGTTCAGGGAACTGCCGAAGAGAACAAAGCCCTGGCGGACTCCTACGGGCACCTGTGCAAATTACGTGACGAGGTTATTAGTATGGGAATTATTCCGCCGTGCCTGTTGTATACATCTGACGCTGCTGATGACTTGACACGCGTGGCGGCCGCACTCGAGCACCACCACCACCACCACTGA</t>
  </si>
  <si>
    <t>MEFITNDKLVIVGAAGMIGSNMAQTALMMGLTNNLCLYDVFSPEGVAEEMRQSGFDEVNITATTDVAEAFKDAKYIISSGGAPRKAGMTREDLLKGNCEIAEQLGKDIKTYCPDVKHVVIIFNPADLTGLVTLLYSGLKPSQVTTLAALDSTRLQSALAKKFGVQQSKVAGCATYGGHGEQMAVFGSAVTIDGKPLNDLIGTSAFTNEEWEQMKVDVTKGGAKIIELRGRSSFQSPSYLSVEMIRAAMGGEAFRWPAGTFVKTDKYNYIMMAMKTTLDATGCHYEVPTGTLPAAGVMATSPATAPVQAPTVAAALEHHHHHH*</t>
  </si>
  <si>
    <t>ATGGAATTCATCACCAATGATAAATTAGTGATTGTCGGCGCCGCAGGTATGATTGGTTCTAACATGGCGCAGACAGCATTGATGATGGGGCTGACCAATAACTTGTGCTTATATGATGTTTTTAGTCCAGAAGGGGTTGCCGAAGAAATGCGTCAATCTGGTTTTGACGAGGTGAATATTACAGCTACGACTGACGTTGCGGAGGCGTTTAAGGATGCGAAATATATAATCAGTAGCGGTGGTGCTCCTCGTAAAGCAGGTATGACCCGTGAAGATCTTTTGAAAGGTAATTGTGAGATTGCCGAGCAGTTGGGTAAAGATATAAAAACGTACTGTCCTGATGTCAAACACGTCGTTATTATCTTTAATCCTGCGGACTTAACCGGGCTGGTGACCCTGCTCTATAGCGGACTTAAGCCGTCACAGGTGACCACGCTTGCGGCACTGGACAGCACACGCCTTCAGTCCGCTCTGGCAAAAAAGTTTGGTGTCCAGCAGTCAAAAGTTGCTGGCTGCGCGACCTATGGAGGACACGGCGAACAGATGGCTGTTTTCGGGTCGGCGGTAACTATTGATGGCAAACCTCTTAATGATTTAATTGGCACCTCTGCCTTCACTAATGAAGAATGGGAGCAGATGAAAGTTGACGTGACAAAAGGCGGGGCAAAAATTATTGAACTGCGTGGCCGGTCGTCTTTTCAGTCGCCGAGTTACCTTAGCGTCGAAATGATTCGCGCGGCGATGGGCGGCGAGGCATTTAGATGGCCCGCGGGAACCTTTGTCAAGACAGACAAATATAACTATATAATGATGGCTATGAAGACAACGCTGGATGCTACCGGTTGCCACTATGAGGTGCCGACGGGCACTCTTCCGGCTGCGGGAGTGATGGCCACTAGTCCAGCCACGGCGCCTGTACAGGCGCCTACGGTCGCGGCCGCACTCGAGCACCACCACCACCACCACTGA</t>
  </si>
  <si>
    <t>MNKKIITITGAAGNIAYSLIFRLLSGNIFDHDTKIQLNLLDISAVLPVLKGVKLEIEDCAFKQLDSVLITDEPERAFSDSDFILLVGAKPRSKGMQRADLLLDNANIFQGQAKLINKNAKKSTKVIVVGNPANTNALIIQNYAKDIPAENISSLMRLDQNRAKSILSSKTISKVEQIQQLVVWGNHSATQYPDINNVLIDGSNHKILGLDSNWVSKEFIPRVQNRGAEIIEHRGKSSAASAASAIYDHLNSLVNGSDDWESMGIMSANSYGIDDQIFFSYPLNITQSKIEIISNISLTDDSSRYIKISEKELISERDIIKDLLAAALEHHHHHH*</t>
  </si>
  <si>
    <t>ATGAATAAGAAAATTATAACGATAACGGGTGCAGCAGGAAACATTGCCTATAGTCTGATATTCCGATTGTTGTCTGGCAATATTTTTGACCATGACACGAAAATTCAACTGAATTTACTGGATATCTCGGCGGTGCTGCCTGTTCTCAAGGGGGTCAAATTAGAGATCGAAGATTGCGCTTTCAAGCAACTGGATTCTGTGCTGATTACTGACGAACCGGAACGTGCATTTTCCGATAGCGATTTTATTCTTCTGGTTGGGGCCAAACCACGCTCTAAAGGCATGCAGCGCGCGGATCTGCTGCTTGACAACGCGAATATTTTTCAAGGTCAAGCCAAACTGATCAATAAGAACGCAAAGAAAAGCACTAAGGTCATAGTCGTGGGAAACCCGGCAAATACAAATGCCCTGATAATCCAGAACTACGCCAAAGACATTCCGGCCGAGAATATTTCTTCACTTATGCGGTTGGATCAGAACCGTGCCAAATCGATACTGAGCAGTAAGACAATCAGCAAAGTGGAACAAATACAGCAGCTGGTGGTTTGGGGTAATCACAGCGCGACTCAGTACCCCGATATTAACAACGTTCTGATCGACGGCTCCAACCACAAAATTTTGGGTCTGGACAGCAATTGGGTAAGTAAAGAATTCATTCCCCGCGTTCAGAATCGCGGCGCCGAAATTATTGAACACCGTGGCAAGTCAAGTGCGGCATCCGCGGCCAGTGCGATTTATGATCATTTGAACAGTCTGGTGAATGGTTCCGACGATTGGGAAAGTATGGGTATAATGAGCGCCAATAGCTACGGAATCGATGATCAGATTTTCTTTAGTTATCCGCTCAACATCACGCAATCTAAGATCGAGATTATTTCCAATATTAGCTTAACAGATGACTCGAGCCGATACATTAAAATTTCCGAAAAAGAATTGATCTCAGAGCGCGATATAATTAAAGACCTCCTTGCGGCCGCACTCGAGCACCACCACCACCACCACTGA</t>
  </si>
  <si>
    <t>MSKVTVVGAGNVGATVANVLAHQDFLDEIVLIDIKGDMAKGKALDTWQQAPIDGYSTNLRGTENYADTAGSDIVIITAGLPRKPGMSRDDLISTNAGIVTTVTKSILEYSPEAILIIVSNPLDVMTYAAHKASGLPSSKVIGMAGILDTARYRAFIAEELNISPKEIQAILMGGHGDSMVPLPRYTTVAGIPVTEMISEDKLQAIVDRTKKGGGELVNLMGTSAWYAPGAAAAQMVSSILKNERRVVPCCIKLEGQYGIDGIYVGVPVVLGKNGVEQIIELKLNADETALLNTSRDAVREVMDVYDNMSKAAALEHHHHHH*</t>
  </si>
  <si>
    <t>ATGTCTAAAGTCACTGTCGTTGGTGCTGGGAATGTCGGCGCGACGGTCGCGAATGTGCTTGCGCATCAGGACTTTCTGGACGAGATCGTTTTGATCGATATTAAAGGTGACATGGCAAAGGGTAAGGCCCTGGATACCTGGCAGCAGGCTCCGATTGATGGCTATTCGACCAACCTTAGAGGTACAGAGAATTACGCGGATACCGCTGGGTCCGATATCGTAATTATTACAGCCGGCTTGCCCCGCAAGCCAGGTATGTCTCGCGACGATTTGATAAGCACGAATGCGGGAATCGTCACGACCGTAACCAAGTCTATTTTAGAGTACTCGCCTGAAGCGATACTCATTATAGTATCAAACCCTCTGGACGTGATGACTTACGCCGCACATAAAGCGAGTGGACTGCCGTCTAGCAAGGTGATTGGGATGGCCGGGATCCTTGACACTGCGCGGTATCGCGCATTTATTGCGGAGGAACTTAACATATCACCGAAAGAAATCCAGGCTATTCTCATGGGTGGCCACGGGGATTCAATGGTTCCTCTGCCCCGGTATACCACGGTTGCCGGCATCCCCGTCACTGAGATGATTTCAGAGGATAAACTTCAGGCAATAGTGGACCGTACTAAAAAAGGCGGTGGCGAACTTGTTAATCTGATGGGAACCAGTGCTTGGTATGCCCCGGGTGCTGCTGCAGCACAGATGGTCAGTTCTATTCTGAAAAACGAACGGCGTGTCGTTCCCTGCTGCATCAAATTGGAAGGCCAGTACGGGATTGATGGGATTTACGTCGGTGTTCCGGTGGTTCTTGGGAAGAATGGTGTGGAACAGATTATCGAATTAAAACTCAATGCGGATGAGACGGCGTTGCTGAACACATCGCGCGACGCAGTCAGAGAGGTGATGGACGTGTACGATAATATGTCGAAGGCGGCCGCACTCGAGCACCACCACCACCACCACTGA</t>
  </si>
  <si>
    <t>MKVTVVGAGGNVGSTVALSVAQRDFAKEVIALDLERKQDDKTFYPSKGRALDQWEASPIHLFDTRVKGTTDYADTAGSDVCVITAGVPRRPGMSRDDLIGINTNVMKAVGEGIKKWCPKAFVICITNPLDAMVWALREASGLPASRVVGMAGILDSARFRYFLAEEFNVSVRDVTAFVLGGHGDTMVPLPRYSTVAGIPLPDLIKMGWTTQDKLNEIVQRTRDGGAEIVGLLKTGSAFYAPASSAIEMAEAYLKDQRRVLPCCAYLSGEYGVRGLYVGVPVIIGGKGIERIIEINLNVGEKKAFKQSVAAVRTLVNVVKRIRKKSKKVTARKKPASKKNDSKKKAAALEHHHHHH*</t>
  </si>
  <si>
    <t>ATGAAAGTGACAGTGGTTGGAGCAGGAGGTAATGTGGGGTCAACCGTGGCGTTATCTGTCGCGCAGCGTGATTTTGCCAAAGAAGTTATTGCACTTGATCTCGAGCGTAAGCAGGACGATAAGACTTTTTACCCAAGTAAGGGCCGGGCGCTGGATCAGTGGGAAGCGTCACCTATTCATCTTTTTGACACGCGTGTGAAAGGTACAACTGACTATGCCGATACCGCGGGATCCGATGTATGTGTCATTACGGCAGGTGTACCGCGCCGACCAGGGATGTCCCGGGATGATTTAATTGGAATTAATACCAATGTTATGAAAGCGGTGGGGGAAGGGATTAAAAAGTGGTGCCCAAAGGCCTTTGTTATTTGTATCACTAACCCGTTAGATGCAATGGTTTGGGCGCTTCGCGAAGCCTCAGGTCTGCCAGCATCACGTGTCGTTGGAATGGCAGGAATCCTGGACTCCGCGCGGTTTCGTTACTTTCTTGCTGAAGAATTTAACGTCAGCGTCCGAGATGTGACTGCTTTTGTATTGGGAGGTCACGGCGATACGATGGTGCCGTTACCGCGGTATTCAACTGTTGCGGGTATCCCGCTGCCGGATTTGATTAAAATGGGTTGGACTACACAAGATAAACTCAACGAAATAGTACAACGTACACGGGATGGTGGGGCCGAAATTGTTGGGCTGCTGAAAACTGGGTCGGCATTTTACGCACCGGCGAGCTCAGCCATCGAGATGGCCGAGGCCTATCTCAAAGATCAGCGGCGTGTACTGCCTTGTTGCGCATATCTGAGCGGTGAGTACGGGGTGCGAGGATTGTATGTAGGGGTTCCTGTAATCATTGGTGGTAAAGGAATTGAACGCATTATCGAGATCAATCTTAATGTTGGCGAAAAGAAAGCGTTTAAACAATCAGTGGCTGCGGTGCGGACCCTGGTGAACGTTGTAAAGCGCATTAGAAAGAAGTCGAAAAAAGTGACTGCAAGAAAGAAACCGGCCTCAAAAAAGAATGATTCGAAGAAGAAAGCGGCCGCACTCGAGCACCACCACCACCACCACTGA</t>
  </si>
  <si>
    <t>MITIIGAGKVGGDAALFSALKRLDDQILLLDIAEGLPQGEAMDLNHMLSEQGIDVEIKGSNNYEDMKGSKIVVVVAGAGRKPGMTRMDLLKINAGVVKDVVGNIKKFADDSLIIPVTNPLDPMAHIAYKTSGFDRTRVFGMGGMLDLSRFKQFIHEATNTPRKEIDAIVIGEHGENMLPLTRFAKVSGEFLHEKLSKEKLDEIFTLTKNVAAEVIKLKGATVHAPGNAISAIIDNVVNDKKQVMPVSTCLDGEYGHSDVTIGVPAVIGKNGAEKIIELELNDEESEWFEKGVKSVNDALSGVEIAAALEHHHHHH*</t>
  </si>
  <si>
    <t>ATGATCACTATAATAGGAGCTGGTAAAGTTGGTGGCGATGCGGCACTGTTTTCCGCGCTGAAGCGCCTTGATGATCAAATCCTCCTGCTCGATATTGCTGAAGGTTTACCGCAAGGTGAGGCCATGGATCTTAACCATATGTTATCAGAACAGGGTATCGATGTGGAGATTAAAGGCTCTAACAATTATGAGGATATGAAGGGCTCTAAGATTGTCGTTGTGGTGGCGGGGGCTGGGCGTAAACCGGGCATGACGCGTATGGATCTGTTGAAAATCAACGCGGGCGTTGTAAAAGATGTAGTCGGGAATATTAAAAAGTTTGCAGACGATAGCTTGATTATTCCCGTGACAAATCCTCTTGATCCAATGGCTCATATCGCCTATAAGACGTCGGGTTTCGATCGGACCCGCGTTTTCGGCATGGGGGGAATGTTGGACCTTTCTCGTTTCAAACAGTTTATTCATGAGGCGACAAACACGCCACGTAAAGAAATAGACGCAATTGTTATCGGGGAACATGGCGAGAACATGTTGCCGCTCACGCGCTTTGCTAAGGTAAGCGGAGAATTTCTGCACGAGAAGTTGAGTAAGGAGAAACTGGATGAAATTTTTACATTAACTAAAAATGTGGCAGCTGAAGTAATTAAATTAAAAGGGGCCACAGTACATGCCCCAGGCAATGCCATCTCAGCTATTATTGATAATGTGGTCAATGACAAAAAACAGGTGATGCCTGTTAGCACTTGTCTGGATGGGGAATACGGTCATTCGGATGTCACTATAGGCGTTCCTGCGGTAATTGGCAAAAATGGTGCCGAAAAGATTATCGAATTAGAGTTGAATGATGAAGAGTCAGAATGGTTCGAAAAAGGGGTGAAGTCCGTTAACGACGCTTTGAGCGGTGTTGAAATAGCGGCCGCACTCGAGCACCACCACCACCACCACTGA</t>
  </si>
  <si>
    <t>MARNKIALVGAGNIGGTLALLAGLKELGDVVLFDIAEGIPQGKALDIAQAAPVEGFDASFTGANDYAAIAGADVVIVTAGIPRKPGMSRDDLLSTNMKVMQAVGEGIKNHAPNAFVICITNPLDAMVWVLREACELPHHKVVGMAGVLDSARFRHFIAEEVGVSVEDVTAFVLGGHGDTMVPMVRHSTVAGIPLPDLVKMGWLAQDKLDSIVERTRNGGAEIVGLLKTGSAFYAPASSAIAMAESYLKDKKRILPCAAYLSGEYGVEGLYAGVPVVIGEGGVERIVELDLNESEKAGFDHSIAAVKGLIEACQKLAASAAALEHHHHHH*</t>
  </si>
  <si>
    <t>ATGGCACGTAATAAGATTGCTCTTGTTGGAGCAGGTAATATCGGCGGGACACTCGCTCTCCTCGCTGGTTTAAAAGAATTGGGTGACGTGGTGCTTTTCGATATAGCAGAAGGGATACCTCAGGGAAAAGCGCTTGACATCGCGCAGGCAGCACCGGTGGAAGGTTTTGATGCCTCTTTTACCGGGGCCAACGATTATGCAGCTATTGCAGGTGCAGATGTAGTCATCGTCACTGCAGGAATACCTCGGAAACCGGGAATGAGCCGTGACGACCTTCTGTCAACCAACATGAAGGTGATGCAGGCTGTTGGAGAAGGAATTAAAAACCATGCGCCAAATGCATTTGTTATTTGCATTACCAACCCTCTGGATGCCATGGTTTGGGTCCTGCGCGAGGCGTGCGAACTCCCACATCATAAAGTTGTCGGGATGGCGGGTGTATTGGACAGCGCGCGCTTCCGGCACTTTATTGCGGAAGAAGTGGGAGTCAGTGTAGAAGATGTTACTGCGTTTGTTTTGGGTGGACATGGTGATACCATGGTTCCCATGGTTCGTCATTCAACCGTTGCAGGGATTCCATTGCCGGATTTGGTTAAAATGGGGTGGCTCGCTCAGGATAAACTGGACAGTATCGTTGAACGTACTCGTAATGGAGGCGCAGAAATTGTGGGACTGCTTAAGACGGGCAGCGCCTTTTATGCGCCAGCGTCTAGTGCAATAGCAATGGCGGAATCGTATCTGAAAGACAAAAAGCGTATCCTCCCGTGTGCTGCATATCTCTCAGGCGAGTACGGTGTCGAGGGTTTGTATGCCGGAGTGCCTGTTGTCATTGGGGAAGGTGGTGTTGAACGGATAGTTGAGCTGGACTTAAATGAATCAGAAAAAGCAGGATTCGACCACTCCATTGCAGCGGTCAAGGGTCTGATAGAGGCTTGTCAAAAACTGGCGGCAAGCGCGGCCGCACTCGAGCACCACCACCACCACCACTGA</t>
  </si>
  <si>
    <t>MVIRGGTAAPQIKGTVTFRDVRGGTKVTVEVTGLPPYQPAKNGKQPNGPHGFHIHENGNCQAGGPDDPFTAAGGHYNPGNRPHGNHAGDLPVLFSDNGFARMTFFTNRFTVEDVIGKAVIIHENPDDYRTQPSGNAGERIACGVIAAALEHHHHHH*</t>
  </si>
  <si>
    <t>ATGGTCATTCGGGGTGGAACGGCGGCCCCTCAGATAAAAGGAACGGTGACCTTCCGTGATGTCCGCGGCGGTACGAAAGTTACGGTGGAAGTGACTGGATTACCGCCTTACCAGCCGGCCAAAAATGGCAAGCAACCTAACGGCCCGCACGGATTTCATATTCATGAAAATGGAAATTGTCAAGCTGGTGGGCCTGATGACCCTTTCACGGCCGCCGGCGGACATTATAACCCTGGTAACCGTCCGCACGGCAACCATGCAGGTGATCTGCCAGTTCTGTTCTCTGATAACGGTTTTGCAAGAATGACTTTTTTTACCAACCGCTTTACTGTTGAAGACGTTATTGGGAAAGCGGTTATCATCCACGAGAACCCAGATGACTATCGTACTCAACCCAGTGGTAATGCTGGCGAACGCATAGCATGCGGCGTCATCGCGGCCGCACTCGAGCACCACCACCACCACCACTGA</t>
  </si>
  <si>
    <t>MVTLAPTSGSRVTGTLTLTPTADGVRITGTVTGLTPGSEHGFHIHENGDCSAPDASSAGGHFNPGGNPHGHPGSGAHHAGDMPNLVADAEGVAQVDVIVSGVTLGGGGANDILGRAVVVHADADDYTTQPAGNAGARIACGVIAAALEHHHHHH*</t>
  </si>
  <si>
    <t>ATGGTCACCCTTGCACCCACTTCCGGCTCACGTGTGACAGGCACCCTGACGCTGACACCGACCGCAGATGGAGTACGCATAACCGGAACCGTAACAGGGCTGACTCCAGGTTCCGAGCACGGATTCCACATTCATGAAAACGGCGACTGCTCCGCCCCCGACGCTAGCTCTGCGGGTGGGCATTTCAACCCTGGAGGAAACCCTCATGGTCACCCGGGTTCGGGGGCGCACCACGCTGGCGATATGCCGAACTTAGTGGCAGATGCGGAGGGTGTTGCGCAGGTCGATGTCATTGTATCAGGCGTAACTCTGGGTGGTGGCGGAGCTAATGATATCCTGGGTCGTGCGGTTGTGGTTCATGCGGATGCCGATGACTACACTACCCAGCCGGCGGGTAATGCTGGAGCACGTATTGCCTGTGGAGTGATAGCGGCCGCACTCGAGCACCACCACCACCACCACTGA</t>
  </si>
  <si>
    <t>MSVKAVCVLRGDKVSGTIYFTQEGDGGPVTVTGEITGLTPGQHGFHIHEFGDNTNGCTSAGPHFNPSNKTHGGPTDEVRHVGDLGNVEADDNGVASVNITDSIISLSGPHSIIGRTLVVHEGVDDLGKGGHELSSTTGNAGGRAACGVIGIAKPQLAAALEHHHHHH*</t>
  </si>
  <si>
    <t>ATGTCAGTTAAAGCGGTGTGCGTCCTTCGGGGTGATAAAGTCTCGGGAACTATTTATTTTACACAGGAGGGCGATGGCGGGCCTGTGACTGTGACGGGAGAAATTACCGGGCTTACGCCTGGTCAACACGGATTCCATATCCACGAATTCGGGGATAATACCAACGGCTGCACAAGTGCAGGGCCACATTTTAATCCGTCTAATAAAACTCATGGCGGTCCCACCGATGAGGTGAGACATGTGGGAGATTTAGGTAACGTAGAAGCAGATGACAATGGAGTCGCGTCCGTCAACATCACAGACTCTATTATTTCACTGTCCGGTCCGCATTCCATTATTGGCCGCACCCTTGTTGTACACGAAGGCGTTGATGACTTAGGAAAAGGGGGTCACGAGCTTTCAAGCACGACTGGTAATGCAGGCGGTCGTGCCGCGTGCGGAGTTATAGGCATTGCAAAGCCCCAGCTGGCGGCCGCACTCGAGCACCACCACCACCACCACTGA</t>
  </si>
  <si>
    <t>MAVAVLSGDSGVTGTIQFTQEEGDGPTTVTGEISGLTPGLHGFHVHALGDTTNGCTSTGPHFNPFGKEHGGPEDEERHVGDLGNITAGEDGVAEVSITDKMISLTGPHSIIGRAVVVHADLDDLGKGGHELSKTTGNAGGRIACGVIGLAGPVITSDAAALEHHHHHH*</t>
  </si>
  <si>
    <t>ATGGCTGTTGCTGTACTGAGCGGCGATTCAGGTGTGACGGGCACCATTCAGTTCACTCAGGAAGAGGGTGACGGGCCAACCACAGTCACAGGTGAAATATCAGGCCTTACCCCAGGACTGCACGGTTTTCACGTCCACGCTTTAGGCGATACAACCAATGGATGCACGTCCACCGGCCCACATTTCAATCCGTTTGGCAAAGAGCATGGGGGCCCTGAGGACGAGGAACGACACGTCGGTGACCTGGGCAACATCACCGCGGGGGAGGATGGCGTAGCCGAAGTCAGTATTACAGATAAAATGATATCCCTCACAGGTCCGCATAGCATTATCGGGCGTGCTGTGGTGGTCCACGCGGATCTTGATGACCTGGGGAAAGGCGGTCACGAACTTTCAAAGACAACGGGCAACGCGGGTGGACGTATCGCATGTGGAGTAATTGGTCTTGCTGGCCCGGTAATTACATCGGATGCGGCCGCACTCGAGCACCACCACCACCACCACTGA</t>
  </si>
  <si>
    <t>MNALTREGVGKSIGTVTITQTADGLVITVDLKGLPPGPHGFHVHENGSCEPAEKDGKTVAAGAAGGHYDPQNTGKHGGPEGDGHLGDLPALTVDADGTATTTVIAPRLTLDDIKGRALMIHAGPDNYSDQPEPLGGGGARIACGVIAAALEHHHHHH*</t>
  </si>
  <si>
    <t>ATGAATGCTTTAACTCGAGAAGGAGTGGGGAAATCTATTGGCACAGTCACGATAACTCAGACGGCGGATGGACTTGTTATTACAGTTGATCTGAAAGGACTGCCACCGGGTCCACATGGTTTTCACGTCCACGAAAATGGTTCTTGCGAACCGGCGGAAAAGGATGGCAAAACGGTCGCCGCCGGTGCAGCGGGAGGGCACTATGATCCCCAAAATACCGGAAAGCATGGAGGGCCGGAGGGCGATGGCCATCTCGGTGATCTGCCTGCATTAACCGTAGATGCCGATGGCACCGCCACTACAACGGTTATAGCACCGCGCTTGACGTTGGACGATATAAAAGGGCGCGCGTTGATGATTCACGCTGGCCCAGACAACTACTCAGATCAGCCAGAGCCTCTGGGGGGAGGAGGTGCGCGGATCGCGTGTGGCGTCATTGCGGCCGCACTCGAGCACCACCACCACCACCACTGA</t>
  </si>
  <si>
    <t>MAVVALSGGSGVTGNITFIQQQDDGPVRVTGTISGLTPGKHGFHVHEKGDLSNGCVSAGGHFNPENKNHGAPNDTERHVGDLGNIEADENGVATINITDSVISLTGPHSIIGRAVVVHADADDLGKGGNEESKKTGNAGGRVACGVIAAALEHHHHHH*</t>
  </si>
  <si>
    <t>ATGGCCGTGGTTGCCCTCAGTGGAGGGTCAGGCGTGACGGGCAATATCACGTTTATCCAACAGCAGGATGATGGGCCGGTGAGAGTCACCGGGACAATCTCGGGGTTAACTCCAGGGAAACACGGTTTCCACGTACATGAAAAAGGAGACCTGTCAAACGGGTGCGTAAGTGCAGGCGGTCACTTTAACCCGGAAAACAAGAATCATGGCGCCCCTAACGATACTGAACGCCATGTGGGTGATCTGGGAAATATCGAAGCAGATGAAAATGGTGTTGCGACGATAAACATCACAGATAGCGTTATTTCTTTAACAGGTCCACATTCAATTATCGGACGTGCTGTGGTAGTGCATGCGGATGCGGATGATCTGGGTAAAGGCGGAAACGAAGAATCCAAGAAAACCGGCAACGCGGGGGGTCGTGTCGCTTGTGGCGTGATTGCGGCCGCACTCGAGCACCACCACCACCACCACTGA</t>
  </si>
  <si>
    <t>MVKAVCVLKGDEGVTGVVTFEQEDANSPTTISAEFHGLSSGKHGFHIHEFGDNTNGCISAGGHFNPFGVNHGDRTASVRHVGDMGNVVSAGTDKVTKVELEDRLITLFGPTSVIGRTVVVHGGEDDLGLGGNAGSLANGNAGSRAACGVIGITNAAALEHHHHHH*</t>
  </si>
  <si>
    <t>ATGGTGAAAGCAGTGTGCGTCCTTAAGGGCGATGAGGGTGTTACAGGGGTTGTGACCTTCGAGCAAGAAGATGCTAATAGTCCCACAACCATTTCCGCGGAGTTCCACGGCTTGTCATCTGGAAAACATGGATTCCACATCCATGAATTCGGGGATAATACCAACGGTTGCATTTCAGCCGGAGGGCATTTCAATCCATTTGGGGTGAACCATGGCGATCGTACCGCCAGCGTGCGCCATGTGGGCGACATGGGGAACGTGGTGTCTGCCGGTACGGATAAAGTAACAAAAGTTGAATTAGAAGATCGACTGATCACGTTATTTGGGCCGACTAGTGTTATTGGCCGTACAGTCGTGGTGCACGGGGGAGAGGATGATTTGGGACTTGGAGGGAATGCTGGCTCCCTGGCCAATGGTAATGCTGGTTCTCGCGCCGCATGTGGTGTTATTGGGATCACCAACGCGGCCGCACTCGAGCACCACCACCACCACCACTGA</t>
  </si>
  <si>
    <t>MAVLHPTEGNKVTGTVTFTQTDDGVKVTADVTGLTPGKHGFHIHEFGDCSAPDGTSAGGHFNPTNKPHAGPDAAERHVGDLGNIEADADGNATLEFVDSRISLNGGNHSIIGRAVIVHAKADDLKSQPTGNAGGRIACGVIAAALEHHHHHH*</t>
  </si>
  <si>
    <t>ATGGCGGTTCTGCATCCAACGGAAGGGAATAAAGTTACCGGTACTGTTACTTTTACCCAGACGGATGATGGAGTCAAAGTTACGGCAGACGTAACCGGACTCACTCCGGGGAAACATGGGTTTCATATACACGAGTTCGGTGACTGTTCAGCCCCTGATGGGACTAGCGCCGGTGGACATTTCAATCCCACAAACAAACCACACGCCGGCCCGGACGCTGCAGAAAGACATGTAGGGGACTTAGGTAATATCGAAGCCGATGCAGATGGTAATGCCACCCTGGAGTTTGTTGATTCCCGCATTAGCTTGAATGGCGGAAATCATTCAATAATTGGCCGTGCCGTTATTGTACATGCGAAGGCAGATGATTTAAAATCTCAGCCAACCGGAAACGCAGGAGGTCGAATTGCGTGCGGTGTCATCGCGGCCGCACTCGAGCACCACCACCACCACCACTGA</t>
  </si>
  <si>
    <t>MTVKAVAVLKGNSDGVSGTVTFTQEGDGPTTVTGKITGLKPGPHGFHVHEFGDTTNGCMSTGPHFNPTGKTHGAPEDEERHVGDLGNVIAGADGVAEVKITDSQIPLTGPHSIIGRAVVVHADEDDLGKGGHELSKTTGNAGGRLACGVIGLQGAAALEHHHHHH*</t>
  </si>
  <si>
    <t>ATGACCGTCAAGGCCGTGGCCGTGCTGAAAGGAAATTCCGATGGGGTATCCGGCACAGTTACGTTCACCCAGGAAGGCGATGGGCCAACGACCGTGACCGGAAAAATCACCGGGCTCAAACCTGGTCCCCATGGATTTCACGTTCACGAATTTGGCGATACCACTAATGGTTGCATGTCGACCGGACCCCACTTTAACCCAACGGGGAAGACGCATGGTGCCCCAGAAGATGAAGAACGCCATGTTGGGGATCTGGGTAACGTGATCGCCGGCGCTGATGGCGTGGCCGAAGTCAAAATTACCGATTCACAGATTCCGCTGACTGGCCCGCATTCGATTATTGGGAGAGCAGTGGTGGTTCATGCTGATGAAGACGATCTGGGTAAGGGAGGCCATGAGTTAAGCAAAACTACCGGCAATGCCGGAGGGCGCTTGGCGTGTGGAGTGATTGGTTTACAAGGCGCGGCCGCACTCGAGCACCACCACCACCACCACTGA</t>
  </si>
  <si>
    <t>MITIIGSGKVGSSAALQSALRKLDDDVLLLDIVEGLPQGEAMDINHMLSELGIDVEVKGSNDYADMEGSDIVVVVAGVGRKPGMTRMDLLNTNAGIVKDVAEKIKEYAKDAIIIVVTNPLDPMTYVALKTTGFERNRVIGMGGMLDLSRFKSFIHEATGFSRESIQAMVIGEHGENMLPLPRFSSVSGIPLTTLLSKEKAEEIVENTKKVAAEVIKLKGATIHAPGNAIAAMVESIVRDRKQVIPVSAYLDGEYGAKDVCIGVPAVLGKNGIEKIVELELNDEEKEWFDKGVESVKDAISQIEAAALEHHHHHH*</t>
  </si>
  <si>
    <t>ATGATTACGATCATAGGCTCTGGCAAGGTCGGTTCTTCTGCTGCCCTTCAATCCGCGTTACGGAAATTGGATGATGATGTTCTTCTGCTTGATATCGTGGAAGGTCTCCCACAAGGTGAAGCAATGGATATCAATCACATGCTGTCTGAACTGGGGATCGATGTGGAAGTCAAAGGATCCAATGACTACGCTGACATGGAGGGCTCTGACATAGTGGTTGTTGTAGCGGGTGTGGGCCGTAAGCCCGGTATGACCAGAATGGACCTGCTGAATACCAATGCTGGCATTGTTAAAGACGTTGCTGAAAAAATTAAGGAGTATGCGAAAGACGCTATTATTATTGTTGTAACTAATCCCTTAGATCCAATGACTTATGTGGCCCTCAAAACTACGGGTTTTGAGCGCAATCGCGTAATTGGGATGGGCGGCATGCTTGATTTATCGCGCTTTAAATCTTTCATTCATGAAGCGACCGGTTTTTCAAGAGAATCTATCCAGGCCATGGTTATCGGTGAACATGGAGAAAACATGTTGCCTCTGCCGCGGTTCAGTAGCGTTTCCGGAATCCCCCTGACGACCCTGTTATCTAAAGAAAAAGCAGAAGAAATTGTTGAAAATACGAAAAAAGTTGCTGCCGAGGTGATTAAACTGAAAGGCGCCACGATTCATGCTCCTGGCAATGCAATAGCCGCTATGGTGGAATCCATTGTGCGTGATCGCAAACAGGTGATACCAGTTTCGGCCTATCTGGACGGTGAATATGGCGCCAAGGATGTGTGCATAGGGGTACCGGCCGTGTTAGGTAAAAATGGCATTGAAAAAATTGTAGAACTGGAGTTAAACGACGAAGAGAAAGAGTGGTTCGATAAGGGCGTCGAGAGCGTCAAAGACGCCATTAGCCAGATTGAAGCGGCCGCACTCGAGCACCACCACCACCACCACTGA</t>
  </si>
  <si>
    <t>MKKISIIGSGNVGANTAFFIAEKGISDVTLYDIVEGLSAGKALDMMEAAPIRGYRTKISGSDDIADIKGSDVVVLAAGVVRKPGMKREDLLEQNAPIVRDVVEQIRKSAPNSIVIVVTEPVDMLTTLFTKTSGFPRERVMGLGGLLDSTRLRYAIARELGVSAEDVTAMVIGRHGDNMVVLPRYARVSGIPVTKLLSPEKIEALVEETRRAGALIVELAKRASAYYAPSAAAAELVDAILRDTKRVLSVSTLLDGEYGINGIALSVPVVIGKNGVEKVIEPELTGEEKEKFDKSAAAVKETIERVRKAAALEHHHHHH*</t>
  </si>
  <si>
    <t>ATGAAAAAGATTTCCATCATTGGGTCAGGTAATGTAGGCGCCAATACTGCGTTCTTTATTGCGGAAAAAGGTATCTCAGATGTTACGCTGTATGACATTGTCGAAGGTCTGTCGGCTGGCAAGGCCCTGGATATGATGGAAGCGGCGCCGATACGGGGGTATCGGACAAAAATAAGTGGCAGTGATGATATAGCGGATATTAAGGGTTCCGATGTGGTGGTTTTGGCAGCCGGCGTCGTTCGCAAACCGGGTATGAAACGGGAGGATCTCCTTGAACAGAACGCTCCGATTGTCCGCGATGTAGTGGAACAGATACGCAAATCCGCGCCAAATTCAATAGTGATCGTCGTAACCGAACCTGTTGATATGCTGACCACACTGTTTACGAAAACATCGGGTTTCCCGCGTGAACGTGTTATGGGCCTTGGAGGCCTTCTTGACAGCACGCGTTTAAGATACGCCATAGCTAGAGAACTTGGGGTGTCCGCCGAAGATGTCACTGCAATGGTTATTGGTCGGCACGGCGATAATATGGTTGTTCTCCCCCGTTATGCAAGAGTCAGTGGCATACCAGTCACTAAGCTTTTGTCCCCAGAGAAAATAGAGGCACTCGTGGAAGAGACTCGAAGAGCTGGTGCTTTAATCGTGGAACTGGCAAAACGAGCTAGCGCATATTATGCGCCCAGCGCGGCGGCAGCGGAATTAGTAGACGCGATCCTTAGAGACACAAAACGGGTTTTAAGCGTGTCGACCCTGCTGGATGGTGAGTATGGTATAAATGGTATAGCTCTGTCAGTTCCAGTTGTTATTGGAAAAAACGGTGTTGAAAAAGTTATTGAACCGGAGCTGACAGGTGAAGAAAAAGAAAAATTTGACAAATCTGCAGCAGCCGTTAAGGAGACTATCGAGCGGGTGCGTAAAGCGGCCGCACTCGAGCACCACCACCACCACCACTGA</t>
  </si>
  <si>
    <t>MMAAAGGTVKAVAIITGDNNVRGSLQFVQDANGVTHVRGRITGLSPGLHGFHIHALGDTTNGCNSTGPHFNPLKKDHGAPSDEERHAGDLGNIVAGPDGVAEVSIKDMQIPLSGQHSILGRAVVVHADPDDLGRGGHELSKTTGNAGARVGCGIIGLQSSVAAALEHHHHHH*</t>
  </si>
  <si>
    <t>ATGATGGCAGCAGCAGGTGGAACGGTTAAGGCGGTGGCGATAATAACGGGGGACAACAATGTCCGGGGTTCCCTGCAGTTTGTACAAGACGCGAATGGGGTTACACATGTACGCGGCCGGATTACCGGATTATCCCCGGGGTTACATGGGTTCCATATCCACGCCCTCGGCGATACTACCAATGGGTGCAATTCTACCGGGCCGCACTTTAATCCGCTGAAAAAAGACCACGGGGCTCCAAGCGACGAAGAACGCCATGCTGGTGACTTAGGCAATATAGTTGCCGGGCCAGATGGAGTTGCAGAAGTTTCTATCAAAGATATGCAAATTCCGCTGAGCGGCCAGCATTCGATCCTCGGTCGCGCTGTTGTCGTTCATGCCGACCCGGATGACTTGGGCCGGGGCGGGCACGAACTTTCTAAAACCACTGGCAACGCAGGGGCACGTGTCGGATGCGGCATTATTGGACTGCAGTCATCAGTGGCGGCCGCACTCGAGCACCACCACCACCACCACTGA</t>
  </si>
  <si>
    <t>MKKISIIGAGRVGESTAQILAQKELCREIVLLDIREGVAKGAALDIQESAPIFGFDTRVTGSTDSAAIADSDLVIITAGIPRKPGMSRSDVLDTNLAIIDEIVDEVMKYAPDAMLLLVTNPVDVLTYHAWKRTGWPRNRVFGQAGVLDSARMASFIAMETGFSVKDISAMVLGGHGDTMVPMTRYTTINGIPVTHFLDQETIEQIVERTRHGGAEILALRQTSSAYDAPAAAVAAMVDAICHDRKRILPCVAILEGEYGQRDIAMGVPVVLGRNGVERVIELPLTEEEQAEFKQSAEAVRADIERLKKLAAALEHHHHHH*</t>
  </si>
  <si>
    <t>ATGAAGAAAATCTCGATAATTGGCGCTGGTCGCGTAGGGGAATCAACTGCTCAGATCCTGGCGCAGAAAGAATTGTGCCGAGAAATTGTTCTTCTCGATATAAGAGAAGGAGTTGCGAAGGGCGCAGCCCTTGACATACAGGAGTCCGCTCCAATTTTTGGATTCGACACTCGCGTTACAGGCTCAACTGATTCCGCTGCTATTGCTGATAGTGATCTGGTTATAATTACGGCCGGTATTCCACGGAAACCTGGCATGTCTCGCTCCGATGTTCTGGATACCAATCTGGCCATCATAGATGAAATCGTTGATGAGGTGATGAAGTATGCGCCTGACGCAATGTTATTATTGGTTACAAACCCCGTGGATGTGTTAACGTACCATGCCTGGAAAAGAACCGGTTGGCCCCGTAACCGTGTCTTCGGTCAGGCCGGCGTCCTTGACTCAGCTCGCATGGCGAGCTTCATTGCAATGGAAACTGGCTTTAGCGTGAAAGATATTAGTGCGATGGTTCTCGGCGGCCACGGTGACACCATGGTCCCAATGACCCGCTATACTACCATCAACGGGATCCCTGTCACACATTTTCTGGATCAGGAAACAATTGAACAAATCGTTGAACGCACACGTCATGGTGGCGCCGAAATTCTTGCGTTAAGACAGACGTCTTCCGCATATGATGCCCCAGCTGCGGCTGTTGCCGCCATGGTCGACGCCATTTGCCATGATCGTAAGCGGATCTTACCGTGCGTTGCAATCTTGGAGGGTGAATATGGACAGCGCGATATAGCAATGGGTGTACCCGTGGTGCTTGGACGCAACGGGGTTGAACGCGTTATTGAACTTCCGTTAACAGAGGAAGAGCAAGCTGAGTTCAAACAGTCAGCAGAGGCGGTGCGAGCGGATATTGAAAGATTGAAAAAACTGGCGGCCGCACTCGAGCACCACCACCACCACCACTGA</t>
  </si>
  <si>
    <t>MSSMSMMSMMMKKVSVIGAGNVGATAAHRIAEKELADVVLVDIVEGMPQGKALDMMQAAPIQGYDAKITGTNDYADIAGSDVVVITAGIPRKPGMSRDDLLNTNAKIVKDVAENIKKYAPNAIVIVVTNPLDVMTYLAYKVTGFPRNRVIGMAGVLDSARFRYFIAQELGVSVKDVQAMVLGGHGDTMVPLPRYTTVSGIPITELLSKDKIEQIVERTRNGGAEIVNLLKTGSAYYAPAAAVAEMVEAILKDKKRILPCSAYLEGEYGINDIYIGVPVVLGKNGVEKIIELELTEEEKAALDKSAEAVKEGIEKLKKLLAAALEHHHHHH*</t>
  </si>
  <si>
    <t>ATGAGCTCGATGAGTATGATGAGCATGATGATGAAGAAGGTTTCAGTTATTGGCGCAGGGAACGTGGGAGCTACCGCTGCGCATCGGATAGCTGAAAAGGAGCTCGCAGATGTTGTCTTGGTCGACATTGTTGAGGGCATGCCTCAAGGGAAGGCGCTGGACATGATGCAGGCGGCCCCAATCCAGGGATACGATGCCAAAATAACCGGCACTAACGATTATGCTGATATAGCCGGTAGCGATGTTGTGGTTATTACAGCCGGGATCCCGCGCAAACCAGGTATGAGTCGCGATGATCTGCTGAACACAAATGCGAAGATCGTAAAAGACGTAGCAGAAAATATCAAAAAATATGCTCCGAACGCAATAGTTATCGTTGTTACTAATCCACTGGATGTTATGACCTATCTTGCTTACAAAGTGACCGGTTTTCCGAGAAATCGGGTTATTGGCATGGCGGGTGTTCTTGATTCCGCACGATTCCGCTACTTTATTGCCCAAGAACTTGGGGTTTCCGTTAAAGATGTGCAAGCAATGGTTCTGGGGGGTCACGGTGATACCATGGTACCGTTGCCACGTTATACAACCGTAAGTGGAATACCGATAACCGAATTACTCAGCAAAGATAAAATCGAACAGATCGTGGAGCGTACTCGCAACGGGGGAGCCGAAATAGTGAATCTTCTGAAAACCGGCAGCGCATATTACGCCCCCGCTGCCGCGGTGGCAGAAATGGTAGAAGCAATCCTGAAAGACAAAAAACGGATCTTGCCTTGTAGCGCCTATTTGGAAGGTGAATATGGTATAAATGACATATATATTGGCGTACCGGTGGTTCTCGGAAAAAATGGCGTAGAAAAGATAATTGAACTGGAGCTCACTGAGGAGGAGAAAGCGGCACTCGACAAAAGTGCTGAAGCTGTGAAGGAAGGCATCGAAAAGCTGAAAAAGCTGTTAGCGGCCGCACTCGAGCACCACCACCACCACCACTGA</t>
  </si>
  <si>
    <t>MSSMSAMSETMKKVSIIGAGNVGSTIAMLIALNELADVVLVDIVEDLAQGKALDLMQAAAVFNSDAKIVGTNDYEEIKGSDIVVITAGIARKPGMSREDLLNTNAKIVKDVAKNIKKYAPDSIVIVVSNPLDVMTYLAYKVTGFNRNRVMGMAGVLDSARFRYFIAQKLNVSVNDIESMVLGSHGDSMVPLASQTTVNGRPIKEFLNKEKIEEIVEKTRNGGAEIVSLLKTGSAYYAPASAVYLMVKAILKDKKEILPACVYLEGEYGLKDVCIGVPVKLGKNGIEKIIELELSEEEKEALQKSAEAIKENINQLAAALEHHHHHH*</t>
  </si>
  <si>
    <t>ATGAGCAGCATGTCGGCTATGTCAGAAACTATGAAGAAAGTGAGTATTATCGGAGCCGGTAATGTAGGTAGCACAATCGCTATGTTAATTGCGTTGAATGAGCTTGCAGACGTAGTTCTTGTAGATATTGTTGAGGATCTCGCCCAGGGGAAAGCTCTCGACCTGATGCAGGCGGCGGCAGTTTTCAATTCCGATGCAAAGATTGTTGGGACAAACGATTACGAGGAAATAAAAGGCAGTGATATTGTAGTGATTACAGCTGGAATCGCTCGCAAACCGGGCATGTCCCGTGAGGATTTACTGAATACGAACGCCAAGATTGTTAAAGACGTGGCAAAGAACATCAAAAAATACGCGCCGGACTCAATTGTCATAGTTGTATCTAATCCCTTAGACGTAATGACGTACCTGGCTTATAAGGTGACTGGCTTCAACCGTAACCGGGTGATGGGCATGGCTGGTGTGTTAGATAGTGCTCGCTTCCGTTATTTTATTGCCCAGAAGCTTAATGTGTCTGTCAATGACATTGAATCAATGGTCTTAGGCAGCCATGGCGACTCAATGGTACCACTTGCAAGTCAGACTACGGTTAATGGGCGCCCGATCAAAGAATTTTTAAATAAGGAGAAAATTGAGGAGATTGTTGAAAAAACCCGCAACGGGGGAGCTGAGATCGTTAGTCTCCTGAAAACGGGCTCTGCCTACTATGCACCCGCGTCCGCAGTTTATCTGATGGTTAAAGCCATCCTCAAAGATAAAAAAGAAATACTTCCGGCCTGTGTTTATCTCGAAGGAGAATACGGCCTGAAAGACGTCTGCATCGGTGTTCCGGTTAAACTCGGAAAAAATGGTATCGAAAAGATTATTGAATTAGAACTGAGTGAGGAAGAAAAAGAGGCGTTACAGAAAAGCGCCGAAGCTATTAAAGAGAACATTAATCAGCTTGCGGCCGCACTCGAGCACCACCACCACCACCACTGA</t>
  </si>
  <si>
    <t>MTAELKDADGKAVGTVTLTETPSGVLITADLTGLPPGEHGFHIHETGACEPDFKSAGGHFNPAGDEHGLMAEGGPHAGDMPNIHVPEDGKLRVEVFNPGVTLASGEPNDLFDEDGSAIVIHAGADDYRSQPSGDAGDRIACGVIAAALEHHHHHH*</t>
  </si>
  <si>
    <t>ATGACAGCCGAACTCAAAGACGCGGACGGTAAAGCGGTGGGAACAGTTACGCTGACCGAAACGCCGTCAGGTGTGCTGATAACCGCTGATCTCACTGGGCTGCCACCAGGTGAACATGGGTTTCATATCCATGAAACCGGCGCCTGCGAACCAGACTTTAAGAGCGCTGGGGGACATTTCAATCCGGCTGGTGACGAACACGGTCTGATGGCGGAAGGAGGCCCGCACGCGGGTGATATGCCGAACATTCATGTGCCCGAAGACGGTAAACTGCGTGTCGAGGTCTTTAATCCTGGTGTCACTTTAGCGAGTGGAGAACCGAATGACCTGTTTGATGAGGATGGCTCAGCGATCGTTATTCATGCGGGCGCAGACGACTACCGTAGCCAGCCATCTGGTGATGCGGGAGATCGCATTGCATGTGGCGTTATTGCGGCCGCACTCGAGCACCACCACCACCACCACTGA</t>
  </si>
  <si>
    <t>MPTESFRAQRLKKLAMVGAGNVGSTLAQLAAHSEISEEITLVDIVPGLAESIALDLNHAAGITGSAARINGTTDLDLVHGADVVVVTAGRPRTPGMSRSDLLKINARVIKGVAEAIKKYAPDAVVIVVTNPLDEMTSVMLNVTGFDREKVIGMAGTLDSARFRDALAQAAGVSVADVEAMTLGSHGDEMVPIVSQATIKDRPIGELLNEETIESSAERTIDGGAEVVRLRKTGSAYLAPAYATIELIEHMRGDRNGAIPASVLLEGEYGITDVVVGVPCKLGKNGVAEIVELTLSESEKQALQKAAAAIKQRLGELAAALEHHHHHH*</t>
  </si>
  <si>
    <t>ATGCCAACCGAATCATTTAGAGCCCAGAGACTTAAGAAATTAGCAATGGTAGGTGCGGGCAACGTAGGCTCCACGCTGGCTCAATTGGCCGCTCATAGCGAAATTTCAGAGGAAATCACCTTGGTTGATATAGTTCCGGGTCTGGCGGAATCAATAGCATTAGATCTTAACCATGCAGCTGGAATCACCGGATCTGCAGCGCGGATAAATGGTACTACAGATTTAGACCTTGTTCACGGTGCTGATGTTGTGGTTGTCACCGCTGGAAGACCTCGCACACCAGGTATGTCTCGTTCAGATCTGCTCAAAATTAATGCCCGTGTCATCAAGGGAGTGGCGGAGGCAATTAAAAAGTATGCGCCGGATGCCGTCGTGATCGTTGTGACAAATCCGTTGGATGAAATGACTTCGGTAATGTTAAATGTTACGGGTTTTGATCGCGAAAAAGTCATTGGTATGGCGGGCACCCTTGACTCAGCGCGTTTTCGTGATGCCCTGGCCCAAGCCGCGGGTGTGTCCGTGGCTGATGTCGAAGCGATGACTTTAGGAAGTCATGGTGATGAAATGGTACCCATTGTGAGTCAGGCCACCATAAAAGACCGGCCCATCGGTGAACTGCTTAACGAAGAAACCATTGAAAGCTCTGCCGAACGCACAATAGACGGTGGTGCAGAGGTCGTGCGTTTGCGTAAAACTGGAAGCGCTTACCTGGCCCCAGCTTATGCGACAATAGAGCTGATTGAGCATATGCGAGGTGACCGAAACGGAGCTATACCGGCCTCTGTTCTTCTGGAGGGCGAGTATGGGATTACGGATGTTGTCGTTGGAGTTCCCTGTAAATTAGGTAAAAATGGAGTCGCGGAGATTGTAGAATTGACACTGTCTGAATCTGAGAAACAAGCGTTACAGAAGGCCGCAGCAGCAATAAAACAACGTTTAGGAGAACTGGCGGCCGCACTCGAGCACCACCACCACCACCACTGA</t>
  </si>
  <si>
    <t>MTAEIMGAEGKTLGTVTVTATPSGIVLVTLALTGLPPGIHAVHLHQTGACEAPDFESAGGHLAGDGEHGVLAENGPHPGDMPNIHVPEGGALTVEYFIPGLTPEMVADEDGSAIIIHAQADDYRGQPSGHAGGRIACGVFAAALEHHHHHH*</t>
  </si>
  <si>
    <t>ATGACGGCTGAGATTATGGGTGCAGAGGGAAAAACACTGGGTACCGTTACAGTTACTGCTACTCCCTCCGGAATTGTCCTGGTTACGTTAGCCCTCACGGGCTTGCCTCCAGGCATCCATGCTGTGCACCTGCATCAGACTGGTGCATGTGAAGCGCCAGATTTTGAGAGTGCCGGAGGACATTTAGCTGGTGACGGCGAACATGGAGTTCTTGCGGAAAATGGGCCCCACCCGGGCGATATGCCAAATATCCACGTACCAGAAGGGGGTGCCTTGACCGTCGAATATTTCATACCTGGACTGACACCGGAAATGGTAGCCGACGAAGACGGGAGTGCCATAATTATTCATGCGCAGGCCGATGACTACCGCGGTCAACCCTCTGGTCATGCGGGTGGTCGCATTGCTTGCGGCGTGTTTGCGGCCGCACTCGAGCACCACCACCACCACCACTGA</t>
  </si>
  <si>
    <t>MTKPIRVAVTGAAGQIGYSLLFRIASGEMFGPDQPVILQLLEIPPAMKALEGVVMELDDCAFPLLHGIVITDDPNVAFKDVNWALLVGSKPRGPGMERGDLIKENGPIFVGQGKALNDNAASDVRVLVVGNPCNTNCLIAMHNAPDIPRDRFTAMTRLDQNRAKAQLAKKAGVAVSEVSNMAIWGNHSATQFPDFENAKINGKPATEVITDRAWLEGEFISTVQKRGAAIIDARGASSAASAANAAIDHVRSLVTPTPAGDWFSVAVPSDGSYGIPEGLIFSFPVRSNGNGNYEIVQGLELSDFAREKIDATVDELVEERDAVKDLLAAALEHHHHHH*</t>
  </si>
  <si>
    <t>ATGACGAAACCGATCCGTGTTGCTGTCACCGGTGCTGCGGGCCAAATTGGTTACTCACTGTTGTTTCGGATCGCGTCAGGGGAGATGTTCGGGCCGGACCAGCCAGTCATCCTGCAGTTACTGGAGATTCCGCCCGCCATGAAAGCCTTGGAAGGAGTAGTCATGGAACTGGATGATTGTGCGTTCCCGCTCCTCCATGGGATTGTTATTACCGACGATCCAAACGTCGCGTTTAAAGATGTAAACTGGGCTCTGTTAGTAGGATCTAAACCGAGAGGACCGGGCATGGAACGCGGCGATCTGATCAAAGAAAATGGGCCAATATTTGTAGGTCAAGGTAAAGCCTTAAATGACAACGCAGCCTCGGATGTTCGCGTGTTGGTAGTCGGAAACCCCTGTAATACCAATTGTCTGATTGCCATGCATAATGCCCCGGACATCCCTCGCGATCGCTTCACGGCGATGACCAGACTTGACCAAAATCGGGCAAAAGCGCAGCTGGCGAAAAAGGCCGGGGTCGCGGTCTCTGAAGTGTCCAACATGGCAATATGGGGAAACCATTCGGCCACTCAGTTTCCGGATTTTGAGAATGCCAAGATAAATGGTAAGCCGGCGACCGAGGTCATTACTGATCGTGCGTGGTTGGAAGGTGAATTTATTTCGACGGTACAGAAACGTGGTGCAGCAATAATTGACGCTCGTGGCGCTTCGTCGGCAGCAAGTGCGGCGAATGCTGCTATTGATCACGTTCGCTCTTTGGTTACACCAACCCCGGCTGGAGACTGGTTTAGCGTGGCTGTTCCAAGTGATGGTTCATATGGTATTCCAGAAGGTCTGATTTTTTCCTTTCCGGTTCGGTCCAATGGCAATGGTAATTATGAGATTGTGCAAGGTCTTGAGCTGTCGGATTTTGCACGCGAGAAAATCGACGCTACTGTGGATGAGTTAGTTGAAGAACGAGATGCGGTGAAAGATTTACTTGCGGCCGCACTCGAGCACCACCACCACCACCACTGA</t>
  </si>
  <si>
    <t>MSKKAVCVLKGEKVNGVVKFTQENKDSPVTVEYDINGLEKGEHGFHVHAFGDTTNGCVSAGPHFNPFNKTHGSPSDEDRHVGDLGNIVATGEGVTKGTITDKVISLFGEHSIIGRTMVVHADEDDLGKGGNEDSLTTGNAGARLACGVIGVAQAAALEHHHHHH*</t>
  </si>
  <si>
    <t>ATGAGCAAAAAAGCAGTATGCGTGTTGAAAGGCGAGAAGGTTAATGGCGTTGTTAAGTTCACACAAGAAAACAAAGACAGTCCCGTTACCGTTGAATATGATATTAACGGTCTGGAGAAAGGTGAACATGGTTTTCATGTCCATGCCTTTGGTGACACCACCAACGGCTGTGTCAGCGCCGGACCGCACTTTAATCCTTTCAATAAAACACATGGTAGCCCTTCCGATGAAGACCGCCACGTTGGCGACCTTGGTAATATAGTCGCTACAGGCGAGGGCGTCACGAAGGGCACGATCACCGATAAAGTAATTAGTCTGTTTGGTGAACATAGCATCATCGGAAGAACGATGGTGGTTCATGCCGACGAAGACGATCTGGGGAAAGGAGGCAATGAAGATAGCCTGACGACAGGTAATGCTGGTGCTCGACTGGCGTGCGGAGTTATTGGAGTCGCACAGGCGGCCGCACTCGAGCACCACCACCACCACCACTGA</t>
  </si>
  <si>
    <t>MNAVTADGVGKSIGTVTIEETPYGLLFTPDLKGLPPGLHGFHVHENPSCEPAEKDGKTVAALAAGGHYDPENTGKHEGPYGDGHLGDLPALYVDADGTATTPVLAPRLKLDDIKGHALMIHAGGDNYSDHPKPLGGGGARIACGVIAAALEHHHHHH*</t>
  </si>
  <si>
    <t>ATGAATGCTGTTACCGCGGACGGGGTAGGTAAATCAATTGGAACAGTTACCATTGAAGAAACGCCTTATGGCCTGCTTTTCACCCCGGATCTTAAAGGCCTCCCTCCGGGCTTACACGGTTTTCACGTCCATGAGAACCCATCTTGTGAGCCAGCTGAGAAAGACGGCAAAACCGTGGCGGCATTGGCGGCGGGAGGTCACTATGATCCAGAAAATACCGGCAAACACGAAGGGCCTTACGGCGATGGTCATTTGGGGGACTTGCCCGCATTATACGTGGACGCGGATGGTACAGCAACTACTCCGGTTCTTGCACCGCGCTTAAAACTTGATGATATTAAAGGACATGCCCTCATGATCCATGCAGGCGGTGATAATTACTCGGACCATCCGAAGCCCTTAGGCGGAGGAGGAGCGCGCATTGCGTGCGGTGTTATTGCGGCCGCACTCGAGCACCACCACCACCACCACTGA</t>
  </si>
  <si>
    <t>MNKRVKVAVTGAAGQIGYALLFRIASGQMFGPDVEVELQLLELEQALPALQGIVMELEDCAFPLLKNIVCTSDLNAAFKDVNWAILVGSAPRKAGMERSDLLKINGGIFTAQGKAINDHAADDVRVFVVGNPCNTNCLIAMHNAPDIPRDRFYAMTMLDENRARTQLAKKAGVPVTEVNNMAIWGNHSSTQYPDFYHAKINGKPATEVIKDEAWLQNEFIPTVQQRGAAVIKARGASSAASAANAALDSVHNLIHDTPAGECFSVALCSNGQYDVDEGLIFSYPCRTENGKLKVVEGIEHNDFAQEKFQITLDELRKERDAVKDLAAALEHHHHHH*</t>
  </si>
  <si>
    <t>ATGAATAAACGTGTTAAAGTTGCTGTAACTGGAGCTGCAGGTCAAATAGGTTATGCCCTCTTATTTCGCATAGCGTCAGGTCAGATGTTCGGTCCCGACGTCGAAGTTGAACTCCAATTGCTGGAATTGGAACAAGCCTTACCCGCTCTTCAGGGTATAGTTATGGAGCTGGAAGACTGCGCTTTCCCTTTACTTAAAAATATTGTTTGCACCAGCGACCTTAATGCGGCGTTTAAAGATGTGAATTGGGCGATTTTAGTGGGGTCCGCCCCGCGCAAAGCGGGCATGGAACGGAGCGACCTTTTAAAAATTAACGGGGGTATCTTTACCGCACAAGGCAAAGCGATAAACGATCACGCGGCTGATGATGTCCGTGTGTTTGTGGTAGGTAATCCTTGTAATACCAACTGTCTTATTGCCATGCACAATGCACCGGATATTCCCAGAGATCGTTTCTATGCAATGACAATGCTGGATGAGAACAGAGCGCGTACTCAACTGGCTAAAAAAGCAGGCGTCCCGGTTACTGAAGTCAATAATATGGCAATTTGGGGCAATCACAGTTCTACCCAGTACCCCGACTTCTATCACGCGAAAATCAATGGTAAACCAGCGACCGAAGTTATCAAGGATGAAGCATGGTTACAAAATGAGTTCATCCCTACCGTCCAGCAACGTGGAGCTGCGGTCATCAAAGCCAGAGGCGCCTCCTCTGCCGCGTCTGCAGCTAACGCAGCCCTGGATTCCGTCCACAATCTGATTCACGATACTCCGGCCGGTGAGTGCTTTTCCGTGGCGCTCTGTAGCAACGGGCAGTATGATGTAGATGAAGGTTTGATATTCAGCTATCCGTGCCGTACAGAAAACGGGAAACTGAAGGTCGTTGAGGGTATCGAGCATAATGACTTCGCTCAGGAAAAATTTCAGATTACCCTTGATGAATTACGTAAAGAGCGTGATGCGGTCAAAGACCTGGCGGCCGCACTCGAGCACCACCACCACCACCACTGA</t>
  </si>
  <si>
    <t>MTASLKTADGKAAGTATATETDGGVRVAVNATGLPPGEHGVHVHMTGKCDAPKFETAGGHWNPTGAQHGLMNPQGPHAGDMPNLTVGADGRGTLAYTIKGATLAGLLDADGAALVVHASADDQKTDPSGNSGDRIACGVFAAALEHHHHHH*</t>
  </si>
  <si>
    <t>ATGACGGCGTCTCTTAAGACTGCAGATGGTAAAGCAGCTGGCACAGCAACCGCGACTGAGACGGATGGGGGTGTTCGGGTGGCAGTAAATGCGACAGGACTGCCGCCCGGGGAACACGGTGTTCATGTGCATATGACCGGGAAATGTGATGCTCCTAAATTTGAAACGGCAGGTGGCCATTGGAATCCTACTGGCGCGCAACATGGGTTGATGAATCCGCAAGGCCCGCATGCCGGTGACATGCCCAACTTAACCGTGGGGGCTGATGGTCGCGGCACACTCGCCTATACCATCAAAGGCGCTACACTCGCGGGCTTACTGGATGCCGACGGAGCGGCTCTTGTGGTCCATGCATCGGCAGATGACCAAAAGACCGATCCGAGCGGTAATTCCGGTGATCGGATTGCTTGCGGAGTTTTTGCGGCCGCACTCGAGCACCACCACCACCACCACTGA</t>
  </si>
  <si>
    <t>MVKAVAVLAGSEGVKGTIFFTQEGDGPTTVTGSISGLKPGLHGFHVHALGDTTNGCMSTGPHFNPAGKEHGAPEDENRHAGDLGNVTAGEDGVANVNITDSQIPLAGPHSIIGRAVVVHADPDDLGKGGSSHNLSKSFGSIGLIVACSIAAALEHHHHHH*</t>
  </si>
  <si>
    <t>ATGGTTAAGGCGGTAGCAGTCCTGGCCGGCTCTGAAGGTGTCAAAGGCACCATATTTTTTACACAGGAAGGCGATGGTCCGACTACTGTGACTGGTTCTATTTCTGGCCTGAAACCAGGTCTGCATGGCTTTCACGTTCACGCCCTGGGTGATACCACAAATGGGTGTATGAGCACCGGCCCGCATTTTAACCCAGCAGGCAAAGAACACGGTGCTCCCGAGGATGAAAACAGACATGCAGGTGATTTAGGAAATGTGACTGCAGGAGAAGACGGCGTTGCCAATGTAAACATCACAGATAGTCAGATTCCGCTGGCCGGTCCCCATTCGATAATCGGCCGTGCCGTGGTTGTCCATGCAGACCCTGATGACCTCGGCAAAGGCGGCTCCAGTCACAATCTGAGCAAGTCCTTTGGTAGTATCGGTTTAATTGTCGCCTGCTCAATAGCGGCCGCACTCGAGCACCACCACCACCACCACTGA</t>
  </si>
  <si>
    <t>MNVSLINAEGEKIGTAMLTQTSEGVKITLEAENLPPGTHGFHIHENGKCEPPDFKSAGGHFNPTNKQHGFENPKGPHAGDLPNIEVNPDGTVKAEFVAKQVTLEKGKPNSLLKEGGTSLVIHEKADDYKTDPAGNSGARIACGVIAAALEHHHHHH*</t>
  </si>
  <si>
    <t>ATGAACGTGAGCCTGATTAACGCCGAAGGGGAAAAGATTGGTACTGCAATGCTGACCCAGACATCCGAAGGTGTGAAGATAACACTGGAGGCTGAAAACCTGCCGCCAGGAACGCACGGTTTCCATATACACGAAAACGGCAAATGCGAGCCTCCAGATTTTAAGTCTGCGGGAGGACATTTTAACCCGACTAATAAACAGCATGGCTTCGAAAATCCTAAAGGTCCACATGCAGGTGATCTGCCTAATATAGAAGTTAACCCTGACGGAACAGTAAAAGCCGAGTTCGTTGCAAAACAGGTTACCCTGGAAAAAGGTAAGCCGAACTCTCTGCTCAAAGAAGGCGGCACCTCACTGGTCATTCATGAGAAAGCGGACGATTACAAAACTGATCCAGCAGGCAACTCTGGCGCACGAATTGCATGTGGGGTGATCGCGGCCGCACTCGAGCACCACCACCACCACCACTGA</t>
  </si>
  <si>
    <t>MTIYTTDGKHKSIGHITLEDTAYGVLFIPDLHNLPPGLHGLHLHVNPSCGQQGMAAGGHYDPQKTGKHEGPYSDGHLGDLPVLYVDENGTATTPTLAPRLKLNDLNNHALMIHAGGDNYSDDPKPLGGGGARVACGVIAAALEHHHHHH*</t>
  </si>
  <si>
    <t>ATGACCATTTACACCACAGACGGCAAACATAAATCCATTGGTCATATCACACTGGAAGACACAGCTTATGGTGTGCTGTTCATTCCAGACCTGCACAATCTGCCACCCGGCCTTCATGGTCTCCATCTTCACGTAAACCCATCTTGCGGCCAACAGGGAATGGCAGCAGGCGGCCACTACGATCCACAGAAAACCGGCAAACATGAGGGACCTTATTCTGACGGTCACCTCGGAGACCTTCCCGTGCTGTACGTCGATGAAAACGGGACTGCGACGACACCGACTTTAGCTCCGCGTCTGAAACTTAATGATTTAAATAATCACGCTCTGATGATCCACGCGGGCGGCGATAATTATTCAGATGATCCCAAGCCGCTCGGTGGTGGCGGTGCGCGGGTAGCCTGTGGAGTGATCGCGGCCGCACTCGAGCACCACCACCACCACCACTGA</t>
  </si>
  <si>
    <t>MSVKAVCVLKGDDVKGTVHFEQEGDDGPVKITGEITGLTPGKHGFHVHEFGDNTNGCTSAGPHFNPFGKTHGGPEDEERHVGDLGNVEAGADGVAKVDITDKLISLTGPHSIIGRTMVVHAKEDDLGKGGNEESLKTGNAGARLACGVIGIAKAAALEHHHHHH*</t>
  </si>
  <si>
    <t>ATGTCCGTCAAAGCTGTTTGCGTACTGAAAGGTGATGACGTCAAGGGAACTGTGCACTTCGAGCAGGAGGGAGATGATGGTCCGGTTAAAATCACTGGCGAGATTACAGGTTTAACTCCGGGTAAACATGGTTTCCATGTGCACGAGTTTGGCGATAACACCAATGGCTGCACCTCAGCTGGCCCGCATTTTAACCCATTTGGTAAAACACACGGCGGGCCTGAGGATGAAGAGCGTCATGTTGGGGACTTGGGTAATGTAGAAGCAGGGGCTGATGGGGTTGCTAAGGTAGACATAACTGATAAGCTGATTAGCCTCACAGGTCCTCACTCCATTATAGGGCGAACTATGGTTGTTCATGCCAAAGAAGATGATCTGGGTAAAGGCGGTAATGAGGAGTCTTTAAAGACAGGAAATGCGGGAGCCCGTCTCGCTTGCGGAGTTATTGGGATCGCCAAAGCGGCCGCACTCGAGCACCACCACCACCACCACTGA</t>
  </si>
  <si>
    <t>MKPPIRIAITGAAGQIGYSLLFRIAAGDMLGKDQPIILQLLDIPQAQQTLKGVVMELEDCAFPLLHDVITTDDPKVAFHDADIAILVGARPRGKGMERKDLLEANGEIFSAQGKALNEVANRNVKVLVVGNPANTNALITMKNAPDLNPKNFSAMMRLDHNRALSQVAQKVGKPVSSIRKMIVWGNHSATQYPDLSHAEIDGQKVLTLINDQAWIENYFIPTVQKRGTAIIEARGLSSAASAANAIINHMHDWIFGTRENDWVSMGIPSDGSYGIPEGVIYGYPVTCQNGAYKIVQGLEISDFSREKMQASYQELLEERDAIKHLLAAALEHHHHHH*</t>
  </si>
  <si>
    <t>ATGAAACCGCCGATTAGAATTGCGATCACCGGCGCAGCCGGTCAGATTGGCTATAGTCTGCTGTTCCGGATCGCCGCAGGGGATATGCTCGGCAAGGATCAGCCGATTATTTTACAACTGCTGGACATCCCGCAAGCGCAACAGACCCTGAAAGGCGTGGTTATGGAACTGGAAGATTGCGCATTCCCACTGTTGCATGATGTAATTACAACAGACGATCCTAAGGTCGCGTTCCATGATGCGGATATAGCGATCTTAGTGGGCGCTCGTCCGCGAGGTAAAGGCATGGAACGGAAAGATTTGCTCGAAGCAAACGGTGAAATCTTTTCCGCTCAGGGAAAGGCACTTAACGAGGTGGCGAACCGAAATGTTAAAGTTCTCGTCGTGGGAAACCCTGCCAATACAAACGCCCTGATTACCATGAAAAATGCACCCGATTTAAATCCGAAGAATTTTTCAGCAATGATGCGGTTGGACCATAACAGAGCATTATCCCAAGTGGCACAAAAAGTGGGGAAGCCTGTATCTTCCATCCGCAAGATGATTGTCTGGGGTAATCATAGCGCCACCCAATATCCAGACTTAAGTCATGCTGAAATTGATGGTCAAAAAGTCCTGACCCTCATCAACGATCAAGCCTGGATTGAAAACTATTTTATTCCTACCGTTCAGAAACGCGGTACCGCAATCATCGAGGCACGGGGTCTGTCAAGTGCAGCGTCGGCGGCTAACGCGATTATTAACCACATGCACGACTGGATATTTGGTACCCGGGAGAACGATTGGGTGAGCATGGGTATACCGAGTGATGGATCCTATGGAATTCCTGAGGGCGTAATCTACGGCTATCCGGTCACGTGTCAGAACGGGGCCTACAAAATTGTGCAGGGTCTGGAAATATCTGACTTTTCCCGCGAAAAAATGCAGGCTAGCTATCAGGAACTTCTGGAAGAACGCGACGCCATAAAACACTTACTTGCGGCCGCACTCGAGCACCACCACCACCACCACTGA</t>
  </si>
  <si>
    <t>MEISLINAKGSKIGTAKLTQTSEGVKIQVQAAGLPPGEHGIHFHEKGVCEAPDFKSAGAHFNPTGKQHGFENPKGPHAGDLPNLEVDADGKGKLESVSKAVTLEKDKPNSLLKPGGTSLVIHEKEDDLKTDPSGNSGNRIACGVIAAALEHHHHHH*</t>
  </si>
  <si>
    <t>ATGGAAATCAGTCTGATCAATGCGAAGGGTTCTAAAATTGGCACAGCGAAACTTACTCAGACATCCGAGGGCGTGAAGATCCAGGTGCAAGCTGCCGGTCTGCCTCCTGGCGAACACGGTATCCACTTTCACGAAAAGGGGGTGTGTGAGGCACCTGATTTTAAATCTGCCGGCGCTCATTTTAATCCAACGGGTAAGCAACATGGTTTTGAGAACCCTAAAGGACCACATGCAGGCGATCTCCCTAATCTGGAAGTTGACGCAGATGGAAAGGGTAAACTCGAATCTGTTTCCAAAGCAGTCACCCTTGAAAAAGATAAACCCAACTCACTGTTGAAACCTGGGGGGACCAGTCTGGTGATCCATGAAAAAGAAGATGACTTGAAAACCGACCCGTCAGGTAATAGTGGCAATCGTATTGCGTGCGGCGTCATAGCGGCCGCACTCGAGCACCACCACCACCACCACTGA</t>
  </si>
  <si>
    <t>MVEMYNAAGDKVGTAKLTEQSSGVKITLDVEGLPPGTHGVHIHEIGKCEAPDFKSAGNHFNPDNKQHGLLHPKGPHAGDLPNIIVDGDGTVKAELMAPQVTLKEGKTSLLSKDGTSIVITENADDGMTQPAGDSGERIACGEITKDESEEGKAAAALEHHHHHH*</t>
  </si>
  <si>
    <t>ATGGTTGAAATGTATAATGCCGCAGGCGACAAAGTAGGTACGGCAAAACTTACTGAACAGAGTTCCGGTGTTAAAATCACGCTGGATGTTGAAGGCTTGCCTCCGGGCACTCATGGTGTCCACATTCATGAAATAGGGAAATGTGAGGCCCCTGACTTCAAAAGCGCAGGAAACCATTTCAACCCAGATAATAAACAACACGGCTTGCTGCATCCTAAGGGTCCCCACGCTGGCGATCTGCCGAATATCATCGTAGATGGCGATGGCACGGTCAAAGCTGAGTTGATGGCGCCGCAAGTTACACTTAAAGAAGGCAAAACCAGTTTGCTGTCGAAAGATGGTACGAGCATAGTTATTACTGAGAACGCCGATGATGGAATGACCCAGCCTGCAGGCGATAGCGGGGAACGCATTGCGTGCGGTGAAATAACCAAAGATGAATCGGAGGAGGGAAAGGCCGCGGCCGCACTCGAGCACCACCACCACCACCACTGA</t>
  </si>
  <si>
    <t>MLASRGVMVSGAGQVQGVVRFLQVSPDRCLIDGTIDGLEPGLHGLHVHEFGDLSQGCQSCGDHYNPSGKRHGGPQDADRHVGDLGNILASADGRASFRLEDNQLKVWDIIGRSLVVDEGEDDLGRGGHPLSKITGNSGERLACGIIARSAGLFQNPKQICACDGVTLWEERDRPIAGPGRKTPDPPTAHLAAALEHHHHHH*</t>
  </si>
  <si>
    <t>ATGCTGGCTTCACGTGGAGTAATGGTCTCCGGAGCCGGTCAGGTTCAGGGTGTGGTCAGATTCCTTCAGGTCTCTCCGGATCGATGTTTAATCGACGGGACAATTGATGGCCTGGAGCCGGGTCTTCATGGTTTACATGTTCATGAATTTGGCGATCTGAGTCAGGGATGTCAGTCATGCGGCGACCACTATAACCCTTCAGGTAAACGTCACGGTGGCCCTCAAGACGCAGATCGTCATGTAGGCGATCTTGGTAATATTCTGGCGAGTGCAGATGGACGCGCATCCTTTCGTCTTGAAGATAATCAGCTGAAAGTGTGGGATATTATCGGCAGATCTCTGGTCGTCGATGAAGGTGAAGATGACCTGGGGCGTGGCGGTCATCCGCTGTCTAAGATAACAGGGAATAGTGGCGAAAGATTAGCGTGCGGTATAATTGCACGTAGCGCAGGATTGTTTCAGAATCCAAAGCAGATATGTGCTTGTGATGGGGTGACCTTGTGGGAGGAGCGCGACCGGCCAATAGCAGGACCAGGTCGAAAAACACCGGATCCTCCTACTGCGCATTTAGCGGCCGCACTCGAGCACCACCACCACCACCACTGA</t>
  </si>
  <si>
    <t>MMVSAIAIIKGLPNVNGTVTFSQECEGSPVYINGTISGLTPGLHGFHVHEFGDTSNGCISAGEHYNPLHREHGGPNDVERHVGDLGNIEACSNGVATISIRDTVMSLFGEFSVLGRTIVVHANRDDYGRGGQPDSKTTGHSGKRVACGIIARQAAALEHHHHHH*</t>
  </si>
  <si>
    <t>ATGATGGTCTCAGCGATAGCAATTATTAAAGGTCTTCCGAACGTGAATGGTACTGTCACCTTTTCACAGGAATGTGAAGGCTCCCCGGTGTATATCAACGGAACTATATCGGGACTTACACCGGGCTTACACGGTTTCCATGTCCACGAATTCGGGGACACATCAAATGGGTGCATTAGTGCAGGCGAACACTATAATCCACTGCATAGAGAACATGGCGGTCCGAACGATGTTGAAAGACATGTGGGGGATCTCGGTAATATTGAAGCATGTTCTAATGGCGTGGCCACTATTTCTATTCGCGATACCGTGATGTCACTTTTCGGCGAATTCAGCGTCCTGGGTAGAACTATCGTCGTCCATGCAAATCGCGATGATTACGGTCGAGGAGGCCAGCCTGATAGTAAGACCACTGGACACAGTGGCAAGCGTGTTGCTTGTGGTATCATTGCACGGCAAGCGGCCGCACTCGAGCACCACCACCACCACCACTGA</t>
  </si>
  <si>
    <t>MMVEAVCVLNGGEGAGTIHFEQLSDGEVLITGKITGLTPGKHGFHIHEFGDLTNGCASTGAHFNPSKKNHGGPDAAERHVGDLGNIEAGADGVANVDITDKMISLTGPNSIIGRAIVVHADEDDLGLGGHQDSLTTGHAGARLACGVIGIAKAAALEHHHHHH*</t>
  </si>
  <si>
    <t>ATGATGGTTGAGGCCGTGTGCGTACTTAATGGGGGAGAAGGTGCGGGTACGATTCATTTCGAACAACTGAGCGATGGTGAAGTGTTAATAACCGGCAAGATCACCGGTTTGACTCCGGGAAAACACGGCTTCCACATTCATGAGTTTGGTGATCTTACCAATGGCTGTGCATCGACGGGAGCACATTTTAATCCAAGTAAAAAGAACCATGGCGGCCCTGATGCCGCTGAACGCCATGTGGGCGACCTTGGTAATATAGAAGCAGGCGCGGATGGGGTGGCAAATGTAGATATAACCGACAAAATGATTTCATTAACAGGCCCAAATAGTATCATCGGCCGTGCGATCGTGGTGCATGCTGACGAAGATGACCTGGGTCTTGGTGGTCACCAGGATTCTCTTACAACTGGTCATGCGGGTGCTCGCTTAGCCTGTGGGGTGATTGGGATTGCCAAGGCGGCCGCACTCGAGCACCACCACCACCACCACTGA</t>
  </si>
  <si>
    <t>MKQPVRVAVTGAAGQISYSLLFRIAAGEMLGPDQPVILQLLEIPPAMDALNGVVMELTDCAFPLVHGIVATDNPEEAFKDADICLLVGARPRGPGMERADLLKANAEIFSVQGKALNDVASRDVRVLVVGNPANTNALIAMRNAPDLDPRQFTAMTRLDHNRAIGQLANKTGAHVTDIDNMFIWGNHSATQYPDIHHATVNGKPALDLVDQDWYEHDFIPTVQKRGAAIIDARGASSAASAANAAIDHMRDWVLGTEGDIVSMAVPADGSYGIEPGIIYSYPVICRDGDYEIVQGLEINEFSREKMDATENELKGERDAVAHLLAAALEHHHHHH*</t>
  </si>
  <si>
    <t>ATGAAACAGCCGGTTCGGGTTGCCGTGACGGGCGCGGCAGGCCAGATAAGTTATTCGCTTTTATTCAGAATAGCAGCAGGCGAAATGCTTGGTCCGGACCAGCCCGTTATTCTTCAGTTACTTGAGATACCTCCAGCCATGGATGCACTCAACGGAGTTGTAATGGAGCTTACTGATTGTGCATTTCCGCTTGTTCATGGCATTGTCGCGACCGACAACCCCGAGGAAGCATTCAAGGATGCCGATATATGCTTACTTGTAGGCGCACGTCCACGTGGACCCGGCATGGAACGGGCGGACCTGCTTAAAGCAAACGCAGAAATTTTTAGCGTTCAAGGCAAAGCGCTGAATGATGTTGCTAGTCGAGATGTCAGAGTATTAGTTGTCGGTAATCCTGCCAACACAAATGCCCTGATTGCTATGCGAAATGCCCCGGACCTGGATCCACGTCAGTTTACAGCAATGACACGTCTCGACCACAATCGTGCGATAGGACAGTTAGCCAATAAAACCGGTGCGCATGTCACAGATATTGATAACATGTTTATATGGGGTAATCACTCGGCGACACAATATCCGGATATTCATCATGCAACAGTGAACGGGAAACCGGCCCTCGATCTCGTGGACCAAGATTGGTATGAACATGATTTTATTCCAACGGTCCAGAAACGCGGCGCTGCGATAATCGACGCGCGAGGAGCAAGCTCAGCCGCATCCGCGGCGAACGCTGCTATTGACCATATGCGGGATTGGGTTTTAGGAACAGAAGGAGATATTGTCTCCATGGCTGTGCCGGCTGATGGTTCGTATGGTATTGAACCTGGCATTATATATAGTTACCCTGTGATATGTCGCGATGGAGATTATGAAATCGTTCAGGGATTGGAAATCAACGAATTTTCCCGCGAGAAAATGGATGCAACCGAAAATGAATTGAAAGGTGAACGGGACGCTGTGGCGCATCTCTTGGCGGCCGCACTCGAGCACCACCACCACCACCACTGA</t>
  </si>
  <si>
    <t>MKALCVISGDVTGEITFYQQTPHHPTIITGYILGLPRGLHGFHVHEFGDTSNGCTSAGEHFNPTGMDHGAPDAAIRHVGDLGNIEAKVSNALTPVDIINNAITLHGPSSVLGRSLVVHTNRDDLGLTDHPLSKTTGNSGGRLGCGIIGITSSNTNVTRYDFIAAALEHHHHHH*</t>
  </si>
  <si>
    <t>ATGAAAGCCTTATGTGTTATATCGGGAGATGTTACTGGTGAAATAACATTTTATCAGCAGACTCCCCATCATCCAACGATCATTACCGGTTACATTCTGGGTCTTCCGCGCGGCCTCCATGGCTTTCATGTCCATGAATTTGGCGATACATCTAACGGTTGTACAAGTGCTGGCGAGCATTTCAACCCGACAGGAATGGATCATGGAGCTCCTGATGCAGCCATCCGGCATGTGGGTGACCTTGGCAATATCGAGGCTAAAGTGAGTAACGCCCTTACACCTGTGGATATTATTAATAATGCAATCACCTTGCACGGGCCTTCCAGTGTTTTAGGTCGGTCGCTGGTCGTGCATACCAATCGTGACGACCTGGGGCTGACGGATCATCCACTGAGCAAAACGACTGGTAACTCTGGCGGACGCCTCGGGTGTGGTATCATCGGGATCACTTCAAGTAACACCAATGTGACTCGCTATGATTTCATAGCGGCCGCACTCGAGCACCACCACCACCACCACTGA</t>
  </si>
  <si>
    <t>MKAICVINGDVKGIVEFVQDKPDMPVKITGYLNNLPRGNHGIHIHEYGDVSNGCTSAGEHLNPFHKTHGGPNDAERHLGDLGNVYSNGSNSVTQVDIVDNMISLYGPYNILGRSLVVHAMEDDYGRGDNELSKITGNSGSRLGCGVIGVKYEKTVSFAAALEHHHHHH*</t>
  </si>
  <si>
    <t>ATGAAAGCAATCTGCGTGATTAACGGTGACGTAAAAGGTATTGTGGAGTTTGTCCAGGACAAGCCTGATATGCCGGTTAAGATCACAGGTTACCTGAACAATCTTCCCCGTGGCAACCATGGCATCCATATCCATGAATATGGCGATGTGTCAAATGGTTGTACGAGCGCAGGAGAACATCTGAATCCGTTTCACAAAACACACGGGGGACCGAATGATGCCGAACGTCATCTCGGAGACCTCGGTAATGTATATTCTAATGGTAGCAATTCTGTAACCCAAGTTGATATTGTGGACAATATGATAAGCCTGTATGGGCCTTATAATATACTTGGGCGTTCGCTCGTAGTGCATGCAATGGAAGACGATTACGGACGTGGAGATAACGAGCTCTCAAAAATTACTGGAAATTCCGGTAGTCGTCTCGGCTGTGGTGTTATCGGGGTTAAATATGAAAAAACCGTTAGCTTCGCGGCCGCACTCGAGCACCACCACCACCACCACTGA</t>
  </si>
  <si>
    <t>MLAKSTALKPPVRVAVTGAAGQIGYSLLFRIASGEMLGPDQPVILQLIEIPPAQKALKGVAMELDDCAFPLLQGIVCTDDLNVGFKDVDYALLVGSKPRGKGQERRDLLKDNGKIFVAQGKALNDNANRDVKVLVVGNPANTNCLIASNHAPDLPKENFTAMTRLDHDRAISQIAQKTGCHVTDIKKMVIWGNHSPTMYPDLTHATVNGKPAKELVDDAWYKNEFIPRVQKRGAEIIEARGLSSAASAGNAAIDHMRDWVLGTENDWVSMAVPSDGSYGIPEGLIYSFPVTCENGEYKIVQGLEIDAFSQEKMEVTAKELLEEREAVEDLLAAALEHHHHHH*</t>
  </si>
  <si>
    <t>ATGCTGGCCAAATCTACGGCATTGAAGCCTCCCGTAAGAGTTGCTGTTACAGGGGCAGCTGGTCAAATTGGCTATAGCTTGCTTTTCCGGATAGCATCAGGTGAGATGTTAGGACCGGATCAGCCTGTGATCCTTCAGCTGATTGAAATTCCTCCGGCCCAAAAAGCGTTGAAAGGTGTTGCTATGGAGCTTGATGACTGCGCATTTCCGCTGTTGCAGGGCATAGTTTGTACCGATGACCTGAATGTCGGTTTTAAAGATGTGGACTATGCGCTGCTGGTAGGCTCTAAACCACGGGGGAAAGGCCAAGAGCGGAGAGATCTGCTTAAAGACAATGGCAAAATTTTTGTGGCCCAGGGCAAGGCGCTCAATGATAACGCCAATCGCGATGTGAAAGTATTAGTCGTCGGTAATCCCGCCAACACTAACTGTCTTATAGCCTCTAATCATGCACCTGATTTGCCAAAGGAAAACTTCACAGCTATGACTCGGCTGGATCATGACCGTGCCATTAGTCAGATTGCTCAGAAAACAGGTTGTCATGTAACCGATATAAAGAAAATGGTGATTTGGGGTAATCACAGTCCTACCATGTACCCCGATCTTACTCACGCAACTGTGAATGGAAAGCCGGCGAAAGAATTAGTAGATGATGCATGGTACAAAAATGAGTTTATACCGCGCGTACAGAAGAGAGGTGCGGAGATCATTGAGGCCCGGGGATTAAGTTCCGCAGCGAGCGCGGGTAATGCGGCGATAGATCATATGCGTGATTGGGTGTTAGGTACAGAAAACGATTGGGTGTCAATGGCGGTTCCCTCAGATGGATCCTATGGAATTCCGGAAGGCCTCATATACTCGTTCCCCGTGACATGTGAAAATGGCGAGTACAAAATAGTTCAGGGATTGGAGATTGATGCATTTAGTCAAGAGAAAATGGAAGTTACAGCTAAAGAACTTCTCGAAGAGCGCGAAGCCGTCGAAGACCTTCTCGCGGCCGCACTCGAGCACCACCACCACCACCACTGA</t>
  </si>
  <si>
    <t>MMAKAVCTLYGNDDDVYGSLVLSQANEDAKTIITGELKGLSPGKHALHVNVFGDVSNGGASTGGVFNPFGKNHGAPEDEERRVGSLGNITVDEDGVAKVHIEDKLVKLIGPHSIIGRSLVIHENEDDLGKGGHELSLQNGNAGAIKAFGVIGISAAAALEHHHHHH*</t>
  </si>
  <si>
    <t>ATGATGGCAAAAGCGGTGTGTACGCTGTACGGTAATGATGATGACGTTTACGGTAGTTTAGTACTGTCGCAGGCAAACGAAGACGCTAAGACCATTATTACTGGCGAACTGAAGGGTCTGAGCCCCGGAAAACACGCGCTCCATGTGAATGTATTTGGGGATGTGTCGAACGGTGGCGCGAGCACGGGTGGTGTGTTTAATCCGTTTGGCAAAAATCACGGCGCACCAGAAGATGAGGAACGACGCGTAGGCAGTCTCGGTAACATCACCGTAGATGAAGATGGAGTCGCTAAAGTTCATATCGAGGACAAACTTGTAAAGCTGATAGGGCCGCATTCGATTATTGGTCGGTCTCTGGTCATCCATGAGAATGAAGACGATTTAGGGAAAGGAGGACACGAATTGTCTTTACAAAACGGTAATGCCGGCGCAATCAAAGCGTTTGGAGTGATAGGTATTAGCGCCGCGGCCGCACTCGAGCACCACCACCACCACCACTGA</t>
  </si>
  <si>
    <t>MAAMTTMTKTPVTVTVTGAAGQIAYALLFRIASGAVFGPDTPVRLRLLEIPQAVRAAEGVAMELDDCAFPLLASIDITDDPATAFDGANAALLVGARPRGAGMERADLLAANGGIFGPQGRAINDHAADDVRVLVVGNPANTNALIAASHAPDVPAERFTAMMRLDHNRALAQLAAKLGVPTSDLDRMTVWGNHSATQFPDVTYATVGGQPVADKVDQAWLEDEFIPRVAKRGAEIIEVRGSSSAASAASAAIDHMRDWVQGTPEGDWTSVALPSDGSYGIPEGLVSSFPCRSSDGEWEIVQGLEISDFQRARIDASVAELVEERDAVRELAAALEHHHHHH*</t>
  </si>
  <si>
    <t>ATGGCGGCTATGACAACGATGACAAAAACCCCAGTGACCGTGACGGTCACTGGGGCCGCGGGCCAGATTGCGTACGCATTGCTCTTTCGCATCGCATCAGGCGCTGTTTTTGGTCCGGACACCCCCGTACGGTTGCGCTTGTTGGAAATCCCTCAGGCCGTACGCGCCGCTGAGGGGGTAGCCATGGAACTGGACGATTGCGCCTTTCCATTATTAGCGTCGATAGATATAACTGATGATCCGGCAACAGCTTTTGATGGCGCCAACGCCGCGTTACTGGTTGGGGCACGACCGCGTGGTGCTGGTATGGAGCGAGCTGATCTCTTGGCCGCAAATGGGGGTATTTTTGGCCCGCAGGGTCGTGCCATTAACGATCATGCAGCTGACGACGTTCGTGTGCTCGTTGTCGGAAATCCGGCGAACACCAACGCACTGATTGCAGCTAGCCATGCCCCTGATGTGCCTGCGGAACGATTCACTGCCATGATGCGTCTGGATCATAATCGCGCCCTTGCCCAGTTGGCGGCAAAACTGGGGGTCCCGACCTCAGATTTAGATCGTATGACTGTGTGGGGCAATCATTCGGCGACACAATTTCCCGATGTGACATATGCTACAGTTGGCGGTCAGCCGGTTGCTGATAAAGTTGACCAAGCTTGGCTTGAAGATGAATTCATTCCACGCGTTGCGAAGCGAGGAGCCGAAATAATTGAAGTCCGCGGGTCATCATCTGCGGCATCTGCAGCTTCAGCAGCCATCGATCACATGCGCGATTGGGTACAGGGAACCCCTGAAGGCGATTGGACCTCGGTAGCCCTGCCGTCAGACGGATCGTATGGAATACCTGAAGGATTGGTTTCTAGTTTTCCTTGTAGAAGTAGTGATGGGGAATGGGAAATCGTGCAGGGGCTGGAGATTTCAGATTTCCAGCGTGCGCGGATTGACGCTTCTGTGGCGGAACTGGTTGAAGAGCGGGACGCAGTGCGTGAGCTCGCGGCCGCACTCGAGCACCACCACCACCACCACTGA</t>
  </si>
  <si>
    <t>MRATLIDAQGQKVGTATLTQTPEGVKITVEVSNLPPGTHGFHIHENGKCEPPDFKSAGGHFNPANKQHGLKNPEGPHAGDLPNIEVNPDGTAKAEVVAKRVTLEKGEPNSLFKEGGTSLVIHAGADDYKTDPAGNSGARIACGVIAAALEHHHHHH*</t>
  </si>
  <si>
    <t>ATGCGTGCGACTCTGATTGATGCTCAGGGCCAAAAGGTTGGTACCGCAACATTAACACAGACTCCAGAGGGGGTAAAGATAACTGTCGAAGTCAGCAATCTTCCTCCGGGCACCCACGGTTTCCATATCCATGAAAATGGGAAGTGTGAACCACCTGATTTTAAAAGTGCTGGGGGACATTTTAATCCAGCCAATAAACAACACGGGTTAAAGAACCCCGAGGGGCCACACGCAGGCGACTTACCTAACATTGAAGTGAACCCAGACGGAACTGCTAAGGCAGAAGTCGTTGCAAAACGGGTGACCCTCGAAAAGGGCGAACCGAATTCCCTTTTTAAAGAAGGCGGAACCTCATTGGTTATTCATGCCGGGGCGGATGATTACAAAACAGACCCGGCGGGTAACAGTGGAGCACGCATCGCATGCGGGGTGATTGCGGCCGCACTCGAGCACCACCACCACCACCACTGA</t>
  </si>
  <si>
    <t>MTEPIRVLITGAAGQIGYSLLSMVAKGDMFGPDQPIILHLLDIPPAMEALKGVVMELQDCAFPLLQEVVPTTDPEEAFKDVDVAILVGAMPRKEGMERKDLLEKNVAIFKAQGEALDKYAKKTVKVLVVGNPANTNCLILSKYAPSIPKENFTALTRLDHNRAIAQIAERLGVSVSDVKNVIIWGNHSSTQFPDVSHATVNVNGKEKPVRDAVNDDAWLKGEFISTVQKRGAAVIAARKLSSAMSAAKAICDHMHDWVLGTPEGEWVSMGVTSDGSYGVPKDLIFSFPVTCKNGKWKIVQGLKIDDFAREKLDATAKELEEERDMALEVCAAALEHHHHHH*</t>
  </si>
  <si>
    <t>ATGACGGAGCCAATTCGCGTTCTGATTACCGGGGCAGCGGGCCAGATTGGATATAGTCTGTTATCCATGGTTGCAAAAGGTGATATGTTCGGCCCGGACCAGCCCATTATTCTCCACCTCTTAGACATTCCGCCCGCAATGGAAGCTCTGAAGGGTGTTGTAATGGAGTTGCAGGACTGTGCATTTCCTTTGTTACAGGAAGTTGTTCCCACAACTGATCCGGAGGAAGCATTTAAAGACGTTGATGTGGCCATTTTAGTTGGCGCGATGCCGCGCAAAGAGGGCATGGAAAGAAAAGATTTGTTGGAAAAAAATGTCGCGATCTTTAAAGCCCAGGGTGAAGCGCTTGATAAGTATGCCAAGAAGACAGTCAAAGTCCTGGTGGTTGGCAATCCAGCAAACACGAACTGTCTGATCCTGTCGAAATATGCGCCCTCTATTCCGAAAGAAAATTTCACTGCGTTGACACGTTTAGATCATAATAGAGCTATTGCACAGATAGCAGAGCGCTTGGGCGTCTCGGTTAGTGACGTAAAAAACGTGATAATCTGGGGAAATCATAGCTCTACTCAGTTTCCGGATGTATCACATGCCACTGTCAACGTTAATGGTAAGGAAAAACCAGTGCGAGATGCAGTCAATGATGATGCTTGGTTGAAAGGTGAGTTCATTTCCACCGTACAGAAGCGAGGCGCGGCGGTCATTGCGGCGCGTAAACTGAGCTCGGCCATGTCGGCGGCAAAAGCGATCTGCGATCATATGCATGACTGGGTACTGGGTACTCCTGAGGGTGAATGGGTGTCCATGGGTGTGACTAGTGATGGCTCCTATGGGGTGCCTAAAGACTTGATTTTTTCCTTTCCAGTGACATGCAAAAACGGCAAATGGAAAATTGTGCAGGGTCTGAAGATAGACGATTTTGCCCGTGAAAAACTGGACGCAACTGCTAAGGAACTGGAGGAGGAAAGAGACATGGCTTTAGAAGTTTGCGCGGCCGCACTCGAGCACCACCACCACCACCACTGA</t>
  </si>
  <si>
    <t>MRSAAAGSVRNMKVAVLGAAGGIGQPLSLLLKQSPLGSELALYDIAPITPGVAADLSHINTPAGVTVRVSGEDLDEALKGADVVVIPAGVPRKPGMTRDDLFNTNAGIVKNLAEAIAKHCPEAAIAIITNPVNTTVPIAAEVLKKHGVYNPKRLFGVTTLDVVRAKTFVAEAKGLDVNDVNVPVIGGHAGITILPLLSQVTPSGAPTAQFTDDEEIEALTNRIQDAGTEVVEAKAGAGSATLSMAYAAARFANSLLRALNGEEGVVECAFVESDVTEAPFFASPVELGKDGVEEILPLGELSDFEKKALEEMLPALKANIKKGVDFVAAALEHHHHHH*</t>
  </si>
  <si>
    <t>ATGCGAAGTGCGGCAGCAGGTTCGGTTCGTAATATGAAAGTCGCGGTCCTCGGAGCAGCCGGCGGCATTGGGCAGCCTCTGAGCTTATTACTTAAACAGTCTCCACTTGGATCGGAGCTGGCGTTATACGATATTGCACCAATAACCCCTGGTGTGGCGGCAGACTTGAGTCATATTAACACACCGGCCGGTGTGACGGTGCGCGTAAGTGGCGAAGACTTAGATGAAGCGTTGAAAGGTGCCGATGTTGTTGTTATTCCAGCGGGCGTGCCGCGTAAACCTGGCATGACTCGTGACGACCTGTTTAATACAAATGCAGGGATTGTGAAGAATCTTGCCGAGGCAATTGCAAAACATTGTCCGGAGGCAGCCATTGCTATCATTACCAATCCGGTTAACACGACTGTGCCGATAGCTGCAGAGGTACTGAAAAAACATGGCGTTTACAACCCAAAACGCCTGTTTGGAGTTACAACGCTTGATGTGGTGAGAGCGAAGACGTTTGTAGCTGAAGCCAAGGGTTTGGATGTAAACGATGTTAATGTACCGGTGATCGGGGGCCATGCAGGCATTACGATTCTGCCGTTGCTCAGCCAGGTTACGCCGTCAGGAGCGCCGACGGCCCAGTTCACAGACGATGAAGAGATAGAAGCCCTCACTAACCGAATTCAAGATGCTGGCACGGAGGTTGTTGAGGCGAAAGCAGGAGCCGGCTCCGCGACCCTGAGTATGGCCTATGCGGCGGCGCGCTTTGCAAATTCCCTGCTTCGTGCCCTTAATGGCGAAGAAGGCGTTGTAGAATGCGCTTTTGTCGAATCCGATGTCACAGAGGCTCCGTTTTTTGCATCACCAGTGGAATTAGGTAAGGATGGCGTTGAAGAAATCTTGCCTCTGGGAGAATTGTCCGACTTTGAAAAAAAAGCCCTCGAGGAGATGCTGCCCGCACTGAAAGCAAACATTAAAAAAGGCGTTGACTTTGTCGCGGCCGCACTCGAGCACCACCACCACCACCACTGA</t>
  </si>
  <si>
    <t>MRSAAAGSVPNSKVAVLGAAGGIGQPLSLLLKQSPLVSELALYDIANTPGVAADLSHINTPAKVKGYVGAEQLGEALKGCDVVVIPAGVPRKPGMTRDDLFNINAGIVKNLAEGVAKHCPEAMIAIISNPVNSTVPIAAEVLKKAGVYNPKRLFGVTTLDVVRAKTFVAEAAGLDPNDVNVPVVGGHAGITILPLLSQATPKATFTDEEIEALTNRIQDAGTEVVEAKAGAGSATLSMAYAGARFADSCLRALNGESGVVECAFVESDVTEAPFFASPVRLGKNGVEEILGLGKLSDFEQKNLEAMLPELKASIQKGVDFVAAALEHHHHHH*</t>
  </si>
  <si>
    <t>ATGCGTTCCGCAGCTGCCGGGAGCGTCCCTAATAGCAAAGTGGCGGTCCTCGGGGCCGCCGGTGGTATAGGTCAGCCTTTATCGCTCCTGCTCAAACAGAGTCCGTTAGTTAGCGAGCTCGCTCTGTATGACATCGCAAATACTCCAGGCGTAGCGGCCGATCTGTCTCACATAAACACCCCGGCCAAAGTCAAAGGCTATGTTGGTGCCGAGCAGTTGGGCGAAGCGCTGAAAGGTTGTGATGTGGTCGTGATTCCTGCTGGGGTTCCGCGTAAGCCTGGCATGACTAGAGACGATTTGTTTAATATCAATGCGGGAATTGTGAAGAATTTGGCTGAAGGCGTTGCCAAGCATTGTCCGGAGGCCATGATAGCTATAATTTCTAACCCAGTTAACAGCACGGTCCCGATCGCAGCAGAAGTTCTGAAAAAAGCCGGAGTGTATAACCCTAAACGACTTTTCGGCGTCACAACACTCGATGTTGTGCGCGCTAAGACGTTCGTCGCAGAAGCAGCGGGTTTGGATCCGAACGACGTGAACGTGCCGGTTGTCGGAGGGCACGCCGGCATTACGATATTGCCATTACTGTCCCAGGCCACGCCAAAAGCAACATTTACGGATGAAGAGATTGAAGCATTAACCAACCGGATTCAGGATGCAGGTACTGAAGTCGTAGAAGCCAAGGCAGGAGCAGGTAGCGCCACATTGTCCATGGCATACGCCGGCGCACGCTTCGCCGATTCTTGTCTTCGGGCACTTAATGGGGAGAGCGGCGTGGTAGAATGCGCATTTGTGGAATCAGATGTCACGGAAGCGCCATTCTTTGCCTCTCCAGTACGCCTGGGCAAGAATGGAGTGGAAGAGATTTTGGGTCTGGGGAAGCTGAGCGATTTTGAACAGAAAAATCTCGAAGCGATGCTGCCGGAACTCAAAGCCAGCATTCAGAAAGGTGTCGATTTCGTAGCGGCCGCACTCGAGCACCACCACCACCACCACTGA</t>
  </si>
  <si>
    <t>MAASSARNGRARRVAVVGAGHVGMITAMRLAESDLFDEVVLVDIAEGRAAGIALDLTHAAPLLGFATRIRGTNTLEEAGSADYVVITAGRPRQPGMSRTDLVGTNAAIVGDVAQGIARTSPDAVLVVVTNPLDEMTQHAWQVTGLPPERVIGMAGVLDSARFQALAALAGNVRPHEVEALALGSHGDEMVIPLSQATVGGRPIEELLDATTLEAIVDRTRDSGAEVVGLLKSGSAFFAPGASAARMVLAMVRDSGEVMPAAVLPDGEYGITDVYVGLPVRLGRNGVREIVELPLRPAELQALQAAAARIAERIDELAAVAAALEHHHHHH*</t>
  </si>
  <si>
    <t>ATGGCCGCTAGCTCTGCTCGCAATGGTCGCGCGCGCCGTGTGGCAGTTGTCGGCGCAGGGCACGTTGGGATGATAACAGCTATGCGCCTGGCGGAAAGCGACTTATTTGATGAAGTCGTCTTAGTTGACATTGCTGAAGGTCGCGCGGCGGGCATCGCTTTGGATCTGACGCATGCAGCACCGCTCCTGGGATTTGCGACACGCATCCGTGGGACCAATACGCTGGAAGAAGCGGGTTCAGCGGATTACGTGGTAATTACAGCAGGTCGCCCTAGACAGCCGGGCATGAGCCGTACGGATCTTGTGGGGACGAACGCAGCCATTGTCGGCGACGTTGCGCAGGGTATCGCAAGAACCAGTCCCGATGCAGTTCTTGTTGTAGTTACCAATCCGCTGGATGAAATGACCCAACATGCATGGCAGGTTACGGGGCTGCCTCCAGAAAGAGTGATTGGTATGGCGGGCGTATTAGACAGCGCACGCTTTCAGGCATTAGCAGCGTTGGCGGGCAACGTACGACCACATGAAGTAGAAGCTCTCGCGCTTGGAAGCCATGGTGATGAAATGGTCATTCCCCTGAGCCAAGCGACCGTGGGTGGTCGCCCGATAGAAGAACTTCTGGATGCCACAACATTGGAGGCAATTGTTGATCGAACACGAGATAGCGGGGCGGAGGTTGTGGGTTTATTAAAATCAGGTTCTGCATTCTTTGCTCCGGGGGCGTCGGCTGCGCGTATGGTTCTGGCGATGGTTCGTGACTCCGGGGAAGTCATGCCAGCCGCGGTACTGCCTGACGGCGAGTATGGCATCACCGATGTTTATGTTGGTCTGCCCGTGCGGTTAGGTCGGAACGGCGTACGTGAGATCGTCGAACTTCCTTTACGCCCGGCCGAATTACAAGCACTTCAGGCGGCGGCAGCGCGGATAGCGGAAAGAATTGATGAACTGGCTGCAGTCGCGGCCGCACTCGAGCACCACCACCACCACCACTGA</t>
  </si>
  <si>
    <t>MRKKIAVIGAGNVGATCAQYIAEKELGDVVLVDIVEGMPQGKALDMMQAGPIQGYDAKVTGTNDYADIAGSDVVVVTAGLPRKPGMTRDDLLKKNAEIVGDVTENIKKHAPNAIVIMVTNPLDVMTYLAYKVTGFPKNRVIGMAGVLDSARFRYFIAMELGVSVKDVQAMVLGGHGDTMVPLPRYTTVSGIPITELMPKDRIEAIVERTRNGGGEIVKLLKTGSAYYAPAAAAAQMVEAILKDQKRILPCSAYLEGQYGINDIYIGVPVKLGRNGVEKIIELELTEEEKAALQKSAEAVKEGIEELKELAAALEHHHHHH*</t>
  </si>
  <si>
    <t>ATGCGTAAAAAAATTGCCGTTATAGGGGCCGGTAATGTGGGGGCTACTTGCGCCCAGTATATAGCAGAAAAAGAGCTTGGAGACGTTGTTCTTGTTGATATCGTCGAAGGTATGCCTCAAGGGAAAGCCCTGGATATGATGCAGGCAGGACCTATCCAAGGTTACGACGCAAAAGTGACGGGAACCAACGACTACGCTGATATAGCAGGTAGCGATGTAGTTGTCGTGACAGCCGGATTACCTCGGAAGCCTGGTATGACTCGAGATGACCTTCTGAAAAAAAACGCGGAAATCGTGGGTGACGTGACGGAAAATATTAAAAAACACGCTCCGAACGCGATCGTGATAATGGTGACCAATCCGCTGGATGTGATGACTTACCTGGCATACAAGGTAACAGGATTTCCGAAAAATCGCGTGATCGGTATGGCCGGAGTCTTGGACTCCGCACGCTTTCGCTACTTTATCGCGATGGAACTCGGAGTCTCCGTCAAAGATGTTCAAGCTATGGTGCTGGGAGGTCATGGCGATACCATGGTGCCTCTGCCTCGATACACTACCGTATCTGGGATTCCGATTACCGAATTGATGCCCAAAGACAGAATTGAAGCAATTGTCGAAAGAACACGGAACGGAGGAGGAGAAATTGTGAAGCTGCTGAAAACTGGAAGCGCCTACTATGCTCCTGCCGCGGCTGCCGCTCAGATGGTAGAAGCAATTCTGAAAGATCAGAAACGCATACTGCCCTGCAGTGCTTACCTTGAGGGTCAATACGGTATTAATGACATCTATATTGGTGTTCCAGTTAAGCTGGGTCGTAATGGCGTTGAAAAAATTATTGAACTGGAATTAACCGAGGAAGAAAAGGCCGCGTTACAAAAATCGGCCGAGGCGGTGAAAGAAGGGATTGAGGAGCTCAAGGAACTGGCGGCCGCACTCGAGCACCACCACCACCACCACTGA</t>
  </si>
  <si>
    <t>MVDMKDLDSGKAIGTVTISESEYGLVFTPNLKGLPPGIHGFHIHENASCESAEKNGKTILGGAAGGHYDPEKTGKHGFPWSNDNHLGDLPALYVDMDGMATQPVLAPRITLSDLKGRALMIHAGGDNHSDHPKKLGGGGARVVCGVIAAALEHHHHHH*</t>
  </si>
  <si>
    <t>ATGGTTGATATGAAGGATTTAGATAGCGGAAAGGCGATCGGTACTGTTACAATTTCTGAATCAGAATACGGTCTCGTTTTTACCCCGAATCTTAAAGGGCTGCCTCCAGGCATTCACGGTTTCCACATTCATGAGAATGCATCATGTGAGAGCGCGGAAAAAAATGGCAAAACCATACTCGGGGGTGCAGCAGGTGGCCATTATGACCCCGAGAAAACTGGGAAACATGGTTTCCCATGGTCAAATGACAATCACCTGGGTGATCTGCCTGCTCTGTATGTAGATATGGATGGGATGGCGACTCAACCAGTTTTGGCACCCCGAATTACACTTAGTGACTTAAAAGGGCGGGCCCTTATGATTCATGCAGGCGGTGATAACCATAGCGATCATCCTAAGAAGTTGGGTGGCGGCGGAGCGCGTGTTGTATGTGGCGTGATTGCGGCCGCACTCGAGCACCACCACCACCACCACTGA</t>
  </si>
  <si>
    <t>MVDMKDLKTGKSIGTVTISESEYGLVFTPNLKGLPPGIHGFHVHENASCEPAEKDGKMVLGGAAGGHYDPENTGKHGFPWSNDNHRGDLPALYVDKDGMATHPVLAPRLTLDDLKGRALMIHANGDNYSDHPKPLGGGGARVACGVIAAALEHHHHHH*</t>
  </si>
  <si>
    <t>ATGGTTGATATGAAAGACCTGAAAACAGGTAAATCCATCGGAACAGTTACAATATCTGAATCCGAATACGGGCTGGTGTTTACACCGAATCTGAAAGGCTTACCCCCAGGAATACACGGCTTTCACGTACACGAGAATGCTTCATGTGAACCCGCAGAAAAAGATGGCAAAATGGTTCTGGGTGGAGCTGCAGGAGGCCATTATGATCCGGAGAACACGGGCAAACATGGGTTCCCGTGGAGCAATGACAATCATCGCGGAGATCTCCCGGCCCTGTATGTAGATAAAGATGGCATGGCAACCCATCCTGTTCTGGCACCGAGATTGACATTAGATGACTTAAAAGGCCGCGCCTTAATGATTCATGCAAACGGTGATAACTATTCGGATCACCCGAAGCCTTTAGGAGGAGGGGGCGCGCGAGTGGCTTGCGGGGTAATTGCGGCCGCACTCGAGCACCACCACCACCACCACTGA</t>
  </si>
  <si>
    <t>MVMKAVVVLQGEAVKGTVHLTQERPDAPVTLQGEICGLTQGLHGFHVHEFGDHTNGCISAGDHFNPCGFEHGAPEDERRHVGDLGNVIAGCDGVAKVNICDKQISLCGANSIIGRTLVIHCDPDDLGRGGHELSKTTGNSGPRIACGVIGIAPTCAAALEHHHHHH*</t>
  </si>
  <si>
    <t>ATGGTTATGAAGGCAGTGGTTGTGTTACAGGGGGAAGCTGTAAAAGGAACTGTGCACCTTACCCAGGAGCGGCCTGATGCGCCGGTAACATTGCAGGGCGAGATTTGTGGGCTGACGCAAGGACTGCATGGGTTTCATGTACACGAGTTTGGTGATCATACAAACGGTTGCATCAGCGCAGGTGATCATTTCAATCCATGCGGTTTTGAGCATGGGGCACCAGAGGATGAACGCCGGCATGTGGGGGATCTGGGCAATGTTATCGCTGGTTGTGATGGCGTTGCCAAGGTAAATATATGCGACAAGCAGATCTCGCTCTGCGGTGCGAATTCAATCATTGGTCGAACGCTCGTGATTCACTGTGATCCCGACGATCTCGGCCGTGGAGGCCATGAGTTGAGCAAAACGACCGGGAACTCAGGCCCACGTATCGCATGCGGCGTTATCGGGATAGCACCCACTTGTGCGGCCGCACTCGAGCACCACCACCACCACCACTGA</t>
  </si>
  <si>
    <t>MRKKITVVGAGNVGATAAQLIAQKGLADVVLIDIVEGMPQGKALDMLEACPLWNSSARITGTNDYADTAGSDIVVITAGLARKPGMSRDDLLHANAKIIKDVAGEIAKTSPDAIIIVVTNPMDAMAHVARKVTGFPHNRVIGMGGVLDSARMRTFIALELGVSPEDVQAMVLGGHGDQMVPLPRFTTVKGIPITELLPEEKIEQIIERTRNGGAEIVSLLKTGSAYYAPAASTVEMVEAILRDKKRILPCAAYLDGEYGIKGLYVGVPVILGKKGVEKIIELELTEEEKAALDKSAEAVKELIEKLKAAALEHHHHHH*</t>
  </si>
  <si>
    <t>ATGAGAAAGAAGATAACCGTCGTTGGGGCGGGCAACGTGGGAGCCACTGCAGCGCAGCTGATAGCGCAGAAAGGTTTAGCCGACGTGGTTTTAATAGATATTGTGGAGGGCATGCCGCAGGGTAAAGCTCTGGATATGTTAGAGGCCTGTCCGTTATGGAATTCGTCAGCCCGGATTACCGGGACCAATGACTATGCTGACACGGCCGGATCAGATATTGTCGTCATCACGGCCGGTTTGGCGAGAAAACCTGGTATGTCGCGGGACGACTTACTGCATGCCAATGCAAAAATTATCAAGGATGTGGCCGGTGAAATCGCGAAAACTTCTCCAGACGCGATCATTATTGTAGTAACGAATCCCATGGATGCCATGGCACACGTGGCGCGCAAAGTGACCGGTTTTCCGCACAATAGAGTGATTGGTATGGGTGGTGTGTTGGACTCGGCCCGTATGCGTACCTTTATCGCGTTGGAACTGGGAGTGAGTCCTGAAGACGTGCAGGCTATGGTATTAGGTGGCCATGGTGATCAGATGGTGCCGTTACCGAGATTTACTACCGTTAAAGGAATACCTATCACAGAACTGCTGCCGGAAGAGAAAATTGAGCAGATCATAGAGAGAACCCGAAACGGTGGAGCCGAGATTGTCTCACTTCTGAAAACCGGGAGCGCTTATTACGCGCCTGCCGCAAGTACAGTCGAAATGGTCGAAGCTATCCTGCGGGACAAGAAACGGATACTCCCTTGTGCCGCCTACTTAGATGGGGAATATGGAATTAAAGGTTTATACGTGGGCGTTCCTGTGATTCTGGGGAAGAAAGGAGTGGAAAAAATTATTGAGCTGGAGCTGACGGAAGAAGAAAAAGCTGCACTCGATAAATCAGCTGAAGCAGTTAAAGAGTTAATTGAAAAACTGAAAGCGGCCGCACTCGAGCACCACCACCACCACCACTGA</t>
  </si>
  <si>
    <t>MACKAVCVITGEVVSGTINFSQESEESPVKITGEIKGLNKGKHGFHVHEFGDISNGCTSAGPHFNPLGKDHGGPEDTERHVGDLGNVVAGDDGIAKIDITDKQISLTGEHSIIGRTLVVHADPDDLGKGDHELSKTTGNSGARIACGIIGIAKAQIAAALEHHHHHH*</t>
  </si>
  <si>
    <t>ATGGCATGCAAAGCAGTCTGTGTTATCACAGGTGAAGTTGTTTCTGGCACCATTAACTTTAGTCAGGAATCAGAAGAAAGTCCTGTAAAAATCACCGGTGAAATAAAAGGATTGAACAAAGGGAAACACGGTTTTCACGTACATGAGTTTGGGGATATAAGCAACGGTTGTACATCAGCGGGGCCTCATTTCAATCCTCTCGGTAAAGATCATGGTGGCCCTGAAGATACGGAGCGACACGTCGGCGATTTGGGCAATGTAGTCGCGGGGGATGACGGGATTGCGAAAATTGATATTACAGACAAGCAGATCTCTTTGACCGGGGAACATAGTATCATCGGTAGAACGCTTGTCGTCCATGCCGACCCCGATGACTTAGGCAAAGGCGATCACGAATTAAGCAAGACTACTGGCAATTCCGGCGCGAGAATTGCGTGCGGTATTATTGGCATAGCAAAAGCCCAGATTGCGGCCGCACTCGAGCACCACCACCACCACCACTGA</t>
  </si>
  <si>
    <t>MAVKAVCVLIGEDVKGVIHFEQEGPNSPVNVTGEVTGLTPGLHGFHVHEFGDNTNGCTSAGPHFNPLGKEHGGPTDEVRHVGDLGNVVANEDGVAKVDITDSLISLSGPYSIIGRTIVVHADPDDLGKGGHELSKTTGNAGARVACGVIGITKAAALEHHHHHH*</t>
  </si>
  <si>
    <t>ATGGCAGTTAAAGCGGTTTGTGTTCTTATAGGTGAAGATGTTAAAGGCGTCATTCACTTTGAACAGGAAGGTCCTAACTCGCCTGTTAATGTGACAGGTGAGGTGACTGGTCTGACCCCAGGGCTTCACGGTTTTCATGTACACGAATTTGGTGATAATACAAATGGCTGTACTAGTGCAGGACCACATTTCAACCCTCTGGGAAAGGAACATGGGGGCCCTACGGATGAAGTAAGACACGTTGGTGATCTGGGGAACGTTGTCGCTAACGAAGACGGCGTTGCAAAAGTTGATATAACTGACTCTTTAATTTCTTTATCAGGTCCATATTCTATAATCGGTCGCACCATTGTGGTGCATGCAGACCCGGATGATCTCGGCAAAGGTGGTCACGAGTTGAGTAAAACCACAGGCAACGCCGGAGCACGTGTTGCGTGCGGAGTTATTGGCATTACTAAAGCGGCCGCACTCGAGCACCACCACCACCACCACTGA</t>
  </si>
  <si>
    <t>MVKAVAVLRGDSNVSGVVTFEQASESSPTTISWEITGNDPNAQRGFHIHQFGDNTNGCTSAGPHFNPFGKTHGAPTDENRHVGDLGNITTDASGVAKGTITDSLVKLIGPNSILGRTVVVHAGTDDLGKGGNEESLKTGNAGGRPACGVIGIANAAALEHHHHHH*</t>
  </si>
  <si>
    <t>ATGGTTAAAGCAGTGGCGGTTTTACGCGGGGATTCAAACGTTTCTGGCGTGGTAACTTTTGAACAGGCTTCAGAAAGCAGCCCAACCACCATTAGCTGGGAAATCACCGGCAATGATCCGAACGCACAACGCGGGTTTCACATACATCAATTTGGCGACAATACGAATGGTTGCACGTCAGCCGGGCCACATTTTAATCCGTTCGGTAAAACACATGGGGCGCCAACGGATGAAAACCGCCATGTGGGTGATTTAGGGAACATTACGACCGACGCCTCAGGTGTAGCGAAAGGTACAATTACAGATTCACTCGTTAAGCTTATCGGTCCCAATAGTATTTTGGGTCGCACTGTGGTAGTTCATGCCGGCACAGATGATCTTGGCAAAGGTGGGAACGAAGAATCACTGAAAACGGGCAATGCTGGAGGTCGCCCGGCCTGCGGTGTTATCGGTATTGCGAACGCGGCCGCACTCGAGCACCACCACCACCACCACTGA</t>
  </si>
  <si>
    <t>MSVKAVCVLKGDDVKGTIYFTQEGDSVKVTGEITGLTPGKHGFHVHEFGDNTNGCTSAGPHFNPSNKTHGAPADEERHVGDLGNVEAGDDGKAKVNITDKLISLTGPHSIIGRSLVVHADVDDLGKGGHELSKTTGNAGGRLACGVIGIAAPQAAALEHHHHHH*</t>
  </si>
  <si>
    <t>ATGAGCGTCAAAGCCGTATGTGTTTTGAAAGGAGACGATGTCAAAGGCACAATCTATTTCACGCAGGAGGGCGACTCAGTAAAGGTTACGGGGGAAATAACCGGATTGACGCCGGGAAAACATGGCTTTCATGTGCATGAGTTTGGTGATAATACGAACGGTTGTACAAGTGCGGGCCCGCACTTTAACCCGAGTAATAAAACACATGGAGCGCCGGCTGATGAAGAGCGCCATGTCGGCGATCTGGGCAACGTTGAGGCAGGAGATGATGGCAAAGCAAAAGTTAATATAACCGACAAACTGATAAGTTTAACGGGACCGCATAGCATTATAGGGCGTTCACTGGTTGTTCATGCGGACGTAGATGATTTAGGAAAAGGCGGCCACGAACTGAGTAAAACCACGGGTAATGCGGGAGGTCGTCTGGCGTGTGGTGTGATTGGTATTGCTGCTCCGCAGGCGGCCGCACTCGAGCACCACCACCACCACCACTGA</t>
  </si>
  <si>
    <t>MHAIDAEGVGKAIGTVTIRDTPDGLVFTPDLSGLPAGAHGFHLHENGSCGPGEKDGKTVAGLAAGGHYDPENTGKHLGPYGVGHRGDLPVLVVAADGTATTPVVAPRLKVSDVKGRALIIHAGGDNYSQEQPLGGGGARIACGVIAAALEHHHHHH*</t>
  </si>
  <si>
    <t>ATGCATGCTATTGATGCGGAGGGCGTAGGAAAAGCTATCGGTACGGTTACCATTCGGGACACACCGGATGGTTTAGTGTTCACCCCGGATCTGTCAGGGTTACCGGCCGGGGCACACGGCTTTCATCTCCACGAAAATGGGAGCTGCGGCCCAGGCGAAAAAGATGGAAAAACTGTGGCAGGCCTGGCTGCCGGGGGTCACTACGACCCAGAAAATACGGGAAAGCATTTGGGACCTTATGGCGTGGGCCACAGAGGGGATCTGCCTGTACTGGTAGTCGCGGCTGATGGAACAGCGACCACTCCTGTAGTTGCGCCACGCTTAAAAGTATCCGATGTCAAGGGCCGTGCATTAATTATACACGCGGGCGGTGATAATTATTCACAAGAACAGCCCCTTGGCGGCGGTGGGGCGCGCATTGCCTGCGGAGTGATCGCGGCCGCACTCGAGCACCACCACCACCACCACTGA</t>
  </si>
  <si>
    <t>MTKISLIGSGQIGAIVGQLCLSENIGDIVLYDVANGVPQGKSLDLKHFSTIIGVNRKIIGTNNIEDIKDSDVIVITAGVQRKEGMSREDLIGINGKIIKSVAESVKQYAPNAFVICVTNPLDVMVNVFHKYSNLPYEKICGMAGILDTSRFRYLLGEKLNVSPENINAIILGGHGDLMMPLPRYCSISGIPLLDYIKNHDMSEKDINDIIEKTRNMGGEIIKLAKSSAIFAPAASILKMIKSYLQDQNQLFTCAVYLNGQYNCTNLYVGSTAIINKTGAHPIEFILTEEEQASYQKSINNIRENTQKALNAVAAALEHHHHHH*</t>
  </si>
  <si>
    <t>ATGACCAAAATCTCTCTCATTGGTTCAGGTCAGATAGGAGCAATTGTGGGCCAACTCTGTCTGTCCGAAAACATTGGTGACATAGTTCTGTACGATGTTGCCAACGGCGTGCCCCAGGGTAAATCCTTGGATCTGAAACATTTTTCGACAATTATTGGAGTGAACCGGAAAATAATCGGTACGAATAATATTGAGGATATCAAGGATTCTGATGTGATTGTCATAACGGCGGGGGTTCAGCGCAAAGAGGGTATGAGTAGAGAGGACCTGATAGGCATTAATGGAAAAATCATTAAATCTGTTGCCGAGTCAGTGAAGCAATACGCACCAAATGCTTTTGTTATTTGTGTGACCAACCCGCTGGACGTTATGGTTAACGTCTTTCACAAATACTCTAACCTCCCATACGAAAAGATCTGTGGCATGGCTGGAATTCTTGACACTAGTCGCTTCCGCTATCTGCTGGGTGAGAAACTGAACGTATCACCGGAAAACATTAATGCCATTATTCTTGGAGGTCATGGCGATCTGATGATGCCGCTGCCTCGTTATTGCTCTATTAGTGGTATACCACTGCTTGATTATATTAAGAACCACGATATGTCTGAGAAAGACATTAATGATATAATCGAAAAAACACGCAACATGGGCGGGGAAATCATAAAGCTTGCCAAAAGCAGTGCTATCTTTGCCCCAGCAGCTTCGATTCTTAAGATGATTAAATCTTACCTGCAGGACCAGAATCAGCTGTTCACCTGCGCCGTATATTTAAATGGTCAGTACAATTGTACCAATTTATATGTTGGGTCAACCGCCATTATTAATAAAACGGGGGCCCATCCGATTGAGTTTATTCTGACAGAAGAGGAGCAGGCATCATACCAGAAGAGCATTAACAACATCCGTGAAAATACCCAGAAAGCCTTGAACGCAGTTGCGGCCGCACTCGAGCACCACCACCACCACCACTGA</t>
  </si>
  <si>
    <t>expressed sequence</t>
  </si>
  <si>
    <t>tagged sequence</t>
  </si>
  <si>
    <t>ATGAAAGCAGTTTGTGTGCTTAAGGGTGATTCCGGAGTTCAGGGGACTGTGACGTTTACACAGCAGGCGGAGGGTGAACCTGTGACAGTCGATGTCCACATCACCGGTCTGACGCCGGGAAAACATGGCTTTCATGTCCACGAGTTTGGTGATACCACAAATGGTTGTGTATCAGCGGGTCCGCACTTTAATCCGACTGGCAAAGATCATGGTGGCCCAGACGACCCGGTTCGCCACGTCGGAGATCTGGGCAACGTTGTCGCCGATGCCCAGGGTGTTGTTCAGAGAGTCTTTACCGATAACGTCATATCCTTAACGGGTCCTAATAGCATCATTGGTCGCGCAATGGTAGTTCATGAACTTGAGGATGACCTGGGTCGAACCGGCCACGAGTTATCCAAAACCACCGGCAATGCAGGGGGCCGTTTAGCATGCGGAGTAATTGGGATAGCCAAAGCAGCGCCTGCAGCGGCGGCGGGTGCAGCAGCCGGTGCTGCAGCCGCAGGTGCGGCAGGCGCCGCGGGTGCGGCAGCAGGTGCAGCGGCCGCACTCGAGCACCACCACCACCACCACTGA</t>
  </si>
  <si>
    <t>MKAVCVLKGDSGVQGTVTFTQQAEGEPVTVDVHITGLTPGKHGFHVHEFGDTTNGCVSAGPHFNPTGKDHGGPDDPVRHVGDLGNVVADAQGVVQRVFTDNVISLTGPNSIIGRAMVVHELEDDLGRTGHELSKTTGNAGGRLACGVIGIAKAAPAAAAGAAAGAAAAGAAGAAGAAAGAAAALEHHHHHH*</t>
  </si>
  <si>
    <t xml:space="preserve">Solubility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</si>
</sst>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0"/>
      <color rgb="FF000000"/>
      <name val="Arial"/>
      <scheme val="minor"/>
    </font>
    <font>
      <b/>
      <sz val="11"/>
      <color theme="1"/>
      <name val="Calibri"/>
      <family val="2"/>
    </font>
    <font>
      <sz val="11"/>
      <color theme="1"/>
      <name val="Calibri"/>
      <family val="2"/>
    </font>
    <font>
      <sz val="10"/>
      <color theme="1"/>
      <name val="Times New Roman"/>
      <family val="1"/>
    </font>
    <font>
      <sz val="10"/>
      <color theme="1"/>
      <name val="Arial"/>
      <family val="2"/>
    </font>
    <font>
      <b/>
      <sz val="11"/>
      <color rgb="FFFFFFFF"/>
      <name val="Calibri"/>
      <family val="2"/>
    </font>
    <font>
      <sz val="11"/>
      <color rgb="FF000000"/>
      <name val="Calibri"/>
      <family val="2"/>
    </font>
    <font>
      <sz val="10"/>
      <color rgb="FF000000"/>
      <name val="Arial"/>
      <family val="2"/>
    </font>
    <font>
      <b/>
      <sz val="10"/>
      <color theme="1"/>
      <name val="Arial"/>
      <family val="2"/>
    </font>
    <font>
      <sz val="10"/>
      <name val="Arial"/>
      <family val="2"/>
    </font>
    <font>
      <sz val="11"/>
      <color rgb="FF201F1E"/>
      <name val="Calibri"/>
      <family val="2"/>
    </font>
    <font>
      <b/>
      <sz val="9"/>
      <color rgb="FF000000"/>
      <name val="Arial"/>
      <family val="2"/>
    </font>
    <font>
      <b/>
      <sz val="10"/>
      <color rgb="FF000000"/>
      <name val="Arial"/>
      <family val="2"/>
    </font>
    <font>
      <sz val="9"/>
      <color theme="1"/>
      <name val="Arial"/>
      <family val="2"/>
    </font>
    <font>
      <sz val="9"/>
      <color rgb="FF000000"/>
      <name val="Arial"/>
      <family val="2"/>
    </font>
    <font>
      <sz val="9"/>
      <color rgb="FF000000"/>
      <name val="Roboto"/>
    </font>
    <font>
      <sz val="10"/>
      <color theme="1"/>
      <name val="Arial"/>
      <family val="2"/>
    </font>
    <font>
      <sz val="10"/>
      <color theme="1"/>
      <name val="Arial"/>
      <family val="2"/>
      <scheme val="minor"/>
    </font>
    <font>
      <b/>
      <sz val="10"/>
      <color theme="1"/>
      <name val="Arial"/>
      <family val="2"/>
      <scheme val="minor"/>
    </font>
    <font>
      <sz val="9"/>
      <color rgb="FF000000"/>
      <name val="Calibri"/>
      <family val="2"/>
    </font>
    <font>
      <b/>
      <sz val="11"/>
      <color rgb="FF000000"/>
      <name val="Calibri"/>
      <family val="2"/>
    </font>
    <font>
      <sz val="10"/>
      <color theme="1"/>
      <name val="Arial"/>
      <family val="2"/>
    </font>
    <font>
      <b/>
      <sz val="11"/>
      <color rgb="FFFFFFFF"/>
      <name val="Calibri"/>
      <family val="2"/>
    </font>
    <font>
      <sz val="11"/>
      <color rgb="FF000000"/>
      <name val="Calibri"/>
      <family val="2"/>
    </font>
    <font>
      <sz val="11"/>
      <color theme="1"/>
      <name val="Calibri"/>
      <family val="2"/>
    </font>
    <font>
      <sz val="10"/>
      <color rgb="FF000000"/>
      <name val="Calibri"/>
      <family val="2"/>
    </font>
    <font>
      <b/>
      <sz val="10"/>
      <color rgb="FF000000"/>
      <name val="Arial"/>
      <family val="2"/>
      <scheme val="minor"/>
    </font>
    <font>
      <sz val="10"/>
      <color rgb="FF000000"/>
      <name val="Arial"/>
      <family val="2"/>
      <scheme val="minor"/>
    </font>
    <font>
      <sz val="8"/>
      <name val="Arial"/>
      <family val="2"/>
      <scheme val="minor"/>
    </font>
    <font>
      <b/>
      <sz val="10"/>
      <color theme="1"/>
      <name val="Arial"/>
      <family val="2"/>
      <scheme val="minor"/>
    </font>
  </fonts>
  <fills count="7">
    <fill>
      <patternFill patternType="none"/>
    </fill>
    <fill>
      <patternFill patternType="gray125"/>
    </fill>
    <fill>
      <patternFill patternType="solid">
        <fgColor rgb="FFB6D7A8"/>
        <bgColor rgb="FFB6D7A8"/>
      </patternFill>
    </fill>
    <fill>
      <patternFill patternType="solid">
        <fgColor rgb="FF4472C4"/>
        <bgColor rgb="FF4472C4"/>
      </patternFill>
    </fill>
    <fill>
      <patternFill patternType="solid">
        <fgColor rgb="FFFF0000"/>
        <bgColor rgb="FFFF0000"/>
      </patternFill>
    </fill>
    <fill>
      <patternFill patternType="solid">
        <fgColor rgb="FF00B050"/>
        <bgColor rgb="FF00B050"/>
      </patternFill>
    </fill>
    <fill>
      <patternFill patternType="solid">
        <fgColor rgb="FFFFFFFF"/>
        <bgColor rgb="FFFFFFFF"/>
      </patternFill>
    </fill>
  </fills>
  <borders count="20">
    <border>
      <left/>
      <right/>
      <top/>
      <bottom/>
      <diagonal/>
    </border>
    <border>
      <left/>
      <right/>
      <top/>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right style="thin">
        <color rgb="FF000000"/>
      </right>
      <top/>
      <bottom style="medium">
        <color rgb="FF000000"/>
      </bottom>
      <diagonal/>
    </border>
    <border>
      <left style="thin">
        <color rgb="FF000000"/>
      </left>
      <right style="thin">
        <color rgb="FF000000"/>
      </right>
      <top/>
      <bottom style="thick">
        <color rgb="FF000000"/>
      </bottom>
      <diagonal/>
    </border>
    <border>
      <left/>
      <right style="thin">
        <color rgb="FF000000"/>
      </right>
      <top/>
      <bottom style="thick">
        <color rgb="FF000000"/>
      </bottom>
      <diagonal/>
    </border>
    <border>
      <left/>
      <right style="thin">
        <color rgb="FF000000"/>
      </right>
      <top/>
      <bottom style="thin">
        <color rgb="FF000000"/>
      </bottom>
      <diagonal/>
    </border>
    <border>
      <left/>
      <right style="thin">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auto="1"/>
      </bottom>
      <diagonal/>
    </border>
    <border>
      <left/>
      <right/>
      <top style="thin">
        <color auto="1"/>
      </top>
      <bottom/>
      <diagonal/>
    </border>
  </borders>
  <cellStyleXfs count="1">
    <xf numFmtId="0" fontId="0" fillId="0" borderId="0"/>
  </cellStyleXfs>
  <cellXfs count="98">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wrapText="1"/>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xf numFmtId="0" fontId="2" fillId="0" borderId="2" xfId="0" applyFont="1" applyBorder="1" applyAlignment="1">
      <alignment horizontal="center" vertical="center"/>
    </xf>
    <xf numFmtId="0" fontId="2" fillId="0" borderId="2" xfId="0" applyFont="1" applyBorder="1"/>
    <xf numFmtId="0" fontId="2" fillId="0" borderId="3" xfId="0" applyFont="1" applyBorder="1" applyAlignment="1">
      <alignment horizontal="center" vertical="center"/>
    </xf>
    <xf numFmtId="0" fontId="2" fillId="0" borderId="3" xfId="0" applyFont="1" applyBorder="1"/>
    <xf numFmtId="0" fontId="4" fillId="0" borderId="0" xfId="0" applyFont="1"/>
    <xf numFmtId="0" fontId="2" fillId="0" borderId="0" xfId="0" applyFont="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5" fillId="3" borderId="1" xfId="0" applyFont="1" applyFill="1" applyBorder="1" applyAlignment="1">
      <alignment horizontal="center"/>
    </xf>
    <xf numFmtId="0" fontId="6" fillId="0" borderId="0" xfId="0" applyFont="1" applyAlignment="1">
      <alignment horizontal="center"/>
    </xf>
    <xf numFmtId="0" fontId="6" fillId="0" borderId="0" xfId="0" applyFont="1"/>
    <xf numFmtId="0" fontId="6" fillId="0" borderId="2" xfId="0" applyFont="1" applyBorder="1" applyAlignment="1">
      <alignment horizontal="center"/>
    </xf>
    <xf numFmtId="0" fontId="6" fillId="0" borderId="3" xfId="0" applyFont="1" applyBorder="1" applyAlignment="1">
      <alignment horizontal="center"/>
    </xf>
    <xf numFmtId="0" fontId="4"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49" fontId="6" fillId="0" borderId="0" xfId="0" applyNumberFormat="1" applyFont="1" applyAlignment="1">
      <alignment horizontal="center"/>
    </xf>
    <xf numFmtId="49" fontId="6" fillId="0" borderId="2" xfId="0" applyNumberFormat="1" applyFont="1" applyBorder="1" applyAlignment="1">
      <alignment horizontal="center"/>
    </xf>
    <xf numFmtId="49" fontId="6" fillId="0" borderId="3" xfId="0" applyNumberFormat="1" applyFont="1" applyBorder="1" applyAlignment="1">
      <alignment horizontal="center"/>
    </xf>
    <xf numFmtId="0" fontId="6" fillId="0" borderId="0" xfId="0" applyFont="1" applyAlignment="1">
      <alignment horizontal="right"/>
    </xf>
    <xf numFmtId="0" fontId="4" fillId="6" borderId="4" xfId="0" applyFont="1" applyFill="1" applyBorder="1"/>
    <xf numFmtId="0" fontId="8" fillId="6" borderId="5" xfId="0" applyFont="1" applyFill="1" applyBorder="1"/>
    <xf numFmtId="0" fontId="4" fillId="6" borderId="1" xfId="0" applyFont="1" applyFill="1" applyBorder="1"/>
    <xf numFmtId="0" fontId="8" fillId="0" borderId="0" xfId="0" applyFont="1"/>
    <xf numFmtId="0" fontId="8" fillId="6" borderId="6" xfId="0" applyFont="1" applyFill="1" applyBorder="1"/>
    <xf numFmtId="0" fontId="8" fillId="6" borderId="7" xfId="0" applyFont="1" applyFill="1" applyBorder="1"/>
    <xf numFmtId="0" fontId="4" fillId="6" borderId="8" xfId="0" applyFont="1" applyFill="1" applyBorder="1"/>
    <xf numFmtId="0" fontId="4" fillId="6" borderId="8" xfId="0" applyFont="1" applyFill="1" applyBorder="1" applyAlignment="1">
      <alignment horizontal="right"/>
    </xf>
    <xf numFmtId="1" fontId="4" fillId="6" borderId="8" xfId="0" applyNumberFormat="1" applyFont="1" applyFill="1" applyBorder="1" applyAlignment="1">
      <alignment horizontal="right"/>
    </xf>
    <xf numFmtId="0" fontId="4" fillId="6" borderId="6" xfId="0" applyFont="1" applyFill="1" applyBorder="1"/>
    <xf numFmtId="0" fontId="4" fillId="6" borderId="7" xfId="0" applyFont="1" applyFill="1" applyBorder="1"/>
    <xf numFmtId="0" fontId="4" fillId="6" borderId="9" xfId="0" applyFont="1" applyFill="1" applyBorder="1"/>
    <xf numFmtId="0" fontId="4" fillId="6" borderId="9" xfId="0" applyFont="1" applyFill="1" applyBorder="1" applyAlignment="1">
      <alignment horizontal="right"/>
    </xf>
    <xf numFmtId="1" fontId="4" fillId="6" borderId="9" xfId="0" applyNumberFormat="1" applyFont="1" applyFill="1" applyBorder="1" applyAlignment="1">
      <alignment horizontal="right"/>
    </xf>
    <xf numFmtId="0" fontId="4" fillId="6" borderId="10" xfId="0" applyFont="1" applyFill="1" applyBorder="1"/>
    <xf numFmtId="0" fontId="4" fillId="6" borderId="11" xfId="0" applyFont="1" applyFill="1" applyBorder="1"/>
    <xf numFmtId="0" fontId="4" fillId="6" borderId="11" xfId="0" applyFont="1" applyFill="1" applyBorder="1" applyAlignment="1">
      <alignment horizontal="right"/>
    </xf>
    <xf numFmtId="1" fontId="4" fillId="6" borderId="11" xfId="0" applyNumberFormat="1" applyFont="1" applyFill="1" applyBorder="1" applyAlignment="1">
      <alignment horizontal="right"/>
    </xf>
    <xf numFmtId="0" fontId="4" fillId="0" borderId="12" xfId="0" applyFont="1" applyBorder="1" applyAlignment="1">
      <alignment horizontal="right"/>
    </xf>
    <xf numFmtId="0" fontId="4" fillId="0" borderId="13" xfId="0" applyFont="1" applyBorder="1" applyAlignment="1">
      <alignment horizontal="right"/>
    </xf>
    <xf numFmtId="0" fontId="4" fillId="0" borderId="14" xfId="0" applyFont="1" applyBorder="1"/>
    <xf numFmtId="0" fontId="8" fillId="6" borderId="4" xfId="0" applyFont="1" applyFill="1" applyBorder="1"/>
    <xf numFmtId="0" fontId="10" fillId="6" borderId="1" xfId="0" applyFont="1" applyFill="1" applyBorder="1"/>
    <xf numFmtId="0" fontId="11" fillId="0" borderId="0" xfId="0" applyFont="1" applyAlignment="1">
      <alignment horizontal="center" vertical="top"/>
    </xf>
    <xf numFmtId="0" fontId="11" fillId="0" borderId="0" xfId="0" applyFont="1" applyAlignment="1">
      <alignment horizontal="center"/>
    </xf>
    <xf numFmtId="0" fontId="11" fillId="0" borderId="0" xfId="0" applyFont="1"/>
    <xf numFmtId="0" fontId="12" fillId="0" borderId="0" xfId="0" applyFont="1"/>
    <xf numFmtId="0" fontId="13" fillId="0" borderId="0" xfId="0" applyFont="1" applyAlignment="1">
      <alignment vertical="top"/>
    </xf>
    <xf numFmtId="0" fontId="14" fillId="0" borderId="0" xfId="0" applyFont="1"/>
    <xf numFmtId="0" fontId="13" fillId="0" borderId="0" xfId="0" applyFont="1" applyAlignment="1">
      <alignment horizontal="right"/>
    </xf>
    <xf numFmtId="0" fontId="14" fillId="0" borderId="0" xfId="0" applyFont="1" applyAlignment="1">
      <alignment horizontal="right"/>
    </xf>
    <xf numFmtId="0" fontId="15" fillId="0" borderId="0" xfId="0" applyFont="1"/>
    <xf numFmtId="0" fontId="15" fillId="0" borderId="0" xfId="0" applyFont="1" applyAlignment="1">
      <alignment horizontal="right"/>
    </xf>
    <xf numFmtId="0" fontId="15" fillId="0" borderId="0" xfId="0" applyFont="1" applyAlignment="1">
      <alignment horizontal="center"/>
    </xf>
    <xf numFmtId="0" fontId="13" fillId="0" borderId="0" xfId="0" applyFont="1" applyAlignment="1">
      <alignment horizontal="right" vertical="top"/>
    </xf>
    <xf numFmtId="0" fontId="16" fillId="0" borderId="0" xfId="0" applyFont="1"/>
    <xf numFmtId="0" fontId="17" fillId="0" borderId="0" xfId="0" applyFont="1"/>
    <xf numFmtId="0" fontId="18" fillId="0" borderId="0" xfId="0" applyFont="1"/>
    <xf numFmtId="0" fontId="13" fillId="0" borderId="0" xfId="0" applyFont="1"/>
    <xf numFmtId="0" fontId="19" fillId="0" borderId="0" xfId="0" applyFont="1"/>
    <xf numFmtId="0" fontId="19" fillId="0" borderId="0" xfId="0" applyFont="1" applyAlignment="1">
      <alignment horizontal="right"/>
    </xf>
    <xf numFmtId="0" fontId="20" fillId="0" borderId="0" xfId="0" applyFont="1"/>
    <xf numFmtId="0" fontId="22" fillId="3" borderId="1" xfId="0" applyFont="1" applyFill="1" applyBorder="1" applyAlignment="1">
      <alignment horizontal="center"/>
    </xf>
    <xf numFmtId="0" fontId="23" fillId="0" borderId="0" xfId="0" applyFont="1" applyAlignment="1">
      <alignment horizontal="center"/>
    </xf>
    <xf numFmtId="0" fontId="0" fillId="0" borderId="0" xfId="0" applyAlignment="1">
      <alignment horizontal="center"/>
    </xf>
    <xf numFmtId="0" fontId="23" fillId="4" borderId="1" xfId="0" applyFont="1" applyFill="1" applyBorder="1" applyAlignment="1">
      <alignment horizontal="center"/>
    </xf>
    <xf numFmtId="0" fontId="24" fillId="4" borderId="1" xfId="0" applyFont="1" applyFill="1" applyBorder="1" applyAlignment="1">
      <alignment horizontal="center"/>
    </xf>
    <xf numFmtId="0" fontId="24" fillId="4" borderId="1" xfId="0" applyFont="1" applyFill="1" applyBorder="1"/>
    <xf numFmtId="0" fontId="24" fillId="0" borderId="0" xfId="0" applyFont="1" applyAlignment="1">
      <alignment horizontal="center"/>
    </xf>
    <xf numFmtId="0" fontId="23" fillId="0" borderId="0" xfId="0" applyFont="1"/>
    <xf numFmtId="0" fontId="23" fillId="0" borderId="2" xfId="0" applyFont="1" applyBorder="1" applyAlignment="1">
      <alignment horizontal="center"/>
    </xf>
    <xf numFmtId="0" fontId="24" fillId="0" borderId="2" xfId="0" applyFont="1" applyBorder="1" applyAlignment="1">
      <alignment horizontal="center"/>
    </xf>
    <xf numFmtId="0" fontId="24" fillId="0" borderId="3" xfId="0" applyFont="1" applyBorder="1" applyAlignment="1">
      <alignment horizontal="center"/>
    </xf>
    <xf numFmtId="0" fontId="23" fillId="0" borderId="3" xfId="0" applyFont="1" applyBorder="1" applyAlignment="1">
      <alignment horizontal="center"/>
    </xf>
    <xf numFmtId="0" fontId="23" fillId="0" borderId="18" xfId="0" applyFont="1" applyBorder="1" applyAlignment="1">
      <alignment horizontal="center"/>
    </xf>
    <xf numFmtId="0" fontId="23" fillId="0" borderId="19" xfId="0" applyFont="1" applyBorder="1" applyAlignment="1">
      <alignment horizontal="center"/>
    </xf>
    <xf numFmtId="0" fontId="25" fillId="0" borderId="0" xfId="0" applyFont="1"/>
    <xf numFmtId="0" fontId="4" fillId="0" borderId="2" xfId="0" applyFont="1" applyBorder="1" applyAlignment="1">
      <alignment horizontal="center"/>
    </xf>
    <xf numFmtId="0" fontId="22" fillId="5" borderId="1" xfId="0" applyFont="1" applyFill="1" applyBorder="1" applyAlignment="1">
      <alignment horizontal="center"/>
    </xf>
    <xf numFmtId="0" fontId="21" fillId="0" borderId="0" xfId="0" applyFont="1"/>
    <xf numFmtId="0" fontId="26" fillId="0" borderId="0" xfId="0" applyFont="1"/>
    <xf numFmtId="0" fontId="27" fillId="0" borderId="0" xfId="0" applyFont="1"/>
    <xf numFmtId="0" fontId="29" fillId="0" borderId="0" xfId="0" applyFont="1"/>
    <xf numFmtId="164" fontId="14" fillId="0" borderId="0" xfId="0" applyNumberFormat="1" applyFont="1" applyAlignment="1">
      <alignment horizontal="right"/>
    </xf>
    <xf numFmtId="164" fontId="0" fillId="0" borderId="0" xfId="0" applyNumberFormat="1"/>
    <xf numFmtId="0" fontId="0" fillId="0" borderId="0" xfId="0" applyAlignment="1">
      <alignment horizontal="right"/>
    </xf>
    <xf numFmtId="0" fontId="4" fillId="0" borderId="0" xfId="0" applyFont="1" applyAlignment="1">
      <alignment horizontal="left"/>
    </xf>
    <xf numFmtId="0" fontId="2" fillId="0" borderId="0" xfId="0" applyFont="1" applyAlignment="1">
      <alignment horizontal="left"/>
    </xf>
    <xf numFmtId="0" fontId="0" fillId="0" borderId="0" xfId="0" applyAlignment="1">
      <alignment horizontal="left"/>
    </xf>
    <xf numFmtId="0" fontId="4" fillId="0" borderId="15" xfId="0" applyFont="1" applyBorder="1"/>
    <xf numFmtId="0" fontId="9" fillId="0" borderId="16" xfId="0" applyFont="1" applyBorder="1"/>
    <xf numFmtId="0" fontId="9" fillId="0" borderId="17" xfId="0" applyFont="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01"/>
  <sheetViews>
    <sheetView tabSelected="1" workbookViewId="0">
      <pane xSplit="1" ySplit="1" topLeftCell="B11" activePane="bottomRight" state="frozen"/>
      <selection pane="topRight" activeCell="B1" sqref="B1"/>
      <selection pane="bottomLeft" activeCell="A2" sqref="A2"/>
      <selection pane="bottomRight" activeCell="C1" sqref="C1"/>
    </sheetView>
  </sheetViews>
  <sheetFormatPr baseColWidth="10" defaultColWidth="12.5" defaultRowHeight="15" customHeight="1" x14ac:dyDescent="0.15"/>
  <cols>
    <col min="1" max="1" width="26.5" customWidth="1"/>
    <col min="2" max="2" width="34.5" customWidth="1"/>
    <col min="3" max="3" width="27.1640625" customWidth="1"/>
    <col min="7" max="7" width="49.1640625" customWidth="1"/>
  </cols>
  <sheetData>
    <row r="1" spans="1:20" ht="153.75" customHeight="1" x14ac:dyDescent="0.2">
      <c r="A1" s="1" t="s">
        <v>0</v>
      </c>
      <c r="B1" s="1" t="s">
        <v>1</v>
      </c>
      <c r="C1" s="68" t="s">
        <v>418</v>
      </c>
      <c r="D1" s="2" t="s">
        <v>206</v>
      </c>
      <c r="E1" s="2" t="s">
        <v>1321</v>
      </c>
      <c r="F1" s="2" t="s">
        <v>207</v>
      </c>
      <c r="G1" s="2" t="s">
        <v>1317</v>
      </c>
      <c r="H1" s="2" t="s">
        <v>1318</v>
      </c>
      <c r="I1" s="3"/>
      <c r="J1" s="3"/>
      <c r="K1" s="3"/>
      <c r="L1" s="3"/>
      <c r="M1" s="3"/>
      <c r="N1" s="3"/>
      <c r="O1" s="3"/>
      <c r="P1" s="3"/>
      <c r="Q1" s="3"/>
      <c r="R1" s="3"/>
      <c r="S1" s="3"/>
      <c r="T1" s="3"/>
    </row>
    <row r="2" spans="1:20" ht="15.75" customHeight="1" x14ac:dyDescent="0.2">
      <c r="A2" s="4" t="s">
        <v>2</v>
      </c>
      <c r="B2" s="4" t="s">
        <v>3</v>
      </c>
      <c r="C2" s="4" t="s">
        <v>4</v>
      </c>
      <c r="D2" s="5" t="s">
        <v>4</v>
      </c>
      <c r="E2" s="5" t="s">
        <v>4</v>
      </c>
      <c r="F2" s="5" t="s">
        <v>4</v>
      </c>
      <c r="G2" s="93" t="s">
        <v>1258</v>
      </c>
      <c r="H2" s="93" t="s">
        <v>1257</v>
      </c>
      <c r="I2" s="3"/>
      <c r="J2" s="3"/>
      <c r="K2" s="3"/>
      <c r="L2" s="3"/>
      <c r="M2" s="3"/>
      <c r="N2" s="3"/>
      <c r="O2" s="3"/>
      <c r="P2" s="3"/>
      <c r="Q2" s="3"/>
      <c r="R2" s="3"/>
      <c r="S2" s="3"/>
      <c r="T2" s="3"/>
    </row>
    <row r="3" spans="1:20" ht="15.75" customHeight="1" x14ac:dyDescent="0.2">
      <c r="A3" s="4" t="s">
        <v>5</v>
      </c>
      <c r="B3" s="4" t="s">
        <v>3</v>
      </c>
      <c r="C3" s="4" t="s">
        <v>4</v>
      </c>
      <c r="D3" s="5" t="s">
        <v>6</v>
      </c>
      <c r="E3" s="5" t="s">
        <v>6</v>
      </c>
      <c r="F3" s="5" t="s">
        <v>4</v>
      </c>
      <c r="G3" s="93" t="s">
        <v>1218</v>
      </c>
      <c r="H3" s="93" t="s">
        <v>1217</v>
      </c>
      <c r="I3" s="3"/>
      <c r="J3" s="3"/>
      <c r="K3" s="3"/>
      <c r="L3" s="3"/>
      <c r="M3" s="3"/>
      <c r="N3" s="3"/>
      <c r="O3" s="3"/>
      <c r="P3" s="3"/>
      <c r="Q3" s="3"/>
      <c r="R3" s="3"/>
      <c r="S3" s="3"/>
      <c r="T3" s="3"/>
    </row>
    <row r="4" spans="1:20" ht="15.75" customHeight="1" x14ac:dyDescent="0.2">
      <c r="A4" s="4" t="s">
        <v>7</v>
      </c>
      <c r="B4" s="4" t="s">
        <v>3</v>
      </c>
      <c r="C4" s="4" t="s">
        <v>6</v>
      </c>
      <c r="D4" s="5" t="s">
        <v>6</v>
      </c>
      <c r="E4" s="5" t="s">
        <v>6</v>
      </c>
      <c r="F4" s="5" t="s">
        <v>6</v>
      </c>
      <c r="G4" s="93" t="s">
        <v>1286</v>
      </c>
      <c r="H4" s="93" t="s">
        <v>1285</v>
      </c>
      <c r="I4" s="3"/>
      <c r="J4" s="3"/>
      <c r="K4" s="3"/>
      <c r="L4" s="3"/>
      <c r="M4" s="3"/>
      <c r="N4" s="3"/>
      <c r="O4" s="3"/>
      <c r="P4" s="3"/>
      <c r="Q4" s="3"/>
      <c r="R4" s="3"/>
      <c r="S4" s="3"/>
      <c r="T4" s="3"/>
    </row>
    <row r="5" spans="1:20" ht="15.75" customHeight="1" x14ac:dyDescent="0.2">
      <c r="A5" s="4" t="s">
        <v>8</v>
      </c>
      <c r="B5" s="4" t="s">
        <v>3</v>
      </c>
      <c r="C5" s="4" t="s">
        <v>4</v>
      </c>
      <c r="D5" s="5" t="s">
        <v>4</v>
      </c>
      <c r="E5" s="5" t="s">
        <v>4</v>
      </c>
      <c r="F5" s="5" t="s">
        <v>4</v>
      </c>
      <c r="G5" s="93" t="s">
        <v>1298</v>
      </c>
      <c r="H5" s="93" t="s">
        <v>1297</v>
      </c>
      <c r="I5" s="3"/>
      <c r="J5" s="3"/>
      <c r="K5" s="3"/>
      <c r="L5" s="3"/>
      <c r="M5" s="3"/>
      <c r="N5" s="3"/>
      <c r="O5" s="3"/>
      <c r="P5" s="3"/>
      <c r="Q5" s="3"/>
      <c r="R5" s="3"/>
      <c r="S5" s="3"/>
      <c r="T5" s="3"/>
    </row>
    <row r="6" spans="1:20" ht="15.75" customHeight="1" x14ac:dyDescent="0.2">
      <c r="A6" s="4" t="s">
        <v>9</v>
      </c>
      <c r="B6" s="4" t="s">
        <v>3</v>
      </c>
      <c r="C6" s="4" t="s">
        <v>4</v>
      </c>
      <c r="D6" s="5" t="s">
        <v>6</v>
      </c>
      <c r="E6" s="5" t="s">
        <v>4</v>
      </c>
      <c r="F6" s="5" t="s">
        <v>4</v>
      </c>
      <c r="G6" s="93" t="s">
        <v>1222</v>
      </c>
      <c r="H6" s="93" t="s">
        <v>1221</v>
      </c>
      <c r="I6" s="3"/>
      <c r="J6" s="3"/>
      <c r="K6" s="3"/>
      <c r="L6" s="3"/>
      <c r="M6" s="3"/>
      <c r="N6" s="3"/>
      <c r="O6" s="3"/>
      <c r="P6" s="3"/>
      <c r="Q6" s="3"/>
      <c r="R6" s="3"/>
      <c r="S6" s="3"/>
      <c r="T6" s="3"/>
    </row>
    <row r="7" spans="1:20" ht="15.75" customHeight="1" x14ac:dyDescent="0.2">
      <c r="A7" s="4" t="s">
        <v>10</v>
      </c>
      <c r="B7" s="4" t="s">
        <v>3</v>
      </c>
      <c r="C7" s="4" t="s">
        <v>6</v>
      </c>
      <c r="D7" s="5" t="s">
        <v>6</v>
      </c>
      <c r="E7" s="5" t="s">
        <v>6</v>
      </c>
      <c r="F7" s="5" t="s">
        <v>6</v>
      </c>
      <c r="G7" s="93" t="s">
        <v>1300</v>
      </c>
      <c r="H7" s="93" t="s">
        <v>1299</v>
      </c>
      <c r="I7" s="3"/>
      <c r="J7" s="3"/>
      <c r="K7" s="3"/>
      <c r="L7" s="3"/>
      <c r="M7" s="3"/>
      <c r="N7" s="3"/>
      <c r="O7" s="3"/>
      <c r="P7" s="3"/>
      <c r="Q7" s="3"/>
      <c r="R7" s="3"/>
      <c r="S7" s="3"/>
      <c r="T7" s="3"/>
    </row>
    <row r="8" spans="1:20" ht="15.75" customHeight="1" x14ac:dyDescent="0.2">
      <c r="A8" s="4" t="s">
        <v>11</v>
      </c>
      <c r="B8" s="4" t="s">
        <v>3</v>
      </c>
      <c r="C8" s="4" t="s">
        <v>4</v>
      </c>
      <c r="D8" s="5" t="s">
        <v>6</v>
      </c>
      <c r="E8" s="5" t="s">
        <v>4</v>
      </c>
      <c r="F8" s="5" t="s">
        <v>4</v>
      </c>
      <c r="G8" s="93" t="s">
        <v>1242</v>
      </c>
      <c r="H8" s="93" t="s">
        <v>1241</v>
      </c>
      <c r="I8" s="3"/>
      <c r="J8" s="3"/>
      <c r="K8" s="3"/>
      <c r="L8" s="3"/>
      <c r="M8" s="3"/>
      <c r="N8" s="3"/>
      <c r="O8" s="3"/>
      <c r="P8" s="3"/>
      <c r="Q8" s="3"/>
      <c r="R8" s="3"/>
      <c r="S8" s="3"/>
      <c r="T8" s="3"/>
    </row>
    <row r="9" spans="1:20" ht="15.75" customHeight="1" x14ac:dyDescent="0.2">
      <c r="A9" s="4" t="s">
        <v>12</v>
      </c>
      <c r="B9" s="4" t="s">
        <v>3</v>
      </c>
      <c r="C9" s="4" t="s">
        <v>6</v>
      </c>
      <c r="D9" s="5" t="s">
        <v>6</v>
      </c>
      <c r="E9" s="5" t="s">
        <v>6</v>
      </c>
      <c r="F9" s="5" t="s">
        <v>6</v>
      </c>
      <c r="G9" s="93" t="s">
        <v>1248</v>
      </c>
      <c r="H9" s="93" t="s">
        <v>1247</v>
      </c>
      <c r="I9" s="3"/>
      <c r="J9" s="3"/>
      <c r="K9" s="3"/>
      <c r="L9" s="3"/>
      <c r="M9" s="3"/>
      <c r="N9" s="3"/>
      <c r="O9" s="3"/>
      <c r="P9" s="3"/>
      <c r="Q9" s="3"/>
      <c r="R9" s="3"/>
      <c r="S9" s="3"/>
      <c r="T9" s="3"/>
    </row>
    <row r="10" spans="1:20" ht="15.75" customHeight="1" x14ac:dyDescent="0.2">
      <c r="A10" s="4" t="s">
        <v>13</v>
      </c>
      <c r="B10" s="4" t="s">
        <v>3</v>
      </c>
      <c r="C10" s="4" t="s">
        <v>4</v>
      </c>
      <c r="D10" s="5" t="s">
        <v>6</v>
      </c>
      <c r="E10" s="5" t="s">
        <v>6</v>
      </c>
      <c r="F10" s="5" t="s">
        <v>6</v>
      </c>
      <c r="G10" s="93" t="s">
        <v>1238</v>
      </c>
      <c r="H10" s="93" t="s">
        <v>1237</v>
      </c>
      <c r="I10" s="3"/>
      <c r="J10" s="3"/>
      <c r="K10" s="3"/>
      <c r="L10" s="3"/>
      <c r="M10" s="3"/>
      <c r="N10" s="3"/>
      <c r="O10" s="3"/>
      <c r="P10" s="3"/>
      <c r="Q10" s="3"/>
      <c r="R10" s="3"/>
      <c r="S10" s="3"/>
      <c r="T10" s="3"/>
    </row>
    <row r="11" spans="1:20" ht="15.75" customHeight="1" x14ac:dyDescent="0.2">
      <c r="A11" s="4" t="s">
        <v>14</v>
      </c>
      <c r="B11" s="4" t="s">
        <v>3</v>
      </c>
      <c r="C11" s="4" t="s">
        <v>4</v>
      </c>
      <c r="D11" s="5" t="s">
        <v>6</v>
      </c>
      <c r="E11" s="5" t="s">
        <v>4</v>
      </c>
      <c r="F11" s="5" t="s">
        <v>4</v>
      </c>
      <c r="G11" s="93" t="s">
        <v>1314</v>
      </c>
      <c r="H11" s="93" t="s">
        <v>1313</v>
      </c>
      <c r="I11" s="3"/>
      <c r="J11" s="3"/>
      <c r="K11" s="3"/>
      <c r="L11" s="3"/>
      <c r="M11" s="3"/>
      <c r="N11" s="3"/>
      <c r="O11" s="3"/>
      <c r="P11" s="3"/>
      <c r="Q11" s="3"/>
      <c r="R11" s="3"/>
      <c r="S11" s="3"/>
      <c r="T11" s="3"/>
    </row>
    <row r="12" spans="1:20" ht="15.75" customHeight="1" x14ac:dyDescent="0.2">
      <c r="A12" s="4" t="s">
        <v>15</v>
      </c>
      <c r="B12" s="4" t="s">
        <v>3</v>
      </c>
      <c r="C12" s="4" t="s">
        <v>4</v>
      </c>
      <c r="D12" s="5" t="s">
        <v>4</v>
      </c>
      <c r="E12" s="5" t="s">
        <v>4</v>
      </c>
      <c r="F12" s="5" t="s">
        <v>4</v>
      </c>
      <c r="G12" s="93" t="s">
        <v>1252</v>
      </c>
      <c r="H12" s="93" t="s">
        <v>1251</v>
      </c>
      <c r="I12" s="3"/>
      <c r="J12" s="3"/>
      <c r="K12" s="3"/>
      <c r="L12" s="3"/>
      <c r="M12" s="3"/>
      <c r="N12" s="3"/>
      <c r="O12" s="3"/>
      <c r="P12" s="3"/>
      <c r="Q12" s="3"/>
      <c r="R12" s="3"/>
      <c r="S12" s="3"/>
      <c r="T12" s="3"/>
    </row>
    <row r="13" spans="1:20" ht="15.75" customHeight="1" x14ac:dyDescent="0.2">
      <c r="A13" s="4" t="s">
        <v>16</v>
      </c>
      <c r="B13" s="4" t="s">
        <v>3</v>
      </c>
      <c r="C13" s="4" t="s">
        <v>6</v>
      </c>
      <c r="D13" s="5" t="s">
        <v>4</v>
      </c>
      <c r="E13" s="5" t="s">
        <v>4</v>
      </c>
      <c r="F13" s="5" t="s">
        <v>4</v>
      </c>
      <c r="G13" s="93" t="s">
        <v>1210</v>
      </c>
      <c r="H13" s="93" t="s">
        <v>1209</v>
      </c>
      <c r="I13" s="3"/>
      <c r="J13" s="3"/>
      <c r="K13" s="3"/>
      <c r="L13" s="3"/>
      <c r="M13" s="3"/>
      <c r="N13" s="3"/>
      <c r="O13" s="3"/>
      <c r="P13" s="3"/>
      <c r="Q13" s="3"/>
      <c r="R13" s="3"/>
      <c r="S13" s="3"/>
      <c r="T13" s="3"/>
    </row>
    <row r="14" spans="1:20" ht="15.75" customHeight="1" x14ac:dyDescent="0.2">
      <c r="A14" s="4" t="s">
        <v>17</v>
      </c>
      <c r="B14" s="4" t="s">
        <v>3</v>
      </c>
      <c r="C14" s="4" t="s">
        <v>4</v>
      </c>
      <c r="D14" s="5" t="s">
        <v>4</v>
      </c>
      <c r="E14" s="5" t="s">
        <v>4</v>
      </c>
      <c r="F14" s="5" t="s">
        <v>4</v>
      </c>
      <c r="G14" s="93" t="s">
        <v>1216</v>
      </c>
      <c r="H14" s="93" t="s">
        <v>1215</v>
      </c>
      <c r="I14" s="3"/>
      <c r="J14" s="3"/>
      <c r="K14" s="3"/>
      <c r="L14" s="3"/>
      <c r="M14" s="3"/>
      <c r="N14" s="3"/>
      <c r="O14" s="3"/>
      <c r="P14" s="3"/>
      <c r="Q14" s="3"/>
      <c r="R14" s="3"/>
      <c r="S14" s="3"/>
      <c r="T14" s="3"/>
    </row>
    <row r="15" spans="1:20" ht="15.75" customHeight="1" x14ac:dyDescent="0.2">
      <c r="A15" s="4" t="s">
        <v>18</v>
      </c>
      <c r="B15" s="4" t="s">
        <v>3</v>
      </c>
      <c r="C15" s="4" t="s">
        <v>6</v>
      </c>
      <c r="D15" s="5" t="s">
        <v>6</v>
      </c>
      <c r="E15" s="5" t="s">
        <v>6</v>
      </c>
      <c r="F15" s="5" t="s">
        <v>4</v>
      </c>
      <c r="G15" s="93" t="s">
        <v>1264</v>
      </c>
      <c r="H15" s="93" t="s">
        <v>1263</v>
      </c>
      <c r="I15" s="3"/>
      <c r="J15" s="3"/>
      <c r="K15" s="3"/>
      <c r="L15" s="3"/>
      <c r="M15" s="3"/>
      <c r="N15" s="3"/>
      <c r="O15" s="3"/>
      <c r="P15" s="3"/>
      <c r="Q15" s="3"/>
      <c r="R15" s="3"/>
      <c r="S15" s="3"/>
      <c r="T15" s="3"/>
    </row>
    <row r="16" spans="1:20" ht="15.75" customHeight="1" x14ac:dyDescent="0.2">
      <c r="A16" s="4" t="s">
        <v>19</v>
      </c>
      <c r="B16" s="4" t="s">
        <v>3</v>
      </c>
      <c r="C16" s="4" t="s">
        <v>6</v>
      </c>
      <c r="D16" s="5" t="s">
        <v>6</v>
      </c>
      <c r="E16" s="5" t="s">
        <v>6</v>
      </c>
      <c r="F16" s="5" t="s">
        <v>6</v>
      </c>
      <c r="G16" s="93" t="s">
        <v>1208</v>
      </c>
      <c r="H16" s="93" t="s">
        <v>1207</v>
      </c>
      <c r="I16" s="3"/>
      <c r="J16" s="3"/>
      <c r="K16" s="3"/>
      <c r="L16" s="3"/>
      <c r="M16" s="3"/>
      <c r="N16" s="3"/>
      <c r="O16" s="3"/>
      <c r="P16" s="3"/>
      <c r="Q16" s="3"/>
      <c r="R16" s="3"/>
      <c r="S16" s="3"/>
      <c r="T16" s="3"/>
    </row>
    <row r="17" spans="1:20" ht="15.75" customHeight="1" x14ac:dyDescent="0.2">
      <c r="A17" s="4" t="s">
        <v>20</v>
      </c>
      <c r="B17" s="4" t="s">
        <v>3</v>
      </c>
      <c r="C17" s="4" t="s">
        <v>6</v>
      </c>
      <c r="D17" s="5" t="s">
        <v>6</v>
      </c>
      <c r="E17" s="5" t="s">
        <v>6</v>
      </c>
      <c r="F17" s="5" t="s">
        <v>6</v>
      </c>
      <c r="G17" s="93" t="s">
        <v>1266</v>
      </c>
      <c r="H17" s="93" t="s">
        <v>1265</v>
      </c>
      <c r="I17" s="3"/>
      <c r="J17" s="3"/>
      <c r="K17" s="3"/>
      <c r="L17" s="3"/>
      <c r="M17" s="3"/>
      <c r="N17" s="3"/>
      <c r="O17" s="3"/>
      <c r="P17" s="3"/>
      <c r="Q17" s="3"/>
      <c r="R17" s="3"/>
      <c r="S17" s="3"/>
      <c r="T17" s="3"/>
    </row>
    <row r="18" spans="1:20" ht="15.75" customHeight="1" x14ac:dyDescent="0.2">
      <c r="A18" s="4" t="s">
        <v>21</v>
      </c>
      <c r="B18" s="4" t="s">
        <v>3</v>
      </c>
      <c r="C18" s="4" t="s">
        <v>6</v>
      </c>
      <c r="D18" s="5" t="s">
        <v>4</v>
      </c>
      <c r="E18" s="5" t="s">
        <v>4</v>
      </c>
      <c r="F18" s="5" t="s">
        <v>4</v>
      </c>
      <c r="G18" s="93" t="s">
        <v>1214</v>
      </c>
      <c r="H18" s="93" t="s">
        <v>1213</v>
      </c>
      <c r="I18" s="3"/>
      <c r="J18" s="3"/>
      <c r="K18" s="3"/>
      <c r="L18" s="3"/>
      <c r="M18" s="3"/>
      <c r="N18" s="3"/>
      <c r="O18" s="3"/>
      <c r="P18" s="3"/>
      <c r="Q18" s="3"/>
      <c r="R18" s="3"/>
      <c r="S18" s="3"/>
      <c r="T18" s="3"/>
    </row>
    <row r="19" spans="1:20" ht="15.75" customHeight="1" x14ac:dyDescent="0.2">
      <c r="A19" s="6" t="s">
        <v>22</v>
      </c>
      <c r="B19" s="6" t="s">
        <v>3</v>
      </c>
      <c r="C19" s="6" t="s">
        <v>6</v>
      </c>
      <c r="D19" s="7" t="s">
        <v>6</v>
      </c>
      <c r="E19" s="7" t="s">
        <v>6</v>
      </c>
      <c r="F19" s="7" t="s">
        <v>6</v>
      </c>
      <c r="G19" s="93" t="s">
        <v>1256</v>
      </c>
      <c r="H19" s="93" t="s">
        <v>1255</v>
      </c>
      <c r="I19" s="3"/>
      <c r="J19" s="3"/>
      <c r="K19" s="3"/>
      <c r="L19" s="3"/>
      <c r="M19" s="3"/>
      <c r="N19" s="3"/>
      <c r="O19" s="3"/>
      <c r="P19" s="3"/>
      <c r="Q19" s="3"/>
      <c r="R19" s="3"/>
      <c r="S19" s="3"/>
      <c r="T19" s="3"/>
    </row>
    <row r="20" spans="1:20" ht="15.75" customHeight="1" x14ac:dyDescent="0.2">
      <c r="A20" s="8">
        <v>1201</v>
      </c>
      <c r="B20" s="8" t="s">
        <v>23</v>
      </c>
      <c r="C20" s="8" t="s">
        <v>4</v>
      </c>
      <c r="D20" s="9" t="s">
        <v>6</v>
      </c>
      <c r="E20" s="9" t="s">
        <v>4</v>
      </c>
      <c r="F20" s="9" t="s">
        <v>4</v>
      </c>
      <c r="G20" s="93" t="s">
        <v>480</v>
      </c>
      <c r="H20" s="93" t="s">
        <v>479</v>
      </c>
      <c r="I20" s="3"/>
      <c r="J20" s="3"/>
      <c r="K20" s="3"/>
      <c r="L20" s="3"/>
      <c r="M20" s="3"/>
      <c r="N20" s="3"/>
      <c r="O20" s="3"/>
      <c r="P20" s="3"/>
      <c r="Q20" s="3"/>
      <c r="R20" s="3"/>
      <c r="S20" s="3"/>
      <c r="T20" s="3"/>
    </row>
    <row r="21" spans="1:20" ht="15.75" customHeight="1" x14ac:dyDescent="0.2">
      <c r="A21" s="4">
        <v>4798</v>
      </c>
      <c r="B21" s="4" t="s">
        <v>23</v>
      </c>
      <c r="C21" s="4" t="s">
        <v>4</v>
      </c>
      <c r="D21" s="5" t="s">
        <v>6</v>
      </c>
      <c r="E21" s="5" t="s">
        <v>6</v>
      </c>
      <c r="F21" s="5" t="s">
        <v>4</v>
      </c>
      <c r="G21" s="93" t="s">
        <v>584</v>
      </c>
      <c r="H21" s="93" t="s">
        <v>583</v>
      </c>
      <c r="I21" s="3"/>
      <c r="J21" s="3"/>
      <c r="K21" s="3"/>
      <c r="L21" s="3"/>
      <c r="M21" s="3"/>
      <c r="N21" s="3"/>
      <c r="O21" s="3"/>
      <c r="P21" s="3"/>
      <c r="Q21" s="3"/>
      <c r="R21" s="3"/>
      <c r="S21" s="3"/>
      <c r="T21" s="3"/>
    </row>
    <row r="22" spans="1:20" ht="15.75" customHeight="1" x14ac:dyDescent="0.2">
      <c r="A22" s="4">
        <v>1432</v>
      </c>
      <c r="B22" s="4" t="s">
        <v>23</v>
      </c>
      <c r="C22" s="4" t="s">
        <v>4</v>
      </c>
      <c r="D22" s="5" t="s">
        <v>6</v>
      </c>
      <c r="E22" s="5" t="s">
        <v>4</v>
      </c>
      <c r="F22" s="5" t="s">
        <v>4</v>
      </c>
      <c r="G22" s="93" t="s">
        <v>494</v>
      </c>
      <c r="H22" s="93" t="s">
        <v>493</v>
      </c>
      <c r="I22" s="3"/>
      <c r="J22" s="3"/>
      <c r="K22" s="3"/>
      <c r="L22" s="3"/>
      <c r="M22" s="3"/>
      <c r="N22" s="3"/>
      <c r="O22" s="3"/>
      <c r="P22" s="3"/>
      <c r="Q22" s="3"/>
      <c r="R22" s="3"/>
      <c r="S22" s="3"/>
      <c r="T22" s="3"/>
    </row>
    <row r="23" spans="1:20" ht="15.75" customHeight="1" x14ac:dyDescent="0.2">
      <c r="A23" s="4">
        <v>4803</v>
      </c>
      <c r="B23" s="4" t="s">
        <v>23</v>
      </c>
      <c r="C23" s="4" t="s">
        <v>4</v>
      </c>
      <c r="D23" s="5" t="s">
        <v>4</v>
      </c>
      <c r="E23" s="5" t="s">
        <v>4</v>
      </c>
      <c r="F23" s="5" t="s">
        <v>4</v>
      </c>
      <c r="G23" s="93" t="s">
        <v>586</v>
      </c>
      <c r="H23" s="93" t="s">
        <v>585</v>
      </c>
      <c r="I23" s="3"/>
      <c r="J23" s="3"/>
      <c r="K23" s="3"/>
      <c r="L23" s="3"/>
      <c r="M23" s="3"/>
      <c r="N23" s="3"/>
      <c r="O23" s="3"/>
      <c r="P23" s="3"/>
      <c r="Q23" s="3"/>
      <c r="R23" s="3"/>
      <c r="S23" s="3"/>
      <c r="T23" s="3"/>
    </row>
    <row r="24" spans="1:20" ht="15.75" customHeight="1" x14ac:dyDescent="0.2">
      <c r="A24" s="4">
        <v>1949</v>
      </c>
      <c r="B24" s="4" t="s">
        <v>23</v>
      </c>
      <c r="C24" s="4" t="s">
        <v>4</v>
      </c>
      <c r="D24" s="5" t="s">
        <v>6</v>
      </c>
      <c r="E24" s="5" t="s">
        <v>4</v>
      </c>
      <c r="F24" s="5" t="s">
        <v>4</v>
      </c>
      <c r="G24" s="93" t="s">
        <v>514</v>
      </c>
      <c r="H24" s="93" t="s">
        <v>513</v>
      </c>
      <c r="I24" s="3"/>
      <c r="J24" s="3"/>
      <c r="K24" s="3"/>
      <c r="L24" s="3"/>
      <c r="M24" s="3"/>
      <c r="N24" s="3"/>
      <c r="O24" s="3"/>
      <c r="P24" s="3"/>
      <c r="Q24" s="3"/>
      <c r="R24" s="3"/>
      <c r="S24" s="3"/>
      <c r="T24" s="3"/>
    </row>
    <row r="25" spans="1:20" ht="15.75" customHeight="1" x14ac:dyDescent="0.2">
      <c r="A25" s="4">
        <v>2417</v>
      </c>
      <c r="B25" s="4" t="s">
        <v>23</v>
      </c>
      <c r="C25" s="4" t="s">
        <v>4</v>
      </c>
      <c r="D25" s="5" t="s">
        <v>4</v>
      </c>
      <c r="E25" s="5" t="s">
        <v>4</v>
      </c>
      <c r="F25" s="5" t="s">
        <v>4</v>
      </c>
      <c r="G25" s="93" t="s">
        <v>524</v>
      </c>
      <c r="H25" s="93" t="s">
        <v>523</v>
      </c>
      <c r="I25" s="3"/>
      <c r="J25" s="3"/>
      <c r="K25" s="3"/>
      <c r="L25" s="3"/>
      <c r="M25" s="3"/>
      <c r="N25" s="3"/>
      <c r="O25" s="3"/>
      <c r="P25" s="3"/>
      <c r="Q25" s="3"/>
      <c r="R25" s="3"/>
      <c r="S25" s="3"/>
      <c r="T25" s="3"/>
    </row>
    <row r="26" spans="1:20" ht="15.75" customHeight="1" x14ac:dyDescent="0.2">
      <c r="A26" s="4">
        <v>187</v>
      </c>
      <c r="B26" s="4" t="s">
        <v>23</v>
      </c>
      <c r="C26" s="4" t="s">
        <v>4</v>
      </c>
      <c r="D26" s="5" t="s">
        <v>4</v>
      </c>
      <c r="E26" s="5" t="s">
        <v>4</v>
      </c>
      <c r="F26" s="5" t="s">
        <v>4</v>
      </c>
      <c r="G26" s="93" t="s">
        <v>448</v>
      </c>
      <c r="H26" s="93" t="s">
        <v>447</v>
      </c>
      <c r="I26" s="3"/>
      <c r="J26" s="3"/>
      <c r="K26" s="3"/>
      <c r="L26" s="3"/>
      <c r="M26" s="3"/>
      <c r="N26" s="3"/>
      <c r="O26" s="3"/>
      <c r="P26" s="3"/>
      <c r="Q26" s="3"/>
      <c r="R26" s="3"/>
      <c r="S26" s="3"/>
      <c r="T26" s="3"/>
    </row>
    <row r="27" spans="1:20" ht="15.75" customHeight="1" x14ac:dyDescent="0.2">
      <c r="A27" s="4">
        <v>2931</v>
      </c>
      <c r="B27" s="4" t="s">
        <v>23</v>
      </c>
      <c r="C27" s="4" t="s">
        <v>4</v>
      </c>
      <c r="D27" s="5" t="s">
        <v>6</v>
      </c>
      <c r="E27" s="5" t="s">
        <v>6</v>
      </c>
      <c r="F27" s="5" t="s">
        <v>6</v>
      </c>
      <c r="G27" s="93" t="s">
        <v>548</v>
      </c>
      <c r="H27" s="93" t="s">
        <v>547</v>
      </c>
      <c r="I27" s="3"/>
      <c r="J27" s="3"/>
      <c r="K27" s="3"/>
      <c r="L27" s="3"/>
      <c r="M27" s="3"/>
      <c r="N27" s="3"/>
      <c r="O27" s="3"/>
      <c r="P27" s="3"/>
      <c r="Q27" s="3"/>
      <c r="R27" s="3"/>
      <c r="S27" s="3"/>
      <c r="T27" s="3"/>
    </row>
    <row r="28" spans="1:20" ht="15.75" customHeight="1" x14ac:dyDescent="0.2">
      <c r="A28" s="4">
        <v>1505</v>
      </c>
      <c r="B28" s="4" t="s">
        <v>23</v>
      </c>
      <c r="C28" s="4" t="s">
        <v>4</v>
      </c>
      <c r="D28" s="5" t="s">
        <v>6</v>
      </c>
      <c r="E28" s="5" t="s">
        <v>4</v>
      </c>
      <c r="F28" s="5" t="s">
        <v>4</v>
      </c>
      <c r="G28" s="93" t="s">
        <v>496</v>
      </c>
      <c r="H28" s="93" t="s">
        <v>495</v>
      </c>
      <c r="I28" s="3"/>
      <c r="J28" s="3"/>
      <c r="K28" s="3"/>
      <c r="L28" s="3"/>
      <c r="M28" s="3"/>
      <c r="N28" s="3"/>
      <c r="O28" s="3"/>
      <c r="P28" s="3"/>
      <c r="Q28" s="3"/>
      <c r="R28" s="3"/>
      <c r="S28" s="3"/>
      <c r="T28" s="3"/>
    </row>
    <row r="29" spans="1:20" ht="15.75" customHeight="1" x14ac:dyDescent="0.2">
      <c r="A29" s="4">
        <v>196</v>
      </c>
      <c r="B29" s="4" t="s">
        <v>23</v>
      </c>
      <c r="C29" s="4" t="s">
        <v>4</v>
      </c>
      <c r="D29" s="5" t="s">
        <v>6</v>
      </c>
      <c r="E29" s="5" t="s">
        <v>4</v>
      </c>
      <c r="F29" s="5" t="s">
        <v>4</v>
      </c>
      <c r="G29" s="93" t="s">
        <v>450</v>
      </c>
      <c r="H29" s="93" t="s">
        <v>449</v>
      </c>
      <c r="I29" s="3"/>
      <c r="J29" s="3"/>
      <c r="K29" s="3"/>
      <c r="L29" s="3"/>
      <c r="M29" s="3"/>
      <c r="N29" s="3"/>
      <c r="O29" s="3"/>
      <c r="P29" s="3"/>
      <c r="Q29" s="3"/>
      <c r="R29" s="3"/>
      <c r="S29" s="3"/>
      <c r="T29" s="3"/>
    </row>
    <row r="30" spans="1:20" ht="15.75" customHeight="1" x14ac:dyDescent="0.2">
      <c r="A30" s="4">
        <v>3209</v>
      </c>
      <c r="B30" s="4" t="s">
        <v>23</v>
      </c>
      <c r="C30" s="4" t="s">
        <v>4</v>
      </c>
      <c r="D30" s="5" t="s">
        <v>4</v>
      </c>
      <c r="E30" s="5" t="s">
        <v>4</v>
      </c>
      <c r="F30" s="5" t="s">
        <v>4</v>
      </c>
      <c r="G30" s="93" t="s">
        <v>552</v>
      </c>
      <c r="H30" s="93" t="s">
        <v>551</v>
      </c>
      <c r="I30" s="3"/>
      <c r="J30" s="3"/>
      <c r="K30" s="3"/>
      <c r="L30" s="3"/>
      <c r="M30" s="3"/>
      <c r="N30" s="3"/>
      <c r="O30" s="3"/>
      <c r="P30" s="3"/>
      <c r="Q30" s="3"/>
      <c r="R30" s="3"/>
      <c r="S30" s="3"/>
      <c r="T30" s="3"/>
    </row>
    <row r="31" spans="1:20" ht="15.75" customHeight="1" x14ac:dyDescent="0.2">
      <c r="A31" s="4">
        <v>2773</v>
      </c>
      <c r="B31" s="4" t="s">
        <v>23</v>
      </c>
      <c r="C31" s="4" t="s">
        <v>4</v>
      </c>
      <c r="D31" s="5" t="s">
        <v>4</v>
      </c>
      <c r="E31" s="5" t="s">
        <v>4</v>
      </c>
      <c r="F31" s="5" t="s">
        <v>4</v>
      </c>
      <c r="G31" s="93" t="s">
        <v>538</v>
      </c>
      <c r="H31" s="93" t="s">
        <v>537</v>
      </c>
      <c r="I31" s="3"/>
      <c r="J31" s="3"/>
      <c r="K31" s="3"/>
      <c r="L31" s="3"/>
      <c r="M31" s="3"/>
      <c r="N31" s="3"/>
      <c r="O31" s="3"/>
      <c r="P31" s="3"/>
      <c r="Q31" s="3"/>
      <c r="R31" s="3"/>
      <c r="S31" s="3"/>
      <c r="T31" s="3"/>
    </row>
    <row r="32" spans="1:20" ht="15.75" customHeight="1" x14ac:dyDescent="0.2">
      <c r="A32" s="4">
        <v>2546</v>
      </c>
      <c r="B32" s="4" t="s">
        <v>23</v>
      </c>
      <c r="C32" s="4" t="s">
        <v>4</v>
      </c>
      <c r="D32" s="5" t="s">
        <v>6</v>
      </c>
      <c r="E32" s="5" t="s">
        <v>4</v>
      </c>
      <c r="F32" s="5" t="s">
        <v>4</v>
      </c>
      <c r="G32" s="93" t="s">
        <v>530</v>
      </c>
      <c r="H32" s="93" t="s">
        <v>529</v>
      </c>
      <c r="I32" s="3"/>
      <c r="J32" s="3"/>
      <c r="K32" s="3"/>
      <c r="L32" s="3"/>
      <c r="M32" s="3"/>
      <c r="N32" s="3"/>
      <c r="O32" s="3"/>
      <c r="P32" s="3"/>
      <c r="Q32" s="3"/>
      <c r="R32" s="3"/>
      <c r="S32" s="3"/>
      <c r="T32" s="3"/>
    </row>
    <row r="33" spans="1:20" ht="15.75" customHeight="1" x14ac:dyDescent="0.2">
      <c r="A33" s="4">
        <v>309</v>
      </c>
      <c r="B33" s="4" t="s">
        <v>23</v>
      </c>
      <c r="C33" s="4" t="s">
        <v>4</v>
      </c>
      <c r="D33" s="5" t="s">
        <v>6</v>
      </c>
      <c r="E33" s="5" t="s">
        <v>4</v>
      </c>
      <c r="F33" s="5" t="s">
        <v>4</v>
      </c>
      <c r="G33" s="93" t="s">
        <v>452</v>
      </c>
      <c r="H33" s="93" t="s">
        <v>451</v>
      </c>
      <c r="I33" s="3"/>
      <c r="J33" s="3"/>
      <c r="K33" s="3"/>
      <c r="L33" s="3"/>
      <c r="M33" s="3"/>
      <c r="N33" s="3"/>
      <c r="O33" s="3"/>
      <c r="P33" s="3"/>
      <c r="Q33" s="3"/>
      <c r="R33" s="3"/>
      <c r="S33" s="3"/>
      <c r="T33" s="3"/>
    </row>
    <row r="34" spans="1:20" ht="15.75" customHeight="1" x14ac:dyDescent="0.2">
      <c r="A34" s="4">
        <v>4242</v>
      </c>
      <c r="B34" s="4" t="s">
        <v>23</v>
      </c>
      <c r="C34" s="4" t="s">
        <v>4</v>
      </c>
      <c r="D34" s="5" t="s">
        <v>6</v>
      </c>
      <c r="E34" s="5" t="s">
        <v>4</v>
      </c>
      <c r="F34" s="5" t="s">
        <v>4</v>
      </c>
      <c r="G34" s="93" t="s">
        <v>566</v>
      </c>
      <c r="H34" s="93" t="s">
        <v>565</v>
      </c>
      <c r="I34" s="3"/>
      <c r="J34" s="3"/>
      <c r="K34" s="3"/>
      <c r="L34" s="3"/>
      <c r="M34" s="3"/>
      <c r="N34" s="3"/>
      <c r="O34" s="3"/>
      <c r="P34" s="3"/>
      <c r="Q34" s="3"/>
      <c r="R34" s="3"/>
      <c r="S34" s="3"/>
      <c r="T34" s="3"/>
    </row>
    <row r="35" spans="1:20" ht="15.75" customHeight="1" x14ac:dyDescent="0.2">
      <c r="A35" s="4">
        <v>4671</v>
      </c>
      <c r="B35" s="4" t="s">
        <v>23</v>
      </c>
      <c r="C35" s="4" t="s">
        <v>4</v>
      </c>
      <c r="D35" s="5" t="s">
        <v>4</v>
      </c>
      <c r="E35" s="5" t="s">
        <v>4</v>
      </c>
      <c r="F35" s="5" t="s">
        <v>4</v>
      </c>
      <c r="G35" s="93" t="s">
        <v>578</v>
      </c>
      <c r="H35" s="93" t="s">
        <v>577</v>
      </c>
      <c r="I35" s="3"/>
      <c r="J35" s="3"/>
      <c r="K35" s="3"/>
      <c r="L35" s="3"/>
      <c r="M35" s="3"/>
      <c r="N35" s="3"/>
      <c r="O35" s="3"/>
      <c r="P35" s="3"/>
      <c r="Q35" s="3"/>
      <c r="R35" s="3"/>
      <c r="S35" s="3"/>
      <c r="T35" s="3"/>
    </row>
    <row r="36" spans="1:20" ht="15.75" customHeight="1" x14ac:dyDescent="0.2">
      <c r="A36" s="4">
        <v>951</v>
      </c>
      <c r="B36" s="4" t="s">
        <v>23</v>
      </c>
      <c r="C36" s="4" t="s">
        <v>4</v>
      </c>
      <c r="D36" s="5" t="s">
        <v>4</v>
      </c>
      <c r="E36" s="5" t="s">
        <v>4</v>
      </c>
      <c r="F36" s="5" t="s">
        <v>4</v>
      </c>
      <c r="G36" s="93" t="s">
        <v>468</v>
      </c>
      <c r="H36" s="93" t="s">
        <v>467</v>
      </c>
      <c r="I36" s="3"/>
      <c r="J36" s="3"/>
      <c r="K36" s="3"/>
      <c r="L36" s="3"/>
      <c r="M36" s="3"/>
      <c r="N36" s="3"/>
      <c r="O36" s="3"/>
      <c r="P36" s="3"/>
      <c r="Q36" s="3"/>
      <c r="R36" s="3"/>
      <c r="S36" s="3"/>
      <c r="T36" s="3"/>
    </row>
    <row r="37" spans="1:20" ht="15.75" customHeight="1" x14ac:dyDescent="0.2">
      <c r="A37" s="6">
        <v>4779</v>
      </c>
      <c r="B37" s="6" t="s">
        <v>23</v>
      </c>
      <c r="C37" s="6" t="s">
        <v>4</v>
      </c>
      <c r="D37" s="7" t="s">
        <v>6</v>
      </c>
      <c r="E37" s="7" t="s">
        <v>6</v>
      </c>
      <c r="F37" s="7" t="s">
        <v>4</v>
      </c>
      <c r="G37" s="93" t="s">
        <v>582</v>
      </c>
      <c r="H37" s="93" t="s">
        <v>581</v>
      </c>
      <c r="I37" s="3"/>
      <c r="J37" s="3"/>
      <c r="K37" s="3"/>
      <c r="L37" s="3"/>
      <c r="M37" s="3"/>
      <c r="N37" s="3"/>
      <c r="O37" s="3"/>
      <c r="P37" s="3"/>
      <c r="Q37" s="3"/>
      <c r="R37" s="3"/>
      <c r="S37" s="3"/>
      <c r="T37" s="3"/>
    </row>
    <row r="38" spans="1:20" ht="15.75" customHeight="1" x14ac:dyDescent="0.2">
      <c r="A38" s="8">
        <v>6318</v>
      </c>
      <c r="B38" s="8" t="s">
        <v>24</v>
      </c>
      <c r="C38" s="8" t="s">
        <v>4</v>
      </c>
      <c r="D38" s="9" t="s">
        <v>4</v>
      </c>
      <c r="E38" s="9" t="s">
        <v>4</v>
      </c>
      <c r="F38" s="9" t="s">
        <v>4</v>
      </c>
      <c r="G38" s="93" t="s">
        <v>614</v>
      </c>
      <c r="H38" s="93" t="s">
        <v>613</v>
      </c>
      <c r="I38" s="3"/>
      <c r="J38" s="3"/>
      <c r="K38" s="3"/>
      <c r="L38" s="3"/>
      <c r="M38" s="3"/>
      <c r="N38" s="3"/>
      <c r="O38" s="3"/>
      <c r="P38" s="3"/>
      <c r="Q38" s="3"/>
      <c r="R38" s="3"/>
      <c r="S38" s="3"/>
      <c r="T38" s="3"/>
    </row>
    <row r="39" spans="1:20" ht="15.75" customHeight="1" x14ac:dyDescent="0.2">
      <c r="A39" s="4">
        <v>3484</v>
      </c>
      <c r="B39" s="4" t="s">
        <v>24</v>
      </c>
      <c r="C39" s="4" t="s">
        <v>4</v>
      </c>
      <c r="D39" s="5" t="s">
        <v>4</v>
      </c>
      <c r="E39" s="5" t="s">
        <v>4</v>
      </c>
      <c r="F39" s="5" t="s">
        <v>4</v>
      </c>
      <c r="G39" s="93" t="s">
        <v>554</v>
      </c>
      <c r="H39" s="93" t="s">
        <v>553</v>
      </c>
      <c r="I39" s="3"/>
      <c r="J39" s="3"/>
      <c r="K39" s="3"/>
      <c r="L39" s="3"/>
      <c r="M39" s="3"/>
      <c r="N39" s="3"/>
      <c r="O39" s="3"/>
      <c r="P39" s="3"/>
      <c r="Q39" s="3"/>
      <c r="R39" s="3"/>
      <c r="S39" s="3"/>
      <c r="T39" s="3"/>
    </row>
    <row r="40" spans="1:20" ht="15.75" customHeight="1" x14ac:dyDescent="0.2">
      <c r="A40" s="4">
        <v>5078</v>
      </c>
      <c r="B40" s="4" t="s">
        <v>24</v>
      </c>
      <c r="C40" s="4" t="s">
        <v>4</v>
      </c>
      <c r="D40" s="5" t="s">
        <v>6</v>
      </c>
      <c r="E40" s="5" t="s">
        <v>4</v>
      </c>
      <c r="F40" s="5" t="s">
        <v>4</v>
      </c>
      <c r="G40" s="93" t="s">
        <v>592</v>
      </c>
      <c r="H40" s="93" t="s">
        <v>591</v>
      </c>
      <c r="I40" s="3"/>
      <c r="J40" s="3"/>
      <c r="K40" s="3"/>
      <c r="L40" s="3"/>
      <c r="M40" s="3"/>
      <c r="N40" s="3"/>
      <c r="O40" s="3"/>
      <c r="P40" s="3"/>
      <c r="Q40" s="3"/>
      <c r="R40" s="3"/>
      <c r="S40" s="3"/>
      <c r="T40" s="3"/>
    </row>
    <row r="41" spans="1:20" ht="15.75" customHeight="1" x14ac:dyDescent="0.2">
      <c r="A41" s="4">
        <v>1358</v>
      </c>
      <c r="B41" s="4" t="s">
        <v>24</v>
      </c>
      <c r="C41" s="4" t="s">
        <v>4</v>
      </c>
      <c r="D41" s="5" t="s">
        <v>6</v>
      </c>
      <c r="E41" s="5" t="s">
        <v>4</v>
      </c>
      <c r="F41" s="5" t="s">
        <v>4</v>
      </c>
      <c r="G41" s="93" t="s">
        <v>488</v>
      </c>
      <c r="H41" s="93" t="s">
        <v>487</v>
      </c>
      <c r="I41" s="3"/>
      <c r="J41" s="3"/>
      <c r="K41" s="3"/>
      <c r="L41" s="3"/>
      <c r="M41" s="3"/>
      <c r="N41" s="3"/>
      <c r="O41" s="3"/>
      <c r="P41" s="3"/>
      <c r="Q41" s="3"/>
      <c r="R41" s="3"/>
      <c r="S41" s="3"/>
      <c r="T41" s="3"/>
    </row>
    <row r="42" spans="1:20" ht="15.75" customHeight="1" x14ac:dyDescent="0.2">
      <c r="A42" s="4">
        <v>6481</v>
      </c>
      <c r="B42" s="4" t="s">
        <v>24</v>
      </c>
      <c r="C42" s="4" t="s">
        <v>6</v>
      </c>
      <c r="D42" s="5" t="s">
        <v>6</v>
      </c>
      <c r="E42" s="5" t="s">
        <v>6</v>
      </c>
      <c r="F42" s="5" t="s">
        <v>6</v>
      </c>
      <c r="G42" s="93" t="s">
        <v>616</v>
      </c>
      <c r="H42" s="93" t="s">
        <v>615</v>
      </c>
      <c r="I42" s="3"/>
      <c r="J42" s="3"/>
      <c r="K42" s="3"/>
      <c r="L42" s="3"/>
      <c r="M42" s="3"/>
      <c r="N42" s="3"/>
      <c r="O42" s="3"/>
      <c r="P42" s="3"/>
      <c r="Q42" s="3"/>
      <c r="R42" s="3"/>
      <c r="S42" s="3"/>
      <c r="T42" s="3"/>
    </row>
    <row r="43" spans="1:20" ht="15.75" customHeight="1" x14ac:dyDescent="0.2">
      <c r="A43" s="4">
        <v>7843</v>
      </c>
      <c r="B43" s="4" t="s">
        <v>24</v>
      </c>
      <c r="C43" s="4" t="s">
        <v>4</v>
      </c>
      <c r="D43" s="5" t="s">
        <v>4</v>
      </c>
      <c r="E43" s="5" t="s">
        <v>4</v>
      </c>
      <c r="F43" s="5" t="s">
        <v>4</v>
      </c>
      <c r="G43" s="93" t="s">
        <v>636</v>
      </c>
      <c r="H43" s="93" t="s">
        <v>635</v>
      </c>
      <c r="I43" s="3"/>
      <c r="J43" s="3"/>
      <c r="K43" s="3"/>
      <c r="L43" s="3"/>
      <c r="M43" s="3"/>
      <c r="N43" s="3"/>
      <c r="O43" s="3"/>
      <c r="P43" s="3"/>
      <c r="Q43" s="3"/>
      <c r="R43" s="3"/>
      <c r="S43" s="3"/>
      <c r="T43" s="3"/>
    </row>
    <row r="44" spans="1:20" ht="15.75" customHeight="1" x14ac:dyDescent="0.2">
      <c r="A44" s="4">
        <v>2833</v>
      </c>
      <c r="B44" s="4" t="s">
        <v>24</v>
      </c>
      <c r="C44" s="4" t="s">
        <v>4</v>
      </c>
      <c r="D44" s="5" t="s">
        <v>6</v>
      </c>
      <c r="E44" s="5" t="s">
        <v>6</v>
      </c>
      <c r="F44" s="5" t="s">
        <v>4</v>
      </c>
      <c r="G44" s="93" t="s">
        <v>542</v>
      </c>
      <c r="H44" s="93" t="s">
        <v>541</v>
      </c>
      <c r="I44" s="3"/>
      <c r="J44" s="3"/>
      <c r="K44" s="3"/>
      <c r="L44" s="3"/>
      <c r="M44" s="3"/>
      <c r="N44" s="3"/>
      <c r="O44" s="3"/>
      <c r="P44" s="3"/>
      <c r="Q44" s="3"/>
      <c r="R44" s="3"/>
      <c r="S44" s="3"/>
      <c r="T44" s="3"/>
    </row>
    <row r="45" spans="1:20" ht="15.75" customHeight="1" x14ac:dyDescent="0.2">
      <c r="A45" s="4">
        <v>7081</v>
      </c>
      <c r="B45" s="4" t="s">
        <v>24</v>
      </c>
      <c r="C45" s="4" t="s">
        <v>4</v>
      </c>
      <c r="D45" s="5" t="s">
        <v>4</v>
      </c>
      <c r="E45" s="5" t="s">
        <v>4</v>
      </c>
      <c r="F45" s="5" t="s">
        <v>4</v>
      </c>
      <c r="G45" s="93" t="s">
        <v>630</v>
      </c>
      <c r="H45" s="93" t="s">
        <v>629</v>
      </c>
      <c r="I45" s="3"/>
      <c r="J45" s="3"/>
      <c r="K45" s="3"/>
      <c r="L45" s="3"/>
      <c r="M45" s="3"/>
      <c r="N45" s="3"/>
      <c r="O45" s="3"/>
      <c r="P45" s="3"/>
      <c r="Q45" s="3"/>
      <c r="R45" s="3"/>
      <c r="S45" s="3"/>
      <c r="T45" s="3"/>
    </row>
    <row r="46" spans="1:20" ht="15.75" customHeight="1" x14ac:dyDescent="0.2">
      <c r="A46" s="4">
        <v>8777</v>
      </c>
      <c r="B46" s="4" t="s">
        <v>24</v>
      </c>
      <c r="C46" s="4" t="s">
        <v>4</v>
      </c>
      <c r="D46" s="5" t="s">
        <v>4</v>
      </c>
      <c r="E46" s="5" t="s">
        <v>4</v>
      </c>
      <c r="F46" s="5" t="s">
        <v>4</v>
      </c>
      <c r="G46" s="93" t="s">
        <v>642</v>
      </c>
      <c r="H46" s="93" t="s">
        <v>641</v>
      </c>
      <c r="I46" s="3"/>
      <c r="J46" s="3"/>
      <c r="K46" s="3"/>
      <c r="L46" s="3"/>
      <c r="M46" s="3"/>
      <c r="N46" s="3"/>
      <c r="O46" s="3"/>
      <c r="P46" s="3"/>
      <c r="Q46" s="3"/>
      <c r="R46" s="3"/>
      <c r="S46" s="3"/>
      <c r="T46" s="3"/>
    </row>
    <row r="47" spans="1:20" ht="15.75" customHeight="1" x14ac:dyDescent="0.2">
      <c r="A47" s="4">
        <v>2849</v>
      </c>
      <c r="B47" s="4" t="s">
        <v>24</v>
      </c>
      <c r="C47" s="4" t="s">
        <v>4</v>
      </c>
      <c r="D47" s="5" t="s">
        <v>6</v>
      </c>
      <c r="E47" s="5" t="s">
        <v>4</v>
      </c>
      <c r="F47" s="5" t="s">
        <v>4</v>
      </c>
      <c r="G47" s="93" t="s">
        <v>544</v>
      </c>
      <c r="H47" s="93" t="s">
        <v>543</v>
      </c>
      <c r="I47" s="3"/>
      <c r="J47" s="3"/>
      <c r="K47" s="3"/>
      <c r="L47" s="3"/>
      <c r="M47" s="3"/>
      <c r="N47" s="3"/>
      <c r="O47" s="3"/>
      <c r="P47" s="3"/>
      <c r="Q47" s="3"/>
      <c r="R47" s="3"/>
      <c r="S47" s="3"/>
      <c r="T47" s="3"/>
    </row>
    <row r="48" spans="1:20" ht="15.75" customHeight="1" x14ac:dyDescent="0.2">
      <c r="A48" s="4">
        <v>9076</v>
      </c>
      <c r="B48" s="4" t="s">
        <v>24</v>
      </c>
      <c r="C48" s="4" t="s">
        <v>4</v>
      </c>
      <c r="D48" s="5" t="s">
        <v>4</v>
      </c>
      <c r="E48" s="5" t="s">
        <v>4</v>
      </c>
      <c r="F48" s="5" t="s">
        <v>4</v>
      </c>
      <c r="G48" s="93" t="s">
        <v>650</v>
      </c>
      <c r="H48" s="93" t="s">
        <v>649</v>
      </c>
      <c r="I48" s="3"/>
      <c r="J48" s="3"/>
      <c r="K48" s="3"/>
      <c r="L48" s="3"/>
      <c r="M48" s="3"/>
      <c r="N48" s="3"/>
      <c r="O48" s="3"/>
      <c r="P48" s="3"/>
      <c r="Q48" s="3"/>
      <c r="R48" s="3"/>
      <c r="S48" s="3"/>
      <c r="T48" s="3"/>
    </row>
    <row r="49" spans="1:20" ht="15.75" customHeight="1" x14ac:dyDescent="0.2">
      <c r="A49" s="4">
        <v>3096</v>
      </c>
      <c r="B49" s="4" t="s">
        <v>24</v>
      </c>
      <c r="C49" s="4" t="s">
        <v>4</v>
      </c>
      <c r="D49" s="5" t="s">
        <v>4</v>
      </c>
      <c r="E49" s="5" t="s">
        <v>4</v>
      </c>
      <c r="F49" s="5" t="s">
        <v>4</v>
      </c>
      <c r="G49" s="93" t="s">
        <v>550</v>
      </c>
      <c r="H49" s="93" t="s">
        <v>549</v>
      </c>
      <c r="I49" s="3"/>
      <c r="J49" s="3"/>
      <c r="K49" s="3"/>
      <c r="L49" s="3"/>
      <c r="M49" s="3"/>
      <c r="N49" s="3"/>
      <c r="O49" s="3"/>
      <c r="P49" s="3"/>
      <c r="Q49" s="3"/>
      <c r="R49" s="3"/>
      <c r="S49" s="3"/>
      <c r="T49" s="3"/>
    </row>
    <row r="50" spans="1:20" ht="15.75" customHeight="1" x14ac:dyDescent="0.2">
      <c r="A50" s="4">
        <v>5007</v>
      </c>
      <c r="B50" s="4" t="s">
        <v>24</v>
      </c>
      <c r="C50" s="4" t="s">
        <v>4</v>
      </c>
      <c r="D50" s="5" t="s">
        <v>6</v>
      </c>
      <c r="E50" s="5" t="s">
        <v>6</v>
      </c>
      <c r="F50" s="5" t="s">
        <v>4</v>
      </c>
      <c r="G50" s="93" t="s">
        <v>590</v>
      </c>
      <c r="H50" s="93" t="s">
        <v>589</v>
      </c>
      <c r="I50" s="3"/>
      <c r="J50" s="3"/>
      <c r="K50" s="3"/>
      <c r="L50" s="3"/>
      <c r="M50" s="3"/>
      <c r="N50" s="3"/>
      <c r="O50" s="3"/>
      <c r="P50" s="3"/>
      <c r="Q50" s="3"/>
      <c r="R50" s="3"/>
      <c r="S50" s="3"/>
      <c r="T50" s="3"/>
    </row>
    <row r="51" spans="1:20" ht="15.75" customHeight="1" x14ac:dyDescent="0.2">
      <c r="A51" s="4">
        <v>959</v>
      </c>
      <c r="B51" s="4" t="s">
        <v>24</v>
      </c>
      <c r="C51" s="4" t="s">
        <v>4</v>
      </c>
      <c r="D51" s="5" t="s">
        <v>4</v>
      </c>
      <c r="E51" s="5" t="s">
        <v>4</v>
      </c>
      <c r="F51" s="5" t="s">
        <v>4</v>
      </c>
      <c r="G51" s="93" t="s">
        <v>470</v>
      </c>
      <c r="H51" s="93" t="s">
        <v>469</v>
      </c>
      <c r="I51" s="3"/>
      <c r="J51" s="3"/>
      <c r="K51" s="3"/>
      <c r="L51" s="3"/>
      <c r="M51" s="3"/>
      <c r="N51" s="3"/>
      <c r="O51" s="3"/>
      <c r="P51" s="3"/>
      <c r="Q51" s="3"/>
      <c r="R51" s="3"/>
      <c r="S51" s="3"/>
      <c r="T51" s="3"/>
    </row>
    <row r="52" spans="1:20" ht="15.75" customHeight="1" x14ac:dyDescent="0.2">
      <c r="A52" s="4">
        <v>5372</v>
      </c>
      <c r="B52" s="4" t="s">
        <v>24</v>
      </c>
      <c r="C52" s="4" t="s">
        <v>4</v>
      </c>
      <c r="D52" s="5" t="s">
        <v>6</v>
      </c>
      <c r="E52" s="5" t="s">
        <v>4</v>
      </c>
      <c r="F52" s="5" t="s">
        <v>4</v>
      </c>
      <c r="G52" s="93" t="s">
        <v>602</v>
      </c>
      <c r="H52" s="93" t="s">
        <v>601</v>
      </c>
      <c r="I52" s="3"/>
      <c r="J52" s="3"/>
      <c r="K52" s="3"/>
      <c r="L52" s="3"/>
      <c r="M52" s="3"/>
      <c r="N52" s="3"/>
      <c r="O52" s="3"/>
      <c r="P52" s="3"/>
      <c r="Q52" s="3"/>
      <c r="R52" s="3"/>
      <c r="S52" s="3"/>
      <c r="T52" s="3"/>
    </row>
    <row r="53" spans="1:20" ht="15.75" customHeight="1" x14ac:dyDescent="0.2">
      <c r="A53" s="4">
        <v>1419</v>
      </c>
      <c r="B53" s="4" t="s">
        <v>24</v>
      </c>
      <c r="C53" s="4" t="s">
        <v>4</v>
      </c>
      <c r="D53" s="5" t="s">
        <v>6</v>
      </c>
      <c r="E53" s="5" t="s">
        <v>6</v>
      </c>
      <c r="F53" s="5" t="s">
        <v>4</v>
      </c>
      <c r="G53" s="93" t="s">
        <v>492</v>
      </c>
      <c r="H53" s="93" t="s">
        <v>491</v>
      </c>
      <c r="I53" s="3"/>
      <c r="J53" s="3"/>
      <c r="K53" s="3"/>
      <c r="L53" s="3"/>
      <c r="M53" s="3"/>
      <c r="N53" s="3"/>
      <c r="O53" s="3"/>
      <c r="P53" s="3"/>
      <c r="Q53" s="3"/>
      <c r="R53" s="3"/>
      <c r="S53" s="3"/>
      <c r="T53" s="3"/>
    </row>
    <row r="54" spans="1:20" ht="15.75" customHeight="1" x14ac:dyDescent="0.2">
      <c r="A54" s="4">
        <v>5400</v>
      </c>
      <c r="B54" s="4" t="s">
        <v>24</v>
      </c>
      <c r="C54" s="4" t="s">
        <v>6</v>
      </c>
      <c r="D54" s="5" t="s">
        <v>4</v>
      </c>
      <c r="E54" s="5" t="s">
        <v>4</v>
      </c>
      <c r="F54" s="5" t="s">
        <v>4</v>
      </c>
      <c r="G54" s="93" t="s">
        <v>604</v>
      </c>
      <c r="H54" s="93" t="s">
        <v>603</v>
      </c>
      <c r="I54" s="3"/>
      <c r="J54" s="3"/>
      <c r="K54" s="3"/>
      <c r="L54" s="3"/>
      <c r="M54" s="3"/>
      <c r="N54" s="3"/>
      <c r="O54" s="3"/>
      <c r="P54" s="3"/>
      <c r="Q54" s="3"/>
      <c r="R54" s="3"/>
      <c r="S54" s="3"/>
      <c r="T54" s="3"/>
    </row>
    <row r="55" spans="1:20" ht="15.75" customHeight="1" x14ac:dyDescent="0.2">
      <c r="A55" s="6">
        <v>2480</v>
      </c>
      <c r="B55" s="6" t="s">
        <v>24</v>
      </c>
      <c r="C55" s="6" t="s">
        <v>4</v>
      </c>
      <c r="D55" s="7" t="s">
        <v>6</v>
      </c>
      <c r="E55" s="7" t="s">
        <v>6</v>
      </c>
      <c r="F55" s="7" t="s">
        <v>4</v>
      </c>
      <c r="G55" s="93" t="s">
        <v>526</v>
      </c>
      <c r="H55" s="93" t="s">
        <v>525</v>
      </c>
      <c r="I55" s="3"/>
      <c r="J55" s="3"/>
      <c r="K55" s="3"/>
      <c r="L55" s="3"/>
      <c r="M55" s="3"/>
      <c r="N55" s="3"/>
      <c r="O55" s="3"/>
      <c r="P55" s="3"/>
      <c r="Q55" s="3"/>
      <c r="R55" s="3"/>
      <c r="S55" s="3"/>
      <c r="T55" s="3"/>
    </row>
    <row r="56" spans="1:20" ht="15.75" customHeight="1" x14ac:dyDescent="0.2">
      <c r="A56" s="8" t="s">
        <v>25</v>
      </c>
      <c r="B56" s="8" t="s">
        <v>26</v>
      </c>
      <c r="C56" s="8" t="s">
        <v>4</v>
      </c>
      <c r="D56" s="9" t="s">
        <v>6</v>
      </c>
      <c r="E56" s="9" t="s">
        <v>4</v>
      </c>
      <c r="F56" s="9" t="s">
        <v>4</v>
      </c>
      <c r="G56" s="93" t="s">
        <v>1006</v>
      </c>
      <c r="H56" s="93" t="s">
        <v>1005</v>
      </c>
      <c r="I56" s="3"/>
      <c r="J56" s="3"/>
      <c r="K56" s="3"/>
      <c r="L56" s="3"/>
      <c r="M56" s="3"/>
      <c r="N56" s="3"/>
      <c r="O56" s="3"/>
      <c r="P56" s="3"/>
      <c r="Q56" s="3"/>
      <c r="R56" s="3"/>
      <c r="S56" s="3"/>
      <c r="T56" s="3"/>
    </row>
    <row r="57" spans="1:20" ht="15.75" customHeight="1" x14ac:dyDescent="0.2">
      <c r="A57" s="4" t="s">
        <v>27</v>
      </c>
      <c r="B57" s="4" t="s">
        <v>26</v>
      </c>
      <c r="C57" s="4" t="s">
        <v>4</v>
      </c>
      <c r="D57" s="5" t="s">
        <v>4</v>
      </c>
      <c r="E57" s="5" t="s">
        <v>4</v>
      </c>
      <c r="F57" s="5" t="s">
        <v>4</v>
      </c>
      <c r="G57" s="93" t="s">
        <v>966</v>
      </c>
      <c r="H57" s="93" t="s">
        <v>965</v>
      </c>
      <c r="I57" s="3"/>
      <c r="J57" s="3"/>
      <c r="K57" s="3"/>
      <c r="L57" s="3"/>
      <c r="M57" s="3"/>
      <c r="N57" s="3"/>
      <c r="O57" s="3"/>
      <c r="P57" s="3"/>
      <c r="Q57" s="3"/>
      <c r="R57" s="3"/>
      <c r="S57" s="3"/>
      <c r="T57" s="3"/>
    </row>
    <row r="58" spans="1:20" ht="15.75" customHeight="1" x14ac:dyDescent="0.2">
      <c r="A58" s="4" t="s">
        <v>28</v>
      </c>
      <c r="B58" s="4" t="s">
        <v>26</v>
      </c>
      <c r="C58" s="4" t="s">
        <v>4</v>
      </c>
      <c r="D58" s="5" t="s">
        <v>6</v>
      </c>
      <c r="E58" s="5" t="s">
        <v>6</v>
      </c>
      <c r="F58" s="5" t="s">
        <v>6</v>
      </c>
      <c r="G58" s="93" t="s">
        <v>908</v>
      </c>
      <c r="H58" s="93" t="s">
        <v>907</v>
      </c>
      <c r="I58" s="3"/>
      <c r="J58" s="3"/>
      <c r="K58" s="3"/>
      <c r="L58" s="3"/>
      <c r="M58" s="3"/>
      <c r="N58" s="3"/>
      <c r="O58" s="3"/>
      <c r="P58" s="3"/>
      <c r="Q58" s="3"/>
      <c r="R58" s="3"/>
      <c r="S58" s="3"/>
      <c r="T58" s="3"/>
    </row>
    <row r="59" spans="1:20" ht="15.75" customHeight="1" x14ac:dyDescent="0.2">
      <c r="A59" s="4" t="s">
        <v>29</v>
      </c>
      <c r="B59" s="4" t="s">
        <v>26</v>
      </c>
      <c r="C59" s="4" t="s">
        <v>4</v>
      </c>
      <c r="D59" s="5" t="s">
        <v>4</v>
      </c>
      <c r="E59" s="5" t="s">
        <v>4</v>
      </c>
      <c r="F59" s="5" t="s">
        <v>4</v>
      </c>
      <c r="G59" s="93" t="s">
        <v>938</v>
      </c>
      <c r="H59" s="93" t="s">
        <v>937</v>
      </c>
      <c r="I59" s="3"/>
      <c r="J59" s="3"/>
      <c r="K59" s="3"/>
      <c r="L59" s="3"/>
      <c r="M59" s="3"/>
      <c r="N59" s="3"/>
      <c r="O59" s="3"/>
      <c r="P59" s="3"/>
      <c r="Q59" s="3"/>
      <c r="R59" s="3"/>
      <c r="S59" s="3"/>
      <c r="T59" s="3"/>
    </row>
    <row r="60" spans="1:20" ht="15.75" customHeight="1" x14ac:dyDescent="0.2">
      <c r="A60" s="4" t="s">
        <v>30</v>
      </c>
      <c r="B60" s="4" t="s">
        <v>26</v>
      </c>
      <c r="C60" s="4" t="s">
        <v>4</v>
      </c>
      <c r="D60" s="5" t="s">
        <v>4</v>
      </c>
      <c r="E60" s="5" t="s">
        <v>4</v>
      </c>
      <c r="F60" s="5" t="s">
        <v>4</v>
      </c>
      <c r="G60" s="93" t="s">
        <v>904</v>
      </c>
      <c r="H60" s="93" t="s">
        <v>903</v>
      </c>
      <c r="I60" s="3"/>
      <c r="J60" s="3"/>
      <c r="K60" s="3"/>
      <c r="L60" s="3"/>
      <c r="M60" s="3"/>
      <c r="N60" s="3"/>
      <c r="O60" s="3"/>
      <c r="P60" s="3"/>
      <c r="Q60" s="3"/>
      <c r="R60" s="3"/>
      <c r="S60" s="3"/>
      <c r="T60" s="3"/>
    </row>
    <row r="61" spans="1:20" ht="15.75" customHeight="1" x14ac:dyDescent="0.2">
      <c r="A61" s="4" t="s">
        <v>31</v>
      </c>
      <c r="B61" s="4" t="s">
        <v>26</v>
      </c>
      <c r="C61" s="4" t="s">
        <v>4</v>
      </c>
      <c r="D61" s="5" t="s">
        <v>4</v>
      </c>
      <c r="E61" s="5" t="s">
        <v>4</v>
      </c>
      <c r="F61" s="5" t="s">
        <v>4</v>
      </c>
      <c r="G61" s="93" t="s">
        <v>956</v>
      </c>
      <c r="H61" s="93" t="s">
        <v>955</v>
      </c>
      <c r="I61" s="3"/>
      <c r="J61" s="3"/>
      <c r="K61" s="3"/>
      <c r="L61" s="3"/>
      <c r="M61" s="3"/>
      <c r="N61" s="3"/>
      <c r="O61" s="3"/>
      <c r="P61" s="3"/>
      <c r="Q61" s="3"/>
      <c r="R61" s="3"/>
      <c r="S61" s="3"/>
      <c r="T61" s="3"/>
    </row>
    <row r="62" spans="1:20" ht="15.75" customHeight="1" x14ac:dyDescent="0.2">
      <c r="A62" s="4" t="s">
        <v>32</v>
      </c>
      <c r="B62" s="4" t="s">
        <v>26</v>
      </c>
      <c r="C62" s="4" t="s">
        <v>4</v>
      </c>
      <c r="D62" s="5" t="s">
        <v>4</v>
      </c>
      <c r="E62" s="5" t="s">
        <v>4</v>
      </c>
      <c r="F62" s="5" t="s">
        <v>4</v>
      </c>
      <c r="G62" s="93" t="s">
        <v>930</v>
      </c>
      <c r="H62" s="93" t="s">
        <v>929</v>
      </c>
      <c r="I62" s="3"/>
      <c r="J62" s="3"/>
      <c r="K62" s="3"/>
      <c r="L62" s="3"/>
      <c r="M62" s="3"/>
      <c r="N62" s="3"/>
      <c r="O62" s="3"/>
      <c r="P62" s="3"/>
      <c r="Q62" s="3"/>
      <c r="R62" s="3"/>
      <c r="S62" s="3"/>
      <c r="T62" s="3"/>
    </row>
    <row r="63" spans="1:20" ht="15.75" customHeight="1" x14ac:dyDescent="0.2">
      <c r="A63" s="4" t="s">
        <v>33</v>
      </c>
      <c r="B63" s="4" t="s">
        <v>26</v>
      </c>
      <c r="C63" s="4" t="s">
        <v>4</v>
      </c>
      <c r="D63" s="5" t="s">
        <v>4</v>
      </c>
      <c r="E63" s="5" t="s">
        <v>4</v>
      </c>
      <c r="F63" s="5" t="s">
        <v>4</v>
      </c>
      <c r="G63" s="93" t="s">
        <v>980</v>
      </c>
      <c r="H63" s="93" t="s">
        <v>979</v>
      </c>
      <c r="I63" s="3"/>
      <c r="J63" s="3"/>
      <c r="K63" s="3"/>
      <c r="L63" s="3"/>
      <c r="M63" s="3"/>
      <c r="N63" s="3"/>
      <c r="O63" s="3"/>
      <c r="P63" s="3"/>
      <c r="Q63" s="3"/>
      <c r="R63" s="3"/>
      <c r="S63" s="3"/>
      <c r="T63" s="3"/>
    </row>
    <row r="64" spans="1:20" ht="15.75" customHeight="1" x14ac:dyDescent="0.2">
      <c r="A64" s="4" t="s">
        <v>34</v>
      </c>
      <c r="B64" s="4" t="s">
        <v>26</v>
      </c>
      <c r="C64" s="4" t="s">
        <v>4</v>
      </c>
      <c r="D64" s="5" t="s">
        <v>4</v>
      </c>
      <c r="E64" s="5" t="s">
        <v>4</v>
      </c>
      <c r="F64" s="5" t="s">
        <v>4</v>
      </c>
      <c r="G64" s="93" t="s">
        <v>986</v>
      </c>
      <c r="H64" s="93" t="s">
        <v>985</v>
      </c>
      <c r="I64" s="3"/>
      <c r="J64" s="3"/>
      <c r="K64" s="3"/>
      <c r="L64" s="3"/>
      <c r="M64" s="3"/>
      <c r="N64" s="3"/>
      <c r="O64" s="3"/>
      <c r="P64" s="3"/>
      <c r="Q64" s="3"/>
      <c r="R64" s="3"/>
      <c r="S64" s="3"/>
      <c r="T64" s="3"/>
    </row>
    <row r="65" spans="1:20" ht="15.75" customHeight="1" x14ac:dyDescent="0.2">
      <c r="A65" s="4" t="s">
        <v>35</v>
      </c>
      <c r="B65" s="4" t="s">
        <v>26</v>
      </c>
      <c r="C65" s="4" t="s">
        <v>4</v>
      </c>
      <c r="D65" s="5" t="s">
        <v>4</v>
      </c>
      <c r="E65" s="5" t="s">
        <v>4</v>
      </c>
      <c r="F65" s="5" t="s">
        <v>4</v>
      </c>
      <c r="G65" s="93" t="s">
        <v>974</v>
      </c>
      <c r="H65" s="93" t="s">
        <v>973</v>
      </c>
      <c r="I65" s="3"/>
      <c r="J65" s="3"/>
      <c r="K65" s="3"/>
      <c r="L65" s="3"/>
      <c r="M65" s="3"/>
      <c r="N65" s="3"/>
      <c r="O65" s="3"/>
      <c r="P65" s="3"/>
      <c r="Q65" s="3"/>
      <c r="R65" s="3"/>
      <c r="S65" s="3"/>
      <c r="T65" s="3"/>
    </row>
    <row r="66" spans="1:20" ht="15.75" customHeight="1" x14ac:dyDescent="0.2">
      <c r="A66" s="4" t="s">
        <v>36</v>
      </c>
      <c r="B66" s="4" t="s">
        <v>26</v>
      </c>
      <c r="C66" s="4" t="s">
        <v>4</v>
      </c>
      <c r="D66" s="5" t="s">
        <v>4</v>
      </c>
      <c r="E66" s="5" t="s">
        <v>4</v>
      </c>
      <c r="F66" s="5" t="s">
        <v>4</v>
      </c>
      <c r="G66" s="93" t="s">
        <v>976</v>
      </c>
      <c r="H66" s="93" t="s">
        <v>975</v>
      </c>
      <c r="I66" s="3"/>
      <c r="J66" s="3"/>
      <c r="K66" s="3"/>
      <c r="L66" s="3"/>
      <c r="M66" s="3"/>
      <c r="N66" s="3"/>
      <c r="O66" s="3"/>
      <c r="P66" s="3"/>
      <c r="Q66" s="3"/>
      <c r="R66" s="3"/>
      <c r="S66" s="3"/>
      <c r="T66" s="3"/>
    </row>
    <row r="67" spans="1:20" ht="15.75" customHeight="1" x14ac:dyDescent="0.2">
      <c r="A67" s="4" t="s">
        <v>37</v>
      </c>
      <c r="B67" s="4" t="s">
        <v>26</v>
      </c>
      <c r="C67" s="4" t="s">
        <v>4</v>
      </c>
      <c r="D67" s="5" t="s">
        <v>4</v>
      </c>
      <c r="E67" s="5" t="s">
        <v>4</v>
      </c>
      <c r="F67" s="5" t="s">
        <v>4</v>
      </c>
      <c r="G67" s="93" t="s">
        <v>1010</v>
      </c>
      <c r="H67" s="93" t="s">
        <v>1009</v>
      </c>
      <c r="I67" s="3"/>
      <c r="J67" s="3"/>
      <c r="K67" s="3"/>
      <c r="L67" s="3"/>
      <c r="M67" s="3"/>
      <c r="N67" s="3"/>
      <c r="O67" s="3"/>
      <c r="P67" s="3"/>
      <c r="Q67" s="3"/>
      <c r="R67" s="3"/>
      <c r="S67" s="3"/>
      <c r="T67" s="3"/>
    </row>
    <row r="68" spans="1:20" ht="15.75" customHeight="1" x14ac:dyDescent="0.2">
      <c r="A68" s="4" t="s">
        <v>38</v>
      </c>
      <c r="B68" s="4" t="s">
        <v>26</v>
      </c>
      <c r="C68" s="4" t="s">
        <v>4</v>
      </c>
      <c r="D68" s="5" t="s">
        <v>4</v>
      </c>
      <c r="E68" s="5" t="s">
        <v>4</v>
      </c>
      <c r="F68" s="5" t="s">
        <v>4</v>
      </c>
      <c r="G68" s="93" t="s">
        <v>996</v>
      </c>
      <c r="H68" s="93" t="s">
        <v>995</v>
      </c>
      <c r="I68" s="3"/>
      <c r="J68" s="3"/>
      <c r="K68" s="3"/>
      <c r="L68" s="3"/>
      <c r="M68" s="3"/>
      <c r="N68" s="3"/>
      <c r="O68" s="3"/>
      <c r="P68" s="3"/>
      <c r="Q68" s="3"/>
      <c r="R68" s="3"/>
      <c r="S68" s="3"/>
      <c r="T68" s="3"/>
    </row>
    <row r="69" spans="1:20" ht="15.75" customHeight="1" x14ac:dyDescent="0.2">
      <c r="A69" s="4" t="s">
        <v>39</v>
      </c>
      <c r="B69" s="4" t="s">
        <v>26</v>
      </c>
      <c r="C69" s="4" t="s">
        <v>4</v>
      </c>
      <c r="D69" s="5" t="s">
        <v>4</v>
      </c>
      <c r="E69" s="5" t="s">
        <v>4</v>
      </c>
      <c r="F69" s="5" t="s">
        <v>4</v>
      </c>
      <c r="G69" s="93" t="s">
        <v>906</v>
      </c>
      <c r="H69" s="93" t="s">
        <v>905</v>
      </c>
      <c r="I69" s="3"/>
      <c r="J69" s="3"/>
      <c r="K69" s="3"/>
      <c r="L69" s="3"/>
      <c r="M69" s="3"/>
      <c r="N69" s="3"/>
      <c r="O69" s="3"/>
      <c r="P69" s="3"/>
      <c r="Q69" s="3"/>
      <c r="R69" s="3"/>
      <c r="S69" s="3"/>
      <c r="T69" s="3"/>
    </row>
    <row r="70" spans="1:20" ht="15.75" customHeight="1" x14ac:dyDescent="0.2">
      <c r="A70" s="4" t="s">
        <v>40</v>
      </c>
      <c r="B70" s="4" t="s">
        <v>26</v>
      </c>
      <c r="C70" s="4" t="s">
        <v>4</v>
      </c>
      <c r="D70" s="5" t="s">
        <v>4</v>
      </c>
      <c r="E70" s="5" t="s">
        <v>4</v>
      </c>
      <c r="F70" s="5" t="s">
        <v>4</v>
      </c>
      <c r="G70" s="93" t="s">
        <v>910</v>
      </c>
      <c r="H70" s="93" t="s">
        <v>909</v>
      </c>
      <c r="I70" s="3"/>
      <c r="J70" s="3"/>
      <c r="K70" s="3"/>
      <c r="L70" s="3"/>
      <c r="M70" s="3"/>
      <c r="N70" s="3"/>
      <c r="O70" s="3"/>
      <c r="P70" s="3"/>
      <c r="Q70" s="3"/>
      <c r="R70" s="3"/>
      <c r="S70" s="3"/>
      <c r="T70" s="3"/>
    </row>
    <row r="71" spans="1:20" ht="15.75" customHeight="1" x14ac:dyDescent="0.2">
      <c r="A71" s="4" t="s">
        <v>41</v>
      </c>
      <c r="B71" s="4" t="s">
        <v>26</v>
      </c>
      <c r="C71" s="4" t="s">
        <v>4</v>
      </c>
      <c r="D71" s="5" t="s">
        <v>6</v>
      </c>
      <c r="E71" s="5" t="s">
        <v>6</v>
      </c>
      <c r="F71" s="5" t="s">
        <v>6</v>
      </c>
      <c r="G71" s="93" t="s">
        <v>926</v>
      </c>
      <c r="H71" s="93" t="s">
        <v>925</v>
      </c>
      <c r="I71" s="3"/>
      <c r="J71" s="3"/>
      <c r="K71" s="3"/>
      <c r="L71" s="3"/>
      <c r="M71" s="3"/>
      <c r="N71" s="3"/>
      <c r="O71" s="3"/>
      <c r="P71" s="3"/>
      <c r="Q71" s="3"/>
      <c r="R71" s="3"/>
      <c r="S71" s="3"/>
      <c r="T71" s="3"/>
    </row>
    <row r="72" spans="1:20" ht="15.75" customHeight="1" x14ac:dyDescent="0.2">
      <c r="A72" s="4" t="s">
        <v>42</v>
      </c>
      <c r="B72" s="4" t="s">
        <v>26</v>
      </c>
      <c r="C72" s="4" t="s">
        <v>4</v>
      </c>
      <c r="D72" s="5" t="s">
        <v>4</v>
      </c>
      <c r="E72" s="5" t="s">
        <v>4</v>
      </c>
      <c r="F72" s="5" t="s">
        <v>4</v>
      </c>
      <c r="G72" s="93" t="s">
        <v>922</v>
      </c>
      <c r="H72" s="93" t="s">
        <v>921</v>
      </c>
      <c r="I72" s="3"/>
      <c r="J72" s="3"/>
      <c r="K72" s="3"/>
      <c r="L72" s="3"/>
      <c r="M72" s="3"/>
      <c r="N72" s="3"/>
      <c r="O72" s="3"/>
      <c r="P72" s="3"/>
      <c r="Q72" s="3"/>
      <c r="R72" s="3"/>
      <c r="S72" s="3"/>
      <c r="T72" s="3"/>
    </row>
    <row r="73" spans="1:20" ht="15.75" customHeight="1" x14ac:dyDescent="0.15">
      <c r="A73" s="3"/>
      <c r="B73" s="3"/>
      <c r="C73" s="3"/>
      <c r="D73" s="10"/>
      <c r="E73" s="10"/>
      <c r="F73" s="10"/>
      <c r="G73" s="3"/>
      <c r="H73" s="3"/>
      <c r="I73" s="3"/>
      <c r="J73" s="3"/>
      <c r="K73" s="3"/>
      <c r="L73" s="3"/>
      <c r="M73" s="3"/>
      <c r="N73" s="3"/>
      <c r="O73" s="3"/>
      <c r="P73" s="3"/>
      <c r="Q73" s="3"/>
      <c r="R73" s="3"/>
      <c r="S73" s="3"/>
      <c r="T73" s="3"/>
    </row>
    <row r="74" spans="1:20" ht="15.75" customHeight="1" x14ac:dyDescent="0.15">
      <c r="A74" s="3"/>
      <c r="B74" s="3"/>
      <c r="C74" s="3"/>
      <c r="D74" s="10"/>
      <c r="E74" s="10"/>
      <c r="F74" s="10"/>
      <c r="G74" s="3"/>
      <c r="H74" s="3"/>
      <c r="I74" s="3"/>
      <c r="J74" s="3"/>
      <c r="K74" s="3"/>
      <c r="L74" s="3"/>
      <c r="M74" s="3"/>
      <c r="N74" s="3"/>
      <c r="O74" s="3"/>
      <c r="P74" s="3"/>
      <c r="Q74" s="3"/>
      <c r="R74" s="3"/>
      <c r="S74" s="3"/>
      <c r="T74" s="3"/>
    </row>
    <row r="75" spans="1:20" ht="15.75" customHeight="1" x14ac:dyDescent="0.15">
      <c r="A75" s="3"/>
      <c r="B75" s="3"/>
      <c r="C75" s="3"/>
      <c r="D75" s="10"/>
      <c r="E75" s="10"/>
      <c r="F75" s="10"/>
      <c r="G75" s="3"/>
      <c r="H75" s="3"/>
      <c r="I75" s="3"/>
      <c r="J75" s="3"/>
      <c r="K75" s="3"/>
      <c r="L75" s="3"/>
      <c r="M75" s="3"/>
      <c r="N75" s="3"/>
      <c r="O75" s="3"/>
      <c r="P75" s="3"/>
      <c r="Q75" s="3"/>
      <c r="R75" s="3"/>
      <c r="S75" s="3"/>
      <c r="T75" s="3"/>
    </row>
    <row r="76" spans="1:20" ht="15.75" customHeight="1" x14ac:dyDescent="0.15">
      <c r="A76" s="3"/>
      <c r="B76" s="3"/>
      <c r="C76" s="3"/>
      <c r="D76" s="10"/>
      <c r="E76" s="10"/>
      <c r="F76" s="10"/>
      <c r="G76" s="3"/>
      <c r="H76" s="3"/>
      <c r="I76" s="3"/>
      <c r="J76" s="3"/>
      <c r="K76" s="3"/>
      <c r="L76" s="3"/>
      <c r="M76" s="3"/>
      <c r="N76" s="3"/>
      <c r="O76" s="3"/>
      <c r="P76" s="3"/>
      <c r="Q76" s="3"/>
      <c r="R76" s="3"/>
      <c r="S76" s="3"/>
      <c r="T76" s="3"/>
    </row>
    <row r="77" spans="1:20" ht="15.75" customHeight="1" x14ac:dyDescent="0.15">
      <c r="A77" s="3"/>
      <c r="B77" s="3"/>
      <c r="C77" s="3"/>
      <c r="D77" s="10"/>
      <c r="E77" s="10"/>
      <c r="F77" s="10"/>
      <c r="G77" s="3"/>
      <c r="H77" s="3"/>
      <c r="I77" s="3"/>
      <c r="J77" s="3"/>
      <c r="K77" s="3"/>
      <c r="L77" s="3"/>
      <c r="M77" s="3"/>
      <c r="N77" s="3"/>
      <c r="O77" s="3"/>
      <c r="P77" s="3"/>
      <c r="Q77" s="3"/>
      <c r="R77" s="3"/>
      <c r="S77" s="3"/>
      <c r="T77" s="3"/>
    </row>
    <row r="78" spans="1:20" ht="15.75" customHeight="1" x14ac:dyDescent="0.15">
      <c r="A78" s="3"/>
      <c r="B78" s="3"/>
      <c r="C78" s="3"/>
      <c r="D78" s="10"/>
      <c r="E78" s="10"/>
      <c r="F78" s="10"/>
      <c r="G78" s="3"/>
      <c r="H78" s="3"/>
      <c r="I78" s="3"/>
      <c r="J78" s="3"/>
      <c r="K78" s="3"/>
      <c r="L78" s="3"/>
      <c r="M78" s="3"/>
      <c r="N78" s="3"/>
      <c r="O78" s="3"/>
      <c r="P78" s="3"/>
      <c r="Q78" s="3"/>
      <c r="R78" s="3"/>
      <c r="S78" s="3"/>
      <c r="T78" s="3"/>
    </row>
    <row r="79" spans="1:20" ht="15.75" customHeight="1" x14ac:dyDescent="0.15">
      <c r="A79" s="3"/>
      <c r="B79" s="3"/>
      <c r="C79" s="3"/>
      <c r="D79" s="10"/>
      <c r="E79" s="10"/>
      <c r="F79" s="10"/>
      <c r="G79" s="3"/>
      <c r="H79" s="3"/>
      <c r="I79" s="3"/>
      <c r="J79" s="3"/>
      <c r="K79" s="3"/>
      <c r="L79" s="3"/>
      <c r="M79" s="3"/>
      <c r="N79" s="3"/>
      <c r="O79" s="3"/>
      <c r="P79" s="3"/>
      <c r="Q79" s="3"/>
      <c r="R79" s="3"/>
      <c r="S79" s="3"/>
      <c r="T79" s="3"/>
    </row>
    <row r="80" spans="1:20" ht="15.75" customHeight="1" x14ac:dyDescent="0.15">
      <c r="A80" s="3"/>
      <c r="B80" s="3"/>
      <c r="C80" s="3"/>
      <c r="D80" s="10"/>
      <c r="E80" s="10"/>
      <c r="F80" s="10"/>
      <c r="G80" s="3"/>
      <c r="H80" s="3"/>
      <c r="I80" s="3"/>
      <c r="J80" s="3"/>
      <c r="K80" s="3"/>
      <c r="L80" s="3"/>
      <c r="M80" s="3"/>
      <c r="N80" s="3"/>
      <c r="O80" s="3"/>
      <c r="P80" s="3"/>
      <c r="Q80" s="3"/>
      <c r="R80" s="3"/>
      <c r="S80" s="3"/>
      <c r="T80" s="3"/>
    </row>
    <row r="81" spans="1:20" ht="15.75" customHeight="1" x14ac:dyDescent="0.15">
      <c r="A81" s="3"/>
      <c r="B81" s="3"/>
      <c r="C81" s="3"/>
      <c r="D81" s="10"/>
      <c r="E81" s="10"/>
      <c r="F81" s="10"/>
      <c r="G81" s="3"/>
      <c r="H81" s="3"/>
      <c r="I81" s="3"/>
      <c r="J81" s="3"/>
      <c r="K81" s="3"/>
      <c r="L81" s="3"/>
      <c r="M81" s="3"/>
      <c r="N81" s="3"/>
      <c r="O81" s="3"/>
      <c r="P81" s="3"/>
      <c r="Q81" s="3"/>
      <c r="R81" s="3"/>
      <c r="S81" s="3"/>
      <c r="T81" s="3"/>
    </row>
    <row r="82" spans="1:20" ht="15.75" customHeight="1" x14ac:dyDescent="0.15">
      <c r="A82" s="3"/>
      <c r="B82" s="3"/>
      <c r="C82" s="3"/>
      <c r="D82" s="10"/>
      <c r="E82" s="10"/>
      <c r="F82" s="10"/>
      <c r="G82" s="3"/>
      <c r="H82" s="3"/>
      <c r="I82" s="3"/>
      <c r="J82" s="3"/>
      <c r="K82" s="3"/>
      <c r="L82" s="3"/>
      <c r="M82" s="3"/>
      <c r="N82" s="3"/>
      <c r="O82" s="3"/>
      <c r="P82" s="3"/>
      <c r="Q82" s="3"/>
      <c r="R82" s="3"/>
      <c r="S82" s="3"/>
      <c r="T82" s="3"/>
    </row>
    <row r="83" spans="1:20" ht="15.75" customHeight="1" x14ac:dyDescent="0.15">
      <c r="A83" s="3"/>
      <c r="B83" s="3"/>
      <c r="C83" s="3"/>
      <c r="D83" s="10"/>
      <c r="E83" s="10"/>
      <c r="F83" s="10"/>
      <c r="G83" s="3"/>
      <c r="H83" s="3"/>
      <c r="I83" s="3"/>
      <c r="J83" s="3"/>
      <c r="K83" s="3"/>
      <c r="L83" s="3"/>
      <c r="M83" s="3"/>
      <c r="N83" s="3"/>
      <c r="O83" s="3"/>
      <c r="P83" s="3"/>
      <c r="Q83" s="3"/>
      <c r="R83" s="3"/>
      <c r="S83" s="3"/>
      <c r="T83" s="3"/>
    </row>
    <row r="84" spans="1:20" ht="15.75" customHeight="1" x14ac:dyDescent="0.15">
      <c r="A84" s="3"/>
      <c r="B84" s="3"/>
      <c r="C84" s="3"/>
      <c r="D84" s="10"/>
      <c r="E84" s="10"/>
      <c r="F84" s="10"/>
      <c r="G84" s="3"/>
      <c r="H84" s="3"/>
      <c r="I84" s="3"/>
      <c r="J84" s="3"/>
      <c r="K84" s="3"/>
      <c r="L84" s="3"/>
      <c r="M84" s="3"/>
      <c r="N84" s="3"/>
      <c r="O84" s="3"/>
      <c r="P84" s="3"/>
      <c r="Q84" s="3"/>
      <c r="R84" s="3"/>
      <c r="S84" s="3"/>
      <c r="T84" s="3"/>
    </row>
    <row r="85" spans="1:20" ht="15.75" customHeight="1" x14ac:dyDescent="0.15">
      <c r="A85" s="3"/>
      <c r="B85" s="3"/>
      <c r="C85" s="3"/>
      <c r="D85" s="10"/>
      <c r="E85" s="10"/>
      <c r="F85" s="10"/>
      <c r="G85" s="3"/>
      <c r="H85" s="3"/>
      <c r="I85" s="3"/>
      <c r="J85" s="3"/>
      <c r="K85" s="3"/>
      <c r="L85" s="3"/>
      <c r="M85" s="3"/>
      <c r="N85" s="3"/>
      <c r="O85" s="3"/>
      <c r="P85" s="3"/>
      <c r="Q85" s="3"/>
      <c r="R85" s="3"/>
      <c r="S85" s="3"/>
      <c r="T85" s="3"/>
    </row>
    <row r="86" spans="1:20" ht="15.75" customHeight="1" x14ac:dyDescent="0.15">
      <c r="A86" s="3"/>
      <c r="B86" s="3"/>
      <c r="C86" s="3"/>
      <c r="D86" s="10"/>
      <c r="E86" s="10"/>
      <c r="F86" s="10"/>
      <c r="G86" s="3"/>
      <c r="H86" s="3"/>
      <c r="I86" s="3"/>
      <c r="J86" s="3"/>
      <c r="K86" s="3"/>
      <c r="L86" s="3"/>
      <c r="M86" s="3"/>
      <c r="N86" s="3"/>
      <c r="O86" s="3"/>
      <c r="P86" s="3"/>
      <c r="Q86" s="3"/>
      <c r="R86" s="3"/>
      <c r="S86" s="3"/>
      <c r="T86" s="3"/>
    </row>
    <row r="87" spans="1:20" ht="15.75" customHeight="1" x14ac:dyDescent="0.15">
      <c r="A87" s="3"/>
      <c r="B87" s="3"/>
      <c r="C87" s="3"/>
      <c r="D87" s="10"/>
      <c r="E87" s="10"/>
      <c r="F87" s="10"/>
      <c r="G87" s="3"/>
      <c r="H87" s="3"/>
      <c r="I87" s="3"/>
      <c r="J87" s="3"/>
      <c r="K87" s="3"/>
      <c r="L87" s="3"/>
      <c r="M87" s="3"/>
      <c r="N87" s="3"/>
      <c r="O87" s="3"/>
      <c r="P87" s="3"/>
      <c r="Q87" s="3"/>
      <c r="R87" s="3"/>
      <c r="S87" s="3"/>
      <c r="T87" s="3"/>
    </row>
    <row r="88" spans="1:20" ht="15.75" customHeight="1" x14ac:dyDescent="0.15">
      <c r="A88" s="3"/>
      <c r="B88" s="3"/>
      <c r="C88" s="3"/>
      <c r="D88" s="10"/>
      <c r="E88" s="10"/>
      <c r="F88" s="10"/>
      <c r="G88" s="3"/>
      <c r="H88" s="3"/>
      <c r="I88" s="3"/>
      <c r="J88" s="3"/>
      <c r="K88" s="3"/>
      <c r="L88" s="3"/>
      <c r="M88" s="3"/>
      <c r="N88" s="3"/>
      <c r="O88" s="3"/>
      <c r="P88" s="3"/>
      <c r="Q88" s="3"/>
      <c r="R88" s="3"/>
      <c r="S88" s="3"/>
      <c r="T88" s="3"/>
    </row>
    <row r="89" spans="1:20" ht="15.75" customHeight="1" x14ac:dyDescent="0.15">
      <c r="A89" s="3"/>
      <c r="B89" s="3"/>
      <c r="C89" s="3"/>
      <c r="D89" s="10"/>
      <c r="E89" s="10"/>
      <c r="F89" s="10"/>
      <c r="G89" s="3"/>
      <c r="H89" s="3"/>
      <c r="I89" s="3"/>
      <c r="J89" s="3"/>
      <c r="K89" s="3"/>
      <c r="L89" s="3"/>
      <c r="M89" s="3"/>
      <c r="N89" s="3"/>
      <c r="O89" s="3"/>
      <c r="P89" s="3"/>
      <c r="Q89" s="3"/>
      <c r="R89" s="3"/>
      <c r="S89" s="3"/>
      <c r="T89" s="3"/>
    </row>
    <row r="90" spans="1:20" ht="15.75" customHeight="1" x14ac:dyDescent="0.15">
      <c r="A90" s="3"/>
      <c r="B90" s="3"/>
      <c r="C90" s="3"/>
      <c r="D90" s="10"/>
      <c r="E90" s="10"/>
      <c r="F90" s="10"/>
      <c r="G90" s="3"/>
      <c r="H90" s="3"/>
      <c r="I90" s="3"/>
      <c r="J90" s="3"/>
      <c r="K90" s="3"/>
      <c r="L90" s="3"/>
      <c r="M90" s="3"/>
      <c r="N90" s="3"/>
      <c r="O90" s="3"/>
      <c r="P90" s="3"/>
      <c r="Q90" s="3"/>
      <c r="R90" s="3"/>
      <c r="S90" s="3"/>
      <c r="T90" s="3"/>
    </row>
    <row r="91" spans="1:20" ht="15.75" customHeight="1" x14ac:dyDescent="0.15">
      <c r="A91" s="3"/>
      <c r="B91" s="3"/>
      <c r="C91" s="3"/>
      <c r="D91" s="10"/>
      <c r="E91" s="10"/>
      <c r="F91" s="10"/>
      <c r="G91" s="3"/>
      <c r="H91" s="3"/>
      <c r="I91" s="3"/>
      <c r="J91" s="3"/>
      <c r="K91" s="3"/>
      <c r="L91" s="3"/>
      <c r="M91" s="3"/>
      <c r="N91" s="3"/>
      <c r="O91" s="3"/>
      <c r="P91" s="3"/>
      <c r="Q91" s="3"/>
      <c r="R91" s="3"/>
      <c r="S91" s="3"/>
      <c r="T91" s="3"/>
    </row>
    <row r="92" spans="1:20" ht="15.75" customHeight="1" x14ac:dyDescent="0.15">
      <c r="A92" s="3"/>
      <c r="B92" s="3"/>
      <c r="C92" s="3"/>
      <c r="D92" s="10"/>
      <c r="E92" s="10"/>
      <c r="F92" s="10"/>
      <c r="G92" s="3"/>
      <c r="H92" s="3"/>
      <c r="I92" s="3"/>
      <c r="J92" s="3"/>
      <c r="K92" s="3"/>
      <c r="L92" s="3"/>
      <c r="M92" s="3"/>
      <c r="N92" s="3"/>
      <c r="O92" s="3"/>
      <c r="P92" s="3"/>
      <c r="Q92" s="3"/>
      <c r="R92" s="3"/>
      <c r="S92" s="3"/>
      <c r="T92" s="3"/>
    </row>
    <row r="93" spans="1:20" ht="15.75" customHeight="1" x14ac:dyDescent="0.15">
      <c r="A93" s="3"/>
      <c r="B93" s="3"/>
      <c r="C93" s="3"/>
      <c r="D93" s="10"/>
      <c r="E93" s="10"/>
      <c r="F93" s="10"/>
      <c r="G93" s="3"/>
      <c r="H93" s="3"/>
      <c r="I93" s="3"/>
      <c r="J93" s="3"/>
      <c r="K93" s="3"/>
      <c r="L93" s="3"/>
      <c r="M93" s="3"/>
      <c r="N93" s="3"/>
      <c r="O93" s="3"/>
      <c r="P93" s="3"/>
      <c r="Q93" s="3"/>
      <c r="R93" s="3"/>
      <c r="S93" s="3"/>
      <c r="T93" s="3"/>
    </row>
    <row r="94" spans="1:20" ht="15.75" customHeight="1" x14ac:dyDescent="0.15">
      <c r="A94" s="3"/>
      <c r="B94" s="3"/>
      <c r="C94" s="3"/>
      <c r="D94" s="10"/>
      <c r="E94" s="10"/>
      <c r="F94" s="10"/>
      <c r="G94" s="3"/>
      <c r="H94" s="3"/>
      <c r="I94" s="3"/>
      <c r="J94" s="3"/>
      <c r="K94" s="3"/>
      <c r="L94" s="3"/>
      <c r="M94" s="3"/>
      <c r="N94" s="3"/>
      <c r="O94" s="3"/>
      <c r="P94" s="3"/>
      <c r="Q94" s="3"/>
      <c r="R94" s="3"/>
      <c r="S94" s="3"/>
      <c r="T94" s="3"/>
    </row>
    <row r="95" spans="1:20" ht="15.75" customHeight="1" x14ac:dyDescent="0.15">
      <c r="A95" s="3"/>
      <c r="B95" s="3"/>
      <c r="C95" s="3"/>
      <c r="D95" s="10"/>
      <c r="E95" s="10"/>
      <c r="F95" s="10"/>
      <c r="G95" s="3"/>
      <c r="H95" s="3"/>
      <c r="I95" s="3"/>
      <c r="J95" s="3"/>
      <c r="K95" s="3"/>
      <c r="L95" s="3"/>
      <c r="M95" s="3"/>
      <c r="N95" s="3"/>
      <c r="O95" s="3"/>
      <c r="P95" s="3"/>
      <c r="Q95" s="3"/>
      <c r="R95" s="3"/>
      <c r="S95" s="3"/>
      <c r="T95" s="3"/>
    </row>
    <row r="96" spans="1:20" ht="15.75" customHeight="1" x14ac:dyDescent="0.15">
      <c r="A96" s="3"/>
      <c r="B96" s="3"/>
      <c r="C96" s="3"/>
      <c r="D96" s="10"/>
      <c r="E96" s="10"/>
      <c r="F96" s="10"/>
      <c r="G96" s="3"/>
      <c r="H96" s="3"/>
      <c r="I96" s="3"/>
      <c r="J96" s="3"/>
      <c r="K96" s="3"/>
      <c r="L96" s="3"/>
      <c r="M96" s="3"/>
      <c r="N96" s="3"/>
      <c r="O96" s="3"/>
      <c r="P96" s="3"/>
      <c r="Q96" s="3"/>
      <c r="R96" s="3"/>
      <c r="S96" s="3"/>
      <c r="T96" s="3"/>
    </row>
    <row r="97" spans="1:20" ht="15.75" customHeight="1" x14ac:dyDescent="0.15">
      <c r="A97" s="3"/>
      <c r="B97" s="3"/>
      <c r="C97" s="3"/>
      <c r="D97" s="10"/>
      <c r="E97" s="10"/>
      <c r="F97" s="10"/>
      <c r="G97" s="3"/>
      <c r="H97" s="3"/>
      <c r="I97" s="3"/>
      <c r="J97" s="3"/>
      <c r="K97" s="3"/>
      <c r="L97" s="3"/>
      <c r="M97" s="3"/>
      <c r="N97" s="3"/>
      <c r="O97" s="3"/>
      <c r="P97" s="3"/>
      <c r="Q97" s="3"/>
      <c r="R97" s="3"/>
      <c r="S97" s="3"/>
      <c r="T97" s="3"/>
    </row>
    <row r="98" spans="1:20" ht="15.75" customHeight="1" x14ac:dyDescent="0.15">
      <c r="A98" s="3"/>
      <c r="B98" s="3"/>
      <c r="C98" s="3"/>
      <c r="D98" s="10"/>
      <c r="E98" s="10"/>
      <c r="F98" s="10"/>
      <c r="G98" s="3"/>
      <c r="H98" s="3"/>
      <c r="I98" s="3"/>
      <c r="J98" s="3"/>
      <c r="K98" s="3"/>
      <c r="L98" s="3"/>
      <c r="M98" s="3"/>
      <c r="N98" s="3"/>
      <c r="O98" s="3"/>
      <c r="P98" s="3"/>
      <c r="Q98" s="3"/>
      <c r="R98" s="3"/>
      <c r="S98" s="3"/>
      <c r="T98" s="3"/>
    </row>
    <row r="99" spans="1:20" ht="15.75" customHeight="1" x14ac:dyDescent="0.15">
      <c r="A99" s="3"/>
      <c r="B99" s="3"/>
      <c r="C99" s="3"/>
      <c r="D99" s="10"/>
      <c r="E99" s="10"/>
      <c r="F99" s="10"/>
      <c r="G99" s="3"/>
      <c r="H99" s="3"/>
      <c r="I99" s="3"/>
      <c r="J99" s="3"/>
      <c r="K99" s="3"/>
      <c r="L99" s="3"/>
      <c r="M99" s="3"/>
      <c r="N99" s="3"/>
      <c r="O99" s="3"/>
      <c r="P99" s="3"/>
      <c r="Q99" s="3"/>
      <c r="R99" s="3"/>
      <c r="S99" s="3"/>
      <c r="T99" s="3"/>
    </row>
    <row r="100" spans="1:20" ht="15.75" customHeight="1" x14ac:dyDescent="0.15">
      <c r="A100" s="3"/>
      <c r="B100" s="3"/>
      <c r="C100" s="3"/>
      <c r="D100" s="10"/>
      <c r="E100" s="10"/>
      <c r="F100" s="10"/>
      <c r="G100" s="3"/>
      <c r="H100" s="3"/>
      <c r="I100" s="3"/>
      <c r="J100" s="3"/>
      <c r="K100" s="3"/>
      <c r="L100" s="3"/>
      <c r="M100" s="3"/>
      <c r="N100" s="3"/>
      <c r="O100" s="3"/>
      <c r="P100" s="3"/>
      <c r="Q100" s="3"/>
      <c r="R100" s="3"/>
      <c r="S100" s="3"/>
      <c r="T100" s="3"/>
    </row>
    <row r="101" spans="1:20" ht="15.75" customHeight="1" x14ac:dyDescent="0.15">
      <c r="A101" s="3"/>
      <c r="B101" s="3"/>
      <c r="C101" s="3"/>
      <c r="D101" s="10"/>
      <c r="E101" s="10"/>
      <c r="F101" s="10"/>
      <c r="G101" s="3"/>
      <c r="H101" s="3"/>
      <c r="I101" s="3"/>
      <c r="J101" s="3"/>
      <c r="K101" s="3"/>
      <c r="L101" s="3"/>
      <c r="M101" s="3"/>
      <c r="N101" s="3"/>
      <c r="O101" s="3"/>
      <c r="P101" s="3"/>
      <c r="Q101" s="3"/>
      <c r="R101" s="3"/>
      <c r="S101" s="3"/>
      <c r="T101" s="3"/>
    </row>
    <row r="102" spans="1:20" ht="15.75" customHeight="1" x14ac:dyDescent="0.15">
      <c r="A102" s="3"/>
      <c r="B102" s="3"/>
      <c r="C102" s="3"/>
      <c r="D102" s="10"/>
      <c r="E102" s="10"/>
      <c r="F102" s="10"/>
      <c r="G102" s="3"/>
      <c r="H102" s="3"/>
      <c r="I102" s="3"/>
      <c r="J102" s="3"/>
      <c r="K102" s="3"/>
      <c r="L102" s="3"/>
      <c r="M102" s="3"/>
      <c r="N102" s="3"/>
      <c r="O102" s="3"/>
      <c r="P102" s="3"/>
      <c r="Q102" s="3"/>
      <c r="R102" s="3"/>
      <c r="S102" s="3"/>
      <c r="T102" s="3"/>
    </row>
    <row r="103" spans="1:20" ht="15.75" customHeight="1" x14ac:dyDescent="0.15">
      <c r="A103" s="3"/>
      <c r="B103" s="3"/>
      <c r="C103" s="3"/>
      <c r="D103" s="10"/>
      <c r="E103" s="10"/>
      <c r="F103" s="10"/>
      <c r="G103" s="3"/>
      <c r="H103" s="3"/>
      <c r="I103" s="3"/>
      <c r="J103" s="3"/>
      <c r="K103" s="3"/>
      <c r="L103" s="3"/>
      <c r="M103" s="3"/>
      <c r="N103" s="3"/>
      <c r="O103" s="3"/>
      <c r="P103" s="3"/>
      <c r="Q103" s="3"/>
      <c r="R103" s="3"/>
      <c r="S103" s="3"/>
      <c r="T103" s="3"/>
    </row>
    <row r="104" spans="1:20" ht="15.75" customHeight="1" x14ac:dyDescent="0.15">
      <c r="A104" s="3"/>
      <c r="B104" s="3"/>
      <c r="C104" s="3"/>
      <c r="D104" s="10"/>
      <c r="E104" s="10"/>
      <c r="F104" s="10"/>
      <c r="G104" s="3"/>
      <c r="H104" s="3"/>
      <c r="I104" s="3"/>
      <c r="J104" s="3"/>
      <c r="K104" s="3"/>
      <c r="L104" s="3"/>
      <c r="M104" s="3"/>
      <c r="N104" s="3"/>
      <c r="O104" s="3"/>
      <c r="P104" s="3"/>
      <c r="Q104" s="3"/>
      <c r="R104" s="3"/>
      <c r="S104" s="3"/>
      <c r="T104" s="3"/>
    </row>
    <row r="105" spans="1:20" ht="15.75" customHeight="1" x14ac:dyDescent="0.15">
      <c r="A105" s="3"/>
      <c r="B105" s="3"/>
      <c r="C105" s="3"/>
      <c r="D105" s="10"/>
      <c r="E105" s="10"/>
      <c r="F105" s="10"/>
      <c r="G105" s="3"/>
      <c r="H105" s="3"/>
      <c r="I105" s="3"/>
      <c r="J105" s="3"/>
      <c r="K105" s="3"/>
      <c r="L105" s="3"/>
      <c r="M105" s="3"/>
      <c r="N105" s="3"/>
      <c r="O105" s="3"/>
      <c r="P105" s="3"/>
      <c r="Q105" s="3"/>
      <c r="R105" s="3"/>
      <c r="S105" s="3"/>
      <c r="T105" s="3"/>
    </row>
    <row r="106" spans="1:20" ht="15.75" customHeight="1" x14ac:dyDescent="0.15">
      <c r="A106" s="3"/>
      <c r="B106" s="3"/>
      <c r="C106" s="3"/>
      <c r="D106" s="10"/>
      <c r="E106" s="10"/>
      <c r="F106" s="10"/>
      <c r="G106" s="3"/>
      <c r="H106" s="3"/>
      <c r="I106" s="3"/>
      <c r="J106" s="3"/>
      <c r="K106" s="3"/>
      <c r="L106" s="3"/>
      <c r="M106" s="3"/>
      <c r="N106" s="3"/>
      <c r="O106" s="3"/>
      <c r="P106" s="3"/>
      <c r="Q106" s="3"/>
      <c r="R106" s="3"/>
      <c r="S106" s="3"/>
      <c r="T106" s="3"/>
    </row>
    <row r="107" spans="1:20" ht="15.75" customHeight="1" x14ac:dyDescent="0.15">
      <c r="A107" s="3"/>
      <c r="B107" s="3"/>
      <c r="C107" s="3"/>
      <c r="D107" s="10"/>
      <c r="E107" s="10"/>
      <c r="F107" s="10"/>
      <c r="G107" s="3"/>
      <c r="H107" s="3"/>
      <c r="I107" s="3"/>
      <c r="J107" s="3"/>
      <c r="K107" s="3"/>
      <c r="L107" s="3"/>
      <c r="M107" s="3"/>
      <c r="N107" s="3"/>
      <c r="O107" s="3"/>
      <c r="P107" s="3"/>
      <c r="Q107" s="3"/>
      <c r="R107" s="3"/>
      <c r="S107" s="3"/>
      <c r="T107" s="3"/>
    </row>
    <row r="108" spans="1:20" ht="15.75" customHeight="1" x14ac:dyDescent="0.15">
      <c r="A108" s="3"/>
      <c r="B108" s="3"/>
      <c r="C108" s="3"/>
      <c r="D108" s="10"/>
      <c r="E108" s="10"/>
      <c r="F108" s="10"/>
      <c r="G108" s="3"/>
      <c r="H108" s="3"/>
      <c r="I108" s="3"/>
      <c r="J108" s="3"/>
      <c r="K108" s="3"/>
      <c r="L108" s="3"/>
      <c r="M108" s="3"/>
      <c r="N108" s="3"/>
      <c r="O108" s="3"/>
      <c r="P108" s="3"/>
      <c r="Q108" s="3"/>
      <c r="R108" s="3"/>
      <c r="S108" s="3"/>
      <c r="T108" s="3"/>
    </row>
    <row r="109" spans="1:20" ht="15.75" customHeight="1" x14ac:dyDescent="0.15">
      <c r="A109" s="3"/>
      <c r="B109" s="3"/>
      <c r="C109" s="3"/>
      <c r="D109" s="10"/>
      <c r="E109" s="10"/>
      <c r="F109" s="10"/>
      <c r="G109" s="3"/>
      <c r="H109" s="3"/>
      <c r="I109" s="3"/>
      <c r="J109" s="3"/>
      <c r="K109" s="3"/>
      <c r="L109" s="3"/>
      <c r="M109" s="3"/>
      <c r="N109" s="3"/>
      <c r="O109" s="3"/>
      <c r="P109" s="3"/>
      <c r="Q109" s="3"/>
      <c r="R109" s="3"/>
      <c r="S109" s="3"/>
      <c r="T109" s="3"/>
    </row>
    <row r="110" spans="1:20" ht="15.75" customHeight="1" x14ac:dyDescent="0.15">
      <c r="A110" s="3"/>
      <c r="B110" s="3"/>
      <c r="C110" s="3"/>
      <c r="D110" s="10"/>
      <c r="E110" s="10"/>
      <c r="F110" s="10"/>
      <c r="G110" s="3"/>
      <c r="H110" s="3"/>
      <c r="I110" s="3"/>
      <c r="J110" s="3"/>
      <c r="K110" s="3"/>
      <c r="L110" s="3"/>
      <c r="M110" s="3"/>
      <c r="N110" s="3"/>
      <c r="O110" s="3"/>
      <c r="P110" s="3"/>
      <c r="Q110" s="3"/>
      <c r="R110" s="3"/>
      <c r="S110" s="3"/>
      <c r="T110" s="3"/>
    </row>
    <row r="111" spans="1:20" ht="15.75" customHeight="1" x14ac:dyDescent="0.15">
      <c r="A111" s="3"/>
      <c r="B111" s="3"/>
      <c r="C111" s="3"/>
      <c r="D111" s="10"/>
      <c r="E111" s="10"/>
      <c r="F111" s="10"/>
      <c r="G111" s="3"/>
      <c r="H111" s="3"/>
      <c r="I111" s="3"/>
      <c r="J111" s="3"/>
      <c r="K111" s="3"/>
      <c r="L111" s="3"/>
      <c r="M111" s="3"/>
      <c r="N111" s="3"/>
      <c r="O111" s="3"/>
      <c r="P111" s="3"/>
      <c r="Q111" s="3"/>
      <c r="R111" s="3"/>
      <c r="S111" s="3"/>
      <c r="T111" s="3"/>
    </row>
    <row r="112" spans="1:20" ht="15.75" customHeight="1" x14ac:dyDescent="0.15">
      <c r="A112" s="3"/>
      <c r="B112" s="3"/>
      <c r="C112" s="3"/>
      <c r="D112" s="10"/>
      <c r="E112" s="10"/>
      <c r="F112" s="10"/>
      <c r="G112" s="3"/>
      <c r="H112" s="3"/>
      <c r="I112" s="3"/>
      <c r="J112" s="3"/>
      <c r="K112" s="3"/>
      <c r="L112" s="3"/>
      <c r="M112" s="3"/>
      <c r="N112" s="3"/>
      <c r="O112" s="3"/>
      <c r="P112" s="3"/>
      <c r="Q112" s="3"/>
      <c r="R112" s="3"/>
      <c r="S112" s="3"/>
      <c r="T112" s="3"/>
    </row>
    <row r="113" spans="1:20" ht="15.75" customHeight="1" x14ac:dyDescent="0.15">
      <c r="A113" s="3"/>
      <c r="B113" s="3"/>
      <c r="C113" s="3"/>
      <c r="D113" s="10"/>
      <c r="E113" s="10"/>
      <c r="F113" s="10"/>
      <c r="G113" s="3"/>
      <c r="H113" s="3"/>
      <c r="I113" s="3"/>
      <c r="J113" s="3"/>
      <c r="K113" s="3"/>
      <c r="L113" s="3"/>
      <c r="M113" s="3"/>
      <c r="N113" s="3"/>
      <c r="O113" s="3"/>
      <c r="P113" s="3"/>
      <c r="Q113" s="3"/>
      <c r="R113" s="3"/>
      <c r="S113" s="3"/>
      <c r="T113" s="3"/>
    </row>
    <row r="114" spans="1:20" ht="15.75" customHeight="1" x14ac:dyDescent="0.15">
      <c r="A114" s="3"/>
      <c r="B114" s="3"/>
      <c r="C114" s="3"/>
      <c r="D114" s="10"/>
      <c r="E114" s="10"/>
      <c r="F114" s="10"/>
      <c r="G114" s="3"/>
      <c r="H114" s="3"/>
      <c r="I114" s="3"/>
      <c r="J114" s="3"/>
      <c r="K114" s="3"/>
      <c r="L114" s="3"/>
      <c r="M114" s="3"/>
      <c r="N114" s="3"/>
      <c r="O114" s="3"/>
      <c r="P114" s="3"/>
      <c r="Q114" s="3"/>
      <c r="R114" s="3"/>
      <c r="S114" s="3"/>
      <c r="T114" s="3"/>
    </row>
    <row r="115" spans="1:20" ht="15.75" customHeight="1" x14ac:dyDescent="0.15">
      <c r="A115" s="3"/>
      <c r="B115" s="3"/>
      <c r="C115" s="3"/>
      <c r="D115" s="10"/>
      <c r="E115" s="10"/>
      <c r="F115" s="10"/>
      <c r="G115" s="3"/>
      <c r="H115" s="3"/>
      <c r="I115" s="3"/>
      <c r="J115" s="3"/>
      <c r="K115" s="3"/>
      <c r="L115" s="3"/>
      <c r="M115" s="3"/>
      <c r="N115" s="3"/>
      <c r="O115" s="3"/>
      <c r="P115" s="3"/>
      <c r="Q115" s="3"/>
      <c r="R115" s="3"/>
      <c r="S115" s="3"/>
      <c r="T115" s="3"/>
    </row>
    <row r="116" spans="1:20" ht="15.75" customHeight="1" x14ac:dyDescent="0.15">
      <c r="A116" s="3"/>
      <c r="B116" s="3"/>
      <c r="C116" s="3"/>
      <c r="D116" s="10"/>
      <c r="E116" s="10"/>
      <c r="F116" s="10"/>
      <c r="G116" s="3"/>
      <c r="H116" s="3"/>
      <c r="I116" s="3"/>
      <c r="J116" s="3"/>
      <c r="K116" s="3"/>
      <c r="L116" s="3"/>
      <c r="M116" s="3"/>
      <c r="N116" s="3"/>
      <c r="O116" s="3"/>
      <c r="P116" s="3"/>
      <c r="Q116" s="3"/>
      <c r="R116" s="3"/>
      <c r="S116" s="3"/>
      <c r="T116" s="3"/>
    </row>
    <row r="117" spans="1:20" ht="15.75" customHeight="1" x14ac:dyDescent="0.15">
      <c r="A117" s="3"/>
      <c r="B117" s="3"/>
      <c r="C117" s="3"/>
      <c r="D117" s="10"/>
      <c r="E117" s="10"/>
      <c r="F117" s="10"/>
      <c r="G117" s="3"/>
      <c r="H117" s="3"/>
      <c r="I117" s="3"/>
      <c r="J117" s="3"/>
      <c r="K117" s="3"/>
      <c r="L117" s="3"/>
      <c r="M117" s="3"/>
      <c r="N117" s="3"/>
      <c r="O117" s="3"/>
      <c r="P117" s="3"/>
      <c r="Q117" s="3"/>
      <c r="R117" s="3"/>
      <c r="S117" s="3"/>
      <c r="T117" s="3"/>
    </row>
    <row r="118" spans="1:20" ht="15.75" customHeight="1" x14ac:dyDescent="0.15">
      <c r="A118" s="3"/>
      <c r="B118" s="3"/>
      <c r="C118" s="3"/>
      <c r="D118" s="10"/>
      <c r="E118" s="10"/>
      <c r="F118" s="10"/>
      <c r="G118" s="3"/>
      <c r="H118" s="3"/>
      <c r="I118" s="3"/>
      <c r="J118" s="3"/>
      <c r="K118" s="3"/>
      <c r="L118" s="3"/>
      <c r="M118" s="3"/>
      <c r="N118" s="3"/>
      <c r="O118" s="3"/>
      <c r="P118" s="3"/>
      <c r="Q118" s="3"/>
      <c r="R118" s="3"/>
      <c r="S118" s="3"/>
      <c r="T118" s="3"/>
    </row>
    <row r="119" spans="1:20" ht="15.75" customHeight="1" x14ac:dyDescent="0.15">
      <c r="A119" s="3"/>
      <c r="B119" s="3"/>
      <c r="C119" s="3"/>
      <c r="D119" s="10"/>
      <c r="E119" s="10"/>
      <c r="F119" s="10"/>
      <c r="G119" s="3"/>
      <c r="H119" s="3"/>
      <c r="I119" s="3"/>
      <c r="J119" s="3"/>
      <c r="K119" s="3"/>
      <c r="L119" s="3"/>
      <c r="M119" s="3"/>
      <c r="N119" s="3"/>
      <c r="O119" s="3"/>
      <c r="P119" s="3"/>
      <c r="Q119" s="3"/>
      <c r="R119" s="3"/>
      <c r="S119" s="3"/>
      <c r="T119" s="3"/>
    </row>
    <row r="120" spans="1:20" ht="15.75" customHeight="1" x14ac:dyDescent="0.15">
      <c r="A120" s="3"/>
      <c r="B120" s="3"/>
      <c r="C120" s="3"/>
      <c r="D120" s="10"/>
      <c r="E120" s="10"/>
      <c r="F120" s="10"/>
      <c r="G120" s="3"/>
      <c r="H120" s="3"/>
      <c r="I120" s="3"/>
      <c r="J120" s="3"/>
      <c r="K120" s="3"/>
      <c r="L120" s="3"/>
      <c r="M120" s="3"/>
      <c r="N120" s="3"/>
      <c r="O120" s="3"/>
      <c r="P120" s="3"/>
      <c r="Q120" s="3"/>
      <c r="R120" s="3"/>
      <c r="S120" s="3"/>
      <c r="T120" s="3"/>
    </row>
    <row r="121" spans="1:20" ht="15.75" customHeight="1" x14ac:dyDescent="0.15">
      <c r="A121" s="3"/>
      <c r="B121" s="3"/>
      <c r="C121" s="3"/>
      <c r="D121" s="10"/>
      <c r="E121" s="10"/>
      <c r="F121" s="10"/>
      <c r="G121" s="3"/>
      <c r="H121" s="3"/>
      <c r="I121" s="3"/>
      <c r="J121" s="3"/>
      <c r="K121" s="3"/>
      <c r="L121" s="3"/>
      <c r="M121" s="3"/>
      <c r="N121" s="3"/>
      <c r="O121" s="3"/>
      <c r="P121" s="3"/>
      <c r="Q121" s="3"/>
      <c r="R121" s="3"/>
      <c r="S121" s="3"/>
      <c r="T121" s="3"/>
    </row>
    <row r="122" spans="1:20" ht="15.75" customHeight="1" x14ac:dyDescent="0.15">
      <c r="A122" s="3"/>
      <c r="B122" s="3"/>
      <c r="C122" s="3"/>
      <c r="D122" s="10"/>
      <c r="E122" s="10"/>
      <c r="F122" s="10"/>
      <c r="G122" s="3"/>
      <c r="H122" s="3"/>
      <c r="I122" s="3"/>
      <c r="J122" s="3"/>
      <c r="K122" s="3"/>
      <c r="L122" s="3"/>
      <c r="M122" s="3"/>
      <c r="N122" s="3"/>
      <c r="O122" s="3"/>
      <c r="P122" s="3"/>
      <c r="Q122" s="3"/>
      <c r="R122" s="3"/>
      <c r="S122" s="3"/>
      <c r="T122" s="3"/>
    </row>
    <row r="123" spans="1:20" ht="15.75" customHeight="1" x14ac:dyDescent="0.15">
      <c r="A123" s="3"/>
      <c r="B123" s="3"/>
      <c r="C123" s="3"/>
      <c r="D123" s="10"/>
      <c r="E123" s="10"/>
      <c r="F123" s="10"/>
      <c r="G123" s="3"/>
      <c r="H123" s="3"/>
      <c r="I123" s="3"/>
      <c r="J123" s="3"/>
      <c r="K123" s="3"/>
      <c r="L123" s="3"/>
      <c r="M123" s="3"/>
      <c r="N123" s="3"/>
      <c r="O123" s="3"/>
      <c r="P123" s="3"/>
      <c r="Q123" s="3"/>
      <c r="R123" s="3"/>
      <c r="S123" s="3"/>
      <c r="T123" s="3"/>
    </row>
    <row r="124" spans="1:20" ht="15.75" customHeight="1" x14ac:dyDescent="0.15">
      <c r="A124" s="3"/>
      <c r="B124" s="3"/>
      <c r="C124" s="3"/>
      <c r="D124" s="10"/>
      <c r="E124" s="10"/>
      <c r="F124" s="10"/>
      <c r="G124" s="3"/>
      <c r="H124" s="3"/>
      <c r="I124" s="3"/>
      <c r="J124" s="3"/>
      <c r="K124" s="3"/>
      <c r="L124" s="3"/>
      <c r="M124" s="3"/>
      <c r="N124" s="3"/>
      <c r="O124" s="3"/>
      <c r="P124" s="3"/>
      <c r="Q124" s="3"/>
      <c r="R124" s="3"/>
      <c r="S124" s="3"/>
      <c r="T124" s="3"/>
    </row>
    <row r="125" spans="1:20" ht="15.75" customHeight="1" x14ac:dyDescent="0.15">
      <c r="A125" s="3"/>
      <c r="B125" s="3"/>
      <c r="C125" s="3"/>
      <c r="D125" s="10"/>
      <c r="E125" s="10"/>
      <c r="F125" s="10"/>
      <c r="G125" s="3"/>
      <c r="H125" s="3"/>
      <c r="I125" s="3"/>
      <c r="J125" s="3"/>
      <c r="K125" s="3"/>
      <c r="L125" s="3"/>
      <c r="M125" s="3"/>
      <c r="N125" s="3"/>
      <c r="O125" s="3"/>
      <c r="P125" s="3"/>
      <c r="Q125" s="3"/>
      <c r="R125" s="3"/>
      <c r="S125" s="3"/>
      <c r="T125" s="3"/>
    </row>
    <row r="126" spans="1:20" ht="15.75" customHeight="1" x14ac:dyDescent="0.15">
      <c r="A126" s="3"/>
      <c r="B126" s="3"/>
      <c r="C126" s="3"/>
      <c r="D126" s="10"/>
      <c r="E126" s="10"/>
      <c r="F126" s="10"/>
      <c r="G126" s="3"/>
      <c r="H126" s="3"/>
      <c r="I126" s="3"/>
      <c r="J126" s="3"/>
      <c r="K126" s="3"/>
      <c r="L126" s="3"/>
      <c r="M126" s="3"/>
      <c r="N126" s="3"/>
      <c r="O126" s="3"/>
      <c r="P126" s="3"/>
      <c r="Q126" s="3"/>
      <c r="R126" s="3"/>
      <c r="S126" s="3"/>
      <c r="T126" s="3"/>
    </row>
    <row r="127" spans="1:20" ht="15.75" customHeight="1" x14ac:dyDescent="0.15">
      <c r="A127" s="3"/>
      <c r="B127" s="3"/>
      <c r="C127" s="3"/>
      <c r="D127" s="10"/>
      <c r="E127" s="10"/>
      <c r="F127" s="10"/>
      <c r="G127" s="3"/>
      <c r="H127" s="3"/>
      <c r="I127" s="3"/>
      <c r="J127" s="3"/>
      <c r="K127" s="3"/>
      <c r="L127" s="3"/>
      <c r="M127" s="3"/>
      <c r="N127" s="3"/>
      <c r="O127" s="3"/>
      <c r="P127" s="3"/>
      <c r="Q127" s="3"/>
      <c r="R127" s="3"/>
      <c r="S127" s="3"/>
      <c r="T127" s="3"/>
    </row>
    <row r="128" spans="1:20" ht="15.75" customHeight="1" x14ac:dyDescent="0.15">
      <c r="A128" s="3"/>
      <c r="B128" s="3"/>
      <c r="C128" s="3"/>
      <c r="D128" s="10"/>
      <c r="E128" s="10"/>
      <c r="F128" s="10"/>
      <c r="G128" s="3"/>
      <c r="H128" s="3"/>
      <c r="I128" s="3"/>
      <c r="J128" s="3"/>
      <c r="K128" s="3"/>
      <c r="L128" s="3"/>
      <c r="M128" s="3"/>
      <c r="N128" s="3"/>
      <c r="O128" s="3"/>
      <c r="P128" s="3"/>
      <c r="Q128" s="3"/>
      <c r="R128" s="3"/>
      <c r="S128" s="3"/>
      <c r="T128" s="3"/>
    </row>
    <row r="129" spans="1:20" ht="15.75" customHeight="1" x14ac:dyDescent="0.15">
      <c r="A129" s="3"/>
      <c r="B129" s="3"/>
      <c r="C129" s="3"/>
      <c r="D129" s="10"/>
      <c r="E129" s="10"/>
      <c r="F129" s="10"/>
      <c r="G129" s="3"/>
      <c r="H129" s="3"/>
      <c r="I129" s="3"/>
      <c r="J129" s="3"/>
      <c r="K129" s="3"/>
      <c r="L129" s="3"/>
      <c r="M129" s="3"/>
      <c r="N129" s="3"/>
      <c r="O129" s="3"/>
      <c r="P129" s="3"/>
      <c r="Q129" s="3"/>
      <c r="R129" s="3"/>
      <c r="S129" s="3"/>
      <c r="T129" s="3"/>
    </row>
    <row r="130" spans="1:20" ht="15.75" customHeight="1" x14ac:dyDescent="0.15">
      <c r="A130" s="3"/>
      <c r="B130" s="3"/>
      <c r="C130" s="3"/>
      <c r="D130" s="10"/>
      <c r="E130" s="10"/>
      <c r="F130" s="10"/>
      <c r="G130" s="3"/>
      <c r="H130" s="3"/>
      <c r="I130" s="3"/>
      <c r="J130" s="3"/>
      <c r="K130" s="3"/>
      <c r="L130" s="3"/>
      <c r="M130" s="3"/>
      <c r="N130" s="3"/>
      <c r="O130" s="3"/>
      <c r="P130" s="3"/>
      <c r="Q130" s="3"/>
      <c r="R130" s="3"/>
      <c r="S130" s="3"/>
      <c r="T130" s="3"/>
    </row>
    <row r="131" spans="1:20" ht="15.75" customHeight="1" x14ac:dyDescent="0.15">
      <c r="A131" s="3"/>
      <c r="B131" s="3"/>
      <c r="C131" s="3"/>
      <c r="D131" s="10"/>
      <c r="E131" s="10"/>
      <c r="F131" s="10"/>
      <c r="G131" s="3"/>
      <c r="H131" s="3"/>
      <c r="I131" s="3"/>
      <c r="J131" s="3"/>
      <c r="K131" s="3"/>
      <c r="L131" s="3"/>
      <c r="M131" s="3"/>
      <c r="N131" s="3"/>
      <c r="O131" s="3"/>
      <c r="P131" s="3"/>
      <c r="Q131" s="3"/>
      <c r="R131" s="3"/>
      <c r="S131" s="3"/>
      <c r="T131" s="3"/>
    </row>
    <row r="132" spans="1:20" ht="15.75" customHeight="1" x14ac:dyDescent="0.15">
      <c r="A132" s="3"/>
      <c r="B132" s="3"/>
      <c r="C132" s="3"/>
      <c r="D132" s="10"/>
      <c r="E132" s="10"/>
      <c r="F132" s="10"/>
      <c r="G132" s="3"/>
      <c r="H132" s="3"/>
      <c r="I132" s="3"/>
      <c r="J132" s="3"/>
      <c r="K132" s="3"/>
      <c r="L132" s="3"/>
      <c r="M132" s="3"/>
      <c r="N132" s="3"/>
      <c r="O132" s="3"/>
      <c r="P132" s="3"/>
      <c r="Q132" s="3"/>
      <c r="R132" s="3"/>
      <c r="S132" s="3"/>
      <c r="T132" s="3"/>
    </row>
    <row r="133" spans="1:20" ht="15.75" customHeight="1" x14ac:dyDescent="0.15">
      <c r="A133" s="3"/>
      <c r="B133" s="3"/>
      <c r="C133" s="3"/>
      <c r="D133" s="10"/>
      <c r="E133" s="10"/>
      <c r="F133" s="10"/>
      <c r="G133" s="3"/>
      <c r="H133" s="3"/>
      <c r="I133" s="3"/>
      <c r="J133" s="3"/>
      <c r="K133" s="3"/>
      <c r="L133" s="3"/>
      <c r="M133" s="3"/>
      <c r="N133" s="3"/>
      <c r="O133" s="3"/>
      <c r="P133" s="3"/>
      <c r="Q133" s="3"/>
      <c r="R133" s="3"/>
      <c r="S133" s="3"/>
      <c r="T133" s="3"/>
    </row>
    <row r="134" spans="1:20" ht="15.75" customHeight="1" x14ac:dyDescent="0.15">
      <c r="A134" s="3"/>
      <c r="B134" s="3"/>
      <c r="C134" s="3"/>
      <c r="D134" s="10"/>
      <c r="E134" s="10"/>
      <c r="F134" s="10"/>
      <c r="G134" s="3"/>
      <c r="H134" s="3"/>
      <c r="I134" s="3"/>
      <c r="J134" s="3"/>
      <c r="K134" s="3"/>
      <c r="L134" s="3"/>
      <c r="M134" s="3"/>
      <c r="N134" s="3"/>
      <c r="O134" s="3"/>
      <c r="P134" s="3"/>
      <c r="Q134" s="3"/>
      <c r="R134" s="3"/>
      <c r="S134" s="3"/>
      <c r="T134" s="3"/>
    </row>
    <row r="135" spans="1:20" ht="15.75" customHeight="1" x14ac:dyDescent="0.15">
      <c r="A135" s="3"/>
      <c r="B135" s="3"/>
      <c r="C135" s="3"/>
      <c r="D135" s="10"/>
      <c r="E135" s="10"/>
      <c r="F135" s="10"/>
      <c r="G135" s="3"/>
      <c r="H135" s="3"/>
      <c r="I135" s="3"/>
      <c r="J135" s="3"/>
      <c r="K135" s="3"/>
      <c r="L135" s="3"/>
      <c r="M135" s="3"/>
      <c r="N135" s="3"/>
      <c r="O135" s="3"/>
      <c r="P135" s="3"/>
      <c r="Q135" s="3"/>
      <c r="R135" s="3"/>
      <c r="S135" s="3"/>
      <c r="T135" s="3"/>
    </row>
    <row r="136" spans="1:20" ht="15.75" customHeight="1" x14ac:dyDescent="0.15">
      <c r="A136" s="3"/>
      <c r="B136" s="3"/>
      <c r="C136" s="3"/>
      <c r="D136" s="10"/>
      <c r="E136" s="10"/>
      <c r="F136" s="10"/>
      <c r="G136" s="3"/>
      <c r="H136" s="3"/>
      <c r="I136" s="3"/>
      <c r="J136" s="3"/>
      <c r="K136" s="3"/>
      <c r="L136" s="3"/>
      <c r="M136" s="3"/>
      <c r="N136" s="3"/>
      <c r="O136" s="3"/>
      <c r="P136" s="3"/>
      <c r="Q136" s="3"/>
      <c r="R136" s="3"/>
      <c r="S136" s="3"/>
      <c r="T136" s="3"/>
    </row>
    <row r="137" spans="1:20" ht="15.75" customHeight="1" x14ac:dyDescent="0.15">
      <c r="A137" s="3"/>
      <c r="B137" s="3"/>
      <c r="C137" s="3"/>
      <c r="D137" s="10"/>
      <c r="E137" s="10"/>
      <c r="F137" s="10"/>
      <c r="G137" s="3"/>
      <c r="H137" s="3"/>
      <c r="I137" s="3"/>
      <c r="J137" s="3"/>
      <c r="K137" s="3"/>
      <c r="L137" s="3"/>
      <c r="M137" s="3"/>
      <c r="N137" s="3"/>
      <c r="O137" s="3"/>
      <c r="P137" s="3"/>
      <c r="Q137" s="3"/>
      <c r="R137" s="3"/>
      <c r="S137" s="3"/>
      <c r="T137" s="3"/>
    </row>
    <row r="138" spans="1:20" ht="15.75" customHeight="1" x14ac:dyDescent="0.15">
      <c r="A138" s="3"/>
      <c r="B138" s="3"/>
      <c r="C138" s="3"/>
      <c r="D138" s="10"/>
      <c r="E138" s="10"/>
      <c r="F138" s="10"/>
      <c r="G138" s="3"/>
      <c r="H138" s="3"/>
      <c r="I138" s="3"/>
      <c r="J138" s="3"/>
      <c r="K138" s="3"/>
      <c r="L138" s="3"/>
      <c r="M138" s="3"/>
      <c r="N138" s="3"/>
      <c r="O138" s="3"/>
      <c r="P138" s="3"/>
      <c r="Q138" s="3"/>
      <c r="R138" s="3"/>
      <c r="S138" s="3"/>
      <c r="T138" s="3"/>
    </row>
    <row r="139" spans="1:20" ht="15.75" customHeight="1" x14ac:dyDescent="0.15">
      <c r="A139" s="3"/>
      <c r="B139" s="3"/>
      <c r="C139" s="3"/>
      <c r="D139" s="10"/>
      <c r="E139" s="10"/>
      <c r="F139" s="10"/>
      <c r="G139" s="3"/>
      <c r="H139" s="3"/>
      <c r="I139" s="3"/>
      <c r="J139" s="3"/>
      <c r="K139" s="3"/>
      <c r="L139" s="3"/>
      <c r="M139" s="3"/>
      <c r="N139" s="3"/>
      <c r="O139" s="3"/>
      <c r="P139" s="3"/>
      <c r="Q139" s="3"/>
      <c r="R139" s="3"/>
      <c r="S139" s="3"/>
      <c r="T139" s="3"/>
    </row>
    <row r="140" spans="1:20" ht="15.75" customHeight="1" x14ac:dyDescent="0.15">
      <c r="A140" s="3"/>
      <c r="B140" s="3"/>
      <c r="C140" s="3"/>
      <c r="D140" s="10"/>
      <c r="E140" s="10"/>
      <c r="F140" s="10"/>
      <c r="G140" s="3"/>
      <c r="H140" s="3"/>
      <c r="I140" s="3"/>
      <c r="J140" s="3"/>
      <c r="K140" s="3"/>
      <c r="L140" s="3"/>
      <c r="M140" s="3"/>
      <c r="N140" s="3"/>
      <c r="O140" s="3"/>
      <c r="P140" s="3"/>
      <c r="Q140" s="3"/>
      <c r="R140" s="3"/>
      <c r="S140" s="3"/>
      <c r="T140" s="3"/>
    </row>
    <row r="141" spans="1:20" ht="15.75" customHeight="1" x14ac:dyDescent="0.15">
      <c r="A141" s="3"/>
      <c r="B141" s="3"/>
      <c r="C141" s="3"/>
      <c r="D141" s="10"/>
      <c r="E141" s="10"/>
      <c r="F141" s="10"/>
      <c r="G141" s="3"/>
      <c r="H141" s="3"/>
      <c r="I141" s="3"/>
      <c r="J141" s="3"/>
      <c r="K141" s="3"/>
      <c r="L141" s="3"/>
      <c r="M141" s="3"/>
      <c r="N141" s="3"/>
      <c r="O141" s="3"/>
      <c r="P141" s="3"/>
      <c r="Q141" s="3"/>
      <c r="R141" s="3"/>
      <c r="S141" s="3"/>
      <c r="T141" s="3"/>
    </row>
    <row r="142" spans="1:20" ht="15.75" customHeight="1" x14ac:dyDescent="0.15">
      <c r="A142" s="3"/>
      <c r="B142" s="3"/>
      <c r="C142" s="3"/>
      <c r="D142" s="10"/>
      <c r="E142" s="10"/>
      <c r="F142" s="10"/>
      <c r="G142" s="3"/>
      <c r="H142" s="3"/>
      <c r="I142" s="3"/>
      <c r="J142" s="3"/>
      <c r="K142" s="3"/>
      <c r="L142" s="3"/>
      <c r="M142" s="3"/>
      <c r="N142" s="3"/>
      <c r="O142" s="3"/>
      <c r="P142" s="3"/>
      <c r="Q142" s="3"/>
      <c r="R142" s="3"/>
      <c r="S142" s="3"/>
      <c r="T142" s="3"/>
    </row>
    <row r="143" spans="1:20" ht="15.75" customHeight="1" x14ac:dyDescent="0.15">
      <c r="A143" s="3"/>
      <c r="B143" s="3"/>
      <c r="C143" s="3"/>
      <c r="D143" s="10"/>
      <c r="E143" s="10"/>
      <c r="F143" s="10"/>
      <c r="G143" s="3"/>
      <c r="H143" s="3"/>
      <c r="I143" s="3"/>
      <c r="J143" s="3"/>
      <c r="K143" s="3"/>
      <c r="L143" s="3"/>
      <c r="M143" s="3"/>
      <c r="N143" s="3"/>
      <c r="O143" s="3"/>
      <c r="P143" s="3"/>
      <c r="Q143" s="3"/>
      <c r="R143" s="3"/>
      <c r="S143" s="3"/>
      <c r="T143" s="3"/>
    </row>
    <row r="144" spans="1:20" ht="15.75" customHeight="1" x14ac:dyDescent="0.15">
      <c r="A144" s="3"/>
      <c r="B144" s="3"/>
      <c r="C144" s="3"/>
      <c r="D144" s="10"/>
      <c r="E144" s="10"/>
      <c r="F144" s="10"/>
      <c r="G144" s="3"/>
      <c r="H144" s="3"/>
      <c r="I144" s="3"/>
      <c r="J144" s="3"/>
      <c r="K144" s="3"/>
      <c r="L144" s="3"/>
      <c r="M144" s="3"/>
      <c r="N144" s="3"/>
      <c r="O144" s="3"/>
      <c r="P144" s="3"/>
      <c r="Q144" s="3"/>
      <c r="R144" s="3"/>
      <c r="S144" s="3"/>
      <c r="T144" s="3"/>
    </row>
    <row r="145" spans="1:20" ht="15.75" customHeight="1" x14ac:dyDescent="0.15">
      <c r="A145" s="3"/>
      <c r="B145" s="3"/>
      <c r="C145" s="3"/>
      <c r="D145" s="10"/>
      <c r="E145" s="10"/>
      <c r="F145" s="10"/>
      <c r="G145" s="3"/>
      <c r="H145" s="3"/>
      <c r="I145" s="3"/>
      <c r="J145" s="3"/>
      <c r="K145" s="3"/>
      <c r="L145" s="3"/>
      <c r="M145" s="3"/>
      <c r="N145" s="3"/>
      <c r="O145" s="3"/>
      <c r="P145" s="3"/>
      <c r="Q145" s="3"/>
      <c r="R145" s="3"/>
      <c r="S145" s="3"/>
      <c r="T145" s="3"/>
    </row>
    <row r="146" spans="1:20" ht="15.75" customHeight="1" x14ac:dyDescent="0.15">
      <c r="A146" s="3"/>
      <c r="B146" s="3"/>
      <c r="C146" s="3"/>
      <c r="D146" s="10"/>
      <c r="E146" s="10"/>
      <c r="F146" s="10"/>
      <c r="G146" s="3"/>
      <c r="H146" s="3"/>
      <c r="I146" s="3"/>
      <c r="J146" s="3"/>
      <c r="K146" s="3"/>
      <c r="L146" s="3"/>
      <c r="M146" s="3"/>
      <c r="N146" s="3"/>
      <c r="O146" s="3"/>
      <c r="P146" s="3"/>
      <c r="Q146" s="3"/>
      <c r="R146" s="3"/>
      <c r="S146" s="3"/>
      <c r="T146" s="3"/>
    </row>
    <row r="147" spans="1:20" ht="15.75" customHeight="1" x14ac:dyDescent="0.15">
      <c r="A147" s="3"/>
      <c r="B147" s="3"/>
      <c r="C147" s="3"/>
      <c r="D147" s="10"/>
      <c r="E147" s="10"/>
      <c r="F147" s="10"/>
      <c r="G147" s="3"/>
      <c r="H147" s="3"/>
      <c r="I147" s="3"/>
      <c r="J147" s="3"/>
      <c r="K147" s="3"/>
      <c r="L147" s="3"/>
      <c r="M147" s="3"/>
      <c r="N147" s="3"/>
      <c r="O147" s="3"/>
      <c r="P147" s="3"/>
      <c r="Q147" s="3"/>
      <c r="R147" s="3"/>
      <c r="S147" s="3"/>
      <c r="T147" s="3"/>
    </row>
    <row r="148" spans="1:20" ht="15.75" customHeight="1" x14ac:dyDescent="0.15">
      <c r="A148" s="3"/>
      <c r="B148" s="3"/>
      <c r="C148" s="3"/>
      <c r="D148" s="10"/>
      <c r="E148" s="10"/>
      <c r="F148" s="10"/>
      <c r="G148" s="3"/>
      <c r="H148" s="3"/>
      <c r="I148" s="3"/>
      <c r="J148" s="3"/>
      <c r="K148" s="3"/>
      <c r="L148" s="3"/>
      <c r="M148" s="3"/>
      <c r="N148" s="3"/>
      <c r="O148" s="3"/>
      <c r="P148" s="3"/>
      <c r="Q148" s="3"/>
      <c r="R148" s="3"/>
      <c r="S148" s="3"/>
      <c r="T148" s="3"/>
    </row>
    <row r="149" spans="1:20" ht="15.75" customHeight="1" x14ac:dyDescent="0.15">
      <c r="A149" s="3"/>
      <c r="B149" s="3"/>
      <c r="C149" s="3"/>
      <c r="D149" s="10"/>
      <c r="E149" s="10"/>
      <c r="F149" s="10"/>
      <c r="G149" s="3"/>
      <c r="H149" s="3"/>
      <c r="I149" s="3"/>
      <c r="J149" s="3"/>
      <c r="K149" s="3"/>
      <c r="L149" s="3"/>
      <c r="M149" s="3"/>
      <c r="N149" s="3"/>
      <c r="O149" s="3"/>
      <c r="P149" s="3"/>
      <c r="Q149" s="3"/>
      <c r="R149" s="3"/>
      <c r="S149" s="3"/>
      <c r="T149" s="3"/>
    </row>
    <row r="150" spans="1:20" ht="15.75" customHeight="1" x14ac:dyDescent="0.15">
      <c r="A150" s="3"/>
      <c r="B150" s="3"/>
      <c r="C150" s="3"/>
      <c r="D150" s="10"/>
      <c r="E150" s="10"/>
      <c r="F150" s="10"/>
      <c r="G150" s="3"/>
      <c r="H150" s="3"/>
      <c r="I150" s="3"/>
      <c r="J150" s="3"/>
      <c r="K150" s="3"/>
      <c r="L150" s="3"/>
      <c r="M150" s="3"/>
      <c r="N150" s="3"/>
      <c r="O150" s="3"/>
      <c r="P150" s="3"/>
      <c r="Q150" s="3"/>
      <c r="R150" s="3"/>
      <c r="S150" s="3"/>
      <c r="T150" s="3"/>
    </row>
    <row r="151" spans="1:20" ht="15.75" customHeight="1" x14ac:dyDescent="0.15">
      <c r="A151" s="3"/>
      <c r="B151" s="3"/>
      <c r="C151" s="3"/>
      <c r="D151" s="10"/>
      <c r="E151" s="10"/>
      <c r="F151" s="10"/>
      <c r="G151" s="3"/>
      <c r="H151" s="3"/>
      <c r="I151" s="3"/>
      <c r="J151" s="3"/>
      <c r="K151" s="3"/>
      <c r="L151" s="3"/>
      <c r="M151" s="3"/>
      <c r="N151" s="3"/>
      <c r="O151" s="3"/>
      <c r="P151" s="3"/>
      <c r="Q151" s="3"/>
      <c r="R151" s="3"/>
      <c r="S151" s="3"/>
      <c r="T151" s="3"/>
    </row>
    <row r="152" spans="1:20" ht="15.75" customHeight="1" x14ac:dyDescent="0.15">
      <c r="A152" s="3"/>
      <c r="B152" s="3"/>
      <c r="C152" s="3"/>
      <c r="D152" s="10"/>
      <c r="E152" s="10"/>
      <c r="F152" s="10"/>
      <c r="G152" s="3"/>
      <c r="H152" s="3"/>
      <c r="I152" s="3"/>
      <c r="J152" s="3"/>
      <c r="K152" s="3"/>
      <c r="L152" s="3"/>
      <c r="M152" s="3"/>
      <c r="N152" s="3"/>
      <c r="O152" s="3"/>
      <c r="P152" s="3"/>
      <c r="Q152" s="3"/>
      <c r="R152" s="3"/>
      <c r="S152" s="3"/>
      <c r="T152" s="3"/>
    </row>
    <row r="153" spans="1:20" ht="15.75" customHeight="1" x14ac:dyDescent="0.15">
      <c r="A153" s="3"/>
      <c r="B153" s="3"/>
      <c r="C153" s="3"/>
      <c r="D153" s="10"/>
      <c r="E153" s="10"/>
      <c r="F153" s="10"/>
      <c r="G153" s="3"/>
      <c r="H153" s="3"/>
      <c r="I153" s="3"/>
      <c r="J153" s="3"/>
      <c r="K153" s="3"/>
      <c r="L153" s="3"/>
      <c r="M153" s="3"/>
      <c r="N153" s="3"/>
      <c r="O153" s="3"/>
      <c r="P153" s="3"/>
      <c r="Q153" s="3"/>
      <c r="R153" s="3"/>
      <c r="S153" s="3"/>
      <c r="T153" s="3"/>
    </row>
    <row r="154" spans="1:20" ht="15.75" customHeight="1" x14ac:dyDescent="0.15">
      <c r="A154" s="3"/>
      <c r="B154" s="3"/>
      <c r="C154" s="3"/>
      <c r="D154" s="10"/>
      <c r="E154" s="10"/>
      <c r="F154" s="10"/>
      <c r="G154" s="3"/>
      <c r="H154" s="3"/>
      <c r="I154" s="3"/>
      <c r="J154" s="3"/>
      <c r="K154" s="3"/>
      <c r="L154" s="3"/>
      <c r="M154" s="3"/>
      <c r="N154" s="3"/>
      <c r="O154" s="3"/>
      <c r="P154" s="3"/>
      <c r="Q154" s="3"/>
      <c r="R154" s="3"/>
      <c r="S154" s="3"/>
      <c r="T154" s="3"/>
    </row>
    <row r="155" spans="1:20" ht="15.75" customHeight="1" x14ac:dyDescent="0.15">
      <c r="A155" s="3"/>
      <c r="B155" s="3"/>
      <c r="C155" s="3"/>
      <c r="D155" s="10"/>
      <c r="E155" s="10"/>
      <c r="F155" s="10"/>
      <c r="G155" s="3"/>
      <c r="H155" s="3"/>
      <c r="I155" s="3"/>
      <c r="J155" s="3"/>
      <c r="K155" s="3"/>
      <c r="L155" s="3"/>
      <c r="M155" s="3"/>
      <c r="N155" s="3"/>
      <c r="O155" s="3"/>
      <c r="P155" s="3"/>
      <c r="Q155" s="3"/>
      <c r="R155" s="3"/>
      <c r="S155" s="3"/>
      <c r="T155" s="3"/>
    </row>
    <row r="156" spans="1:20" ht="15.75" customHeight="1" x14ac:dyDescent="0.15">
      <c r="A156" s="3"/>
      <c r="B156" s="3"/>
      <c r="C156" s="3"/>
      <c r="D156" s="10"/>
      <c r="E156" s="10"/>
      <c r="F156" s="10"/>
      <c r="G156" s="3"/>
      <c r="H156" s="3"/>
      <c r="I156" s="3"/>
      <c r="J156" s="3"/>
      <c r="K156" s="3"/>
      <c r="L156" s="3"/>
      <c r="M156" s="3"/>
      <c r="N156" s="3"/>
      <c r="O156" s="3"/>
      <c r="P156" s="3"/>
      <c r="Q156" s="3"/>
      <c r="R156" s="3"/>
      <c r="S156" s="3"/>
      <c r="T156" s="3"/>
    </row>
    <row r="157" spans="1:20" ht="15.75" customHeight="1" x14ac:dyDescent="0.15">
      <c r="A157" s="3"/>
      <c r="B157" s="3"/>
      <c r="C157" s="3"/>
      <c r="D157" s="10"/>
      <c r="E157" s="10"/>
      <c r="F157" s="10"/>
      <c r="G157" s="3"/>
      <c r="H157" s="3"/>
      <c r="I157" s="3"/>
      <c r="J157" s="3"/>
      <c r="K157" s="3"/>
      <c r="L157" s="3"/>
      <c r="M157" s="3"/>
      <c r="N157" s="3"/>
      <c r="O157" s="3"/>
      <c r="P157" s="3"/>
      <c r="Q157" s="3"/>
      <c r="R157" s="3"/>
      <c r="S157" s="3"/>
      <c r="T157" s="3"/>
    </row>
    <row r="158" spans="1:20" ht="15.75" customHeight="1" x14ac:dyDescent="0.15">
      <c r="A158" s="3"/>
      <c r="B158" s="3"/>
      <c r="C158" s="3"/>
      <c r="D158" s="10"/>
      <c r="E158" s="10"/>
      <c r="F158" s="10"/>
      <c r="G158" s="3"/>
      <c r="H158" s="3"/>
      <c r="I158" s="3"/>
      <c r="J158" s="3"/>
      <c r="K158" s="3"/>
      <c r="L158" s="3"/>
      <c r="M158" s="3"/>
      <c r="N158" s="3"/>
      <c r="O158" s="3"/>
      <c r="P158" s="3"/>
      <c r="Q158" s="3"/>
      <c r="R158" s="3"/>
      <c r="S158" s="3"/>
      <c r="T158" s="3"/>
    </row>
    <row r="159" spans="1:20" ht="15.75" customHeight="1" x14ac:dyDescent="0.15">
      <c r="A159" s="3"/>
      <c r="B159" s="3"/>
      <c r="C159" s="3"/>
      <c r="D159" s="10"/>
      <c r="E159" s="10"/>
      <c r="F159" s="10"/>
      <c r="G159" s="3"/>
      <c r="H159" s="3"/>
      <c r="I159" s="3"/>
      <c r="J159" s="3"/>
      <c r="K159" s="3"/>
      <c r="L159" s="3"/>
      <c r="M159" s="3"/>
      <c r="N159" s="3"/>
      <c r="O159" s="3"/>
      <c r="P159" s="3"/>
      <c r="Q159" s="3"/>
      <c r="R159" s="3"/>
      <c r="S159" s="3"/>
      <c r="T159" s="3"/>
    </row>
    <row r="160" spans="1:20" ht="15.75" customHeight="1" x14ac:dyDescent="0.15">
      <c r="A160" s="3"/>
      <c r="B160" s="3"/>
      <c r="C160" s="3"/>
      <c r="D160" s="10"/>
      <c r="E160" s="10"/>
      <c r="F160" s="10"/>
      <c r="G160" s="3"/>
      <c r="H160" s="3"/>
      <c r="I160" s="3"/>
      <c r="J160" s="3"/>
      <c r="K160" s="3"/>
      <c r="L160" s="3"/>
      <c r="M160" s="3"/>
      <c r="N160" s="3"/>
      <c r="O160" s="3"/>
      <c r="P160" s="3"/>
      <c r="Q160" s="3"/>
      <c r="R160" s="3"/>
      <c r="S160" s="3"/>
      <c r="T160" s="3"/>
    </row>
    <row r="161" spans="1:20" ht="15.75" customHeight="1" x14ac:dyDescent="0.15">
      <c r="A161" s="3"/>
      <c r="B161" s="3"/>
      <c r="C161" s="3"/>
      <c r="D161" s="10"/>
      <c r="E161" s="10"/>
      <c r="F161" s="10"/>
      <c r="G161" s="3"/>
      <c r="H161" s="3"/>
      <c r="I161" s="3"/>
      <c r="J161" s="3"/>
      <c r="K161" s="3"/>
      <c r="L161" s="3"/>
      <c r="M161" s="3"/>
      <c r="N161" s="3"/>
      <c r="O161" s="3"/>
      <c r="P161" s="3"/>
      <c r="Q161" s="3"/>
      <c r="R161" s="3"/>
      <c r="S161" s="3"/>
      <c r="T161" s="3"/>
    </row>
    <row r="162" spans="1:20" ht="15.75" customHeight="1" x14ac:dyDescent="0.15">
      <c r="A162" s="3"/>
      <c r="B162" s="3"/>
      <c r="C162" s="3"/>
      <c r="D162" s="10"/>
      <c r="E162" s="10"/>
      <c r="F162" s="10"/>
      <c r="G162" s="3"/>
      <c r="H162" s="3"/>
      <c r="I162" s="3"/>
      <c r="J162" s="3"/>
      <c r="K162" s="3"/>
      <c r="L162" s="3"/>
      <c r="M162" s="3"/>
      <c r="N162" s="3"/>
      <c r="O162" s="3"/>
      <c r="P162" s="3"/>
      <c r="Q162" s="3"/>
      <c r="R162" s="3"/>
      <c r="S162" s="3"/>
      <c r="T162" s="3"/>
    </row>
    <row r="163" spans="1:20" ht="15.75" customHeight="1" x14ac:dyDescent="0.15">
      <c r="A163" s="3"/>
      <c r="B163" s="3"/>
      <c r="C163" s="3"/>
      <c r="D163" s="10"/>
      <c r="E163" s="10"/>
      <c r="F163" s="10"/>
      <c r="G163" s="3"/>
      <c r="H163" s="3"/>
      <c r="I163" s="3"/>
      <c r="J163" s="3"/>
      <c r="K163" s="3"/>
      <c r="L163" s="3"/>
      <c r="M163" s="3"/>
      <c r="N163" s="3"/>
      <c r="O163" s="3"/>
      <c r="P163" s="3"/>
      <c r="Q163" s="3"/>
      <c r="R163" s="3"/>
      <c r="S163" s="3"/>
      <c r="T163" s="3"/>
    </row>
    <row r="164" spans="1:20" ht="15.75" customHeight="1" x14ac:dyDescent="0.15">
      <c r="A164" s="3"/>
      <c r="B164" s="3"/>
      <c r="C164" s="3"/>
      <c r="D164" s="10"/>
      <c r="E164" s="10"/>
      <c r="F164" s="10"/>
      <c r="G164" s="3"/>
      <c r="H164" s="3"/>
      <c r="I164" s="3"/>
      <c r="J164" s="3"/>
      <c r="K164" s="3"/>
      <c r="L164" s="3"/>
      <c r="M164" s="3"/>
      <c r="N164" s="3"/>
      <c r="O164" s="3"/>
      <c r="P164" s="3"/>
      <c r="Q164" s="3"/>
      <c r="R164" s="3"/>
      <c r="S164" s="3"/>
      <c r="T164" s="3"/>
    </row>
    <row r="165" spans="1:20" ht="15.75" customHeight="1" x14ac:dyDescent="0.15">
      <c r="A165" s="3"/>
      <c r="B165" s="3"/>
      <c r="C165" s="3"/>
      <c r="D165" s="10"/>
      <c r="E165" s="10"/>
      <c r="F165" s="10"/>
      <c r="G165" s="3"/>
      <c r="H165" s="3"/>
      <c r="I165" s="3"/>
      <c r="J165" s="3"/>
      <c r="K165" s="3"/>
      <c r="L165" s="3"/>
      <c r="M165" s="3"/>
      <c r="N165" s="3"/>
      <c r="O165" s="3"/>
      <c r="P165" s="3"/>
      <c r="Q165" s="3"/>
      <c r="R165" s="3"/>
      <c r="S165" s="3"/>
      <c r="T165" s="3"/>
    </row>
    <row r="166" spans="1:20" ht="15.75" customHeight="1" x14ac:dyDescent="0.15">
      <c r="A166" s="3"/>
      <c r="B166" s="3"/>
      <c r="C166" s="3"/>
      <c r="D166" s="10"/>
      <c r="E166" s="10"/>
      <c r="F166" s="10"/>
      <c r="G166" s="3"/>
      <c r="H166" s="3"/>
      <c r="I166" s="3"/>
      <c r="J166" s="3"/>
      <c r="K166" s="3"/>
      <c r="L166" s="3"/>
      <c r="M166" s="3"/>
      <c r="N166" s="3"/>
      <c r="O166" s="3"/>
      <c r="P166" s="3"/>
      <c r="Q166" s="3"/>
      <c r="R166" s="3"/>
      <c r="S166" s="3"/>
      <c r="T166" s="3"/>
    </row>
    <row r="167" spans="1:20" ht="15.75" customHeight="1" x14ac:dyDescent="0.15">
      <c r="A167" s="3"/>
      <c r="B167" s="3"/>
      <c r="C167" s="3"/>
      <c r="D167" s="10"/>
      <c r="E167" s="10"/>
      <c r="F167" s="10"/>
      <c r="G167" s="3"/>
      <c r="H167" s="3"/>
      <c r="I167" s="3"/>
      <c r="J167" s="3"/>
      <c r="K167" s="3"/>
      <c r="L167" s="3"/>
      <c r="M167" s="3"/>
      <c r="N167" s="3"/>
      <c r="O167" s="3"/>
      <c r="P167" s="3"/>
      <c r="Q167" s="3"/>
      <c r="R167" s="3"/>
      <c r="S167" s="3"/>
      <c r="T167" s="3"/>
    </row>
    <row r="168" spans="1:20" ht="15.75" customHeight="1" x14ac:dyDescent="0.15">
      <c r="A168" s="3"/>
      <c r="B168" s="3"/>
      <c r="C168" s="3"/>
      <c r="D168" s="10"/>
      <c r="E168" s="10"/>
      <c r="F168" s="10"/>
      <c r="G168" s="3"/>
      <c r="H168" s="3"/>
      <c r="I168" s="3"/>
      <c r="J168" s="3"/>
      <c r="K168" s="3"/>
      <c r="L168" s="3"/>
      <c r="M168" s="3"/>
      <c r="N168" s="3"/>
      <c r="O168" s="3"/>
      <c r="P168" s="3"/>
      <c r="Q168" s="3"/>
      <c r="R168" s="3"/>
      <c r="S168" s="3"/>
      <c r="T168" s="3"/>
    </row>
    <row r="169" spans="1:20" ht="15.75" customHeight="1" x14ac:dyDescent="0.15">
      <c r="A169" s="3"/>
      <c r="B169" s="3"/>
      <c r="C169" s="3"/>
      <c r="D169" s="10"/>
      <c r="E169" s="10"/>
      <c r="F169" s="10"/>
      <c r="G169" s="3"/>
      <c r="H169" s="3"/>
      <c r="I169" s="3"/>
      <c r="J169" s="3"/>
      <c r="K169" s="3"/>
      <c r="L169" s="3"/>
      <c r="M169" s="3"/>
      <c r="N169" s="3"/>
      <c r="O169" s="3"/>
      <c r="P169" s="3"/>
      <c r="Q169" s="3"/>
      <c r="R169" s="3"/>
      <c r="S169" s="3"/>
      <c r="T169" s="3"/>
    </row>
    <row r="170" spans="1:20" ht="15.75" customHeight="1" x14ac:dyDescent="0.15">
      <c r="A170" s="3"/>
      <c r="B170" s="3"/>
      <c r="C170" s="3"/>
      <c r="D170" s="10"/>
      <c r="E170" s="10"/>
      <c r="F170" s="10"/>
      <c r="G170" s="3"/>
      <c r="H170" s="3"/>
      <c r="I170" s="3"/>
      <c r="J170" s="3"/>
      <c r="K170" s="3"/>
      <c r="L170" s="3"/>
      <c r="M170" s="3"/>
      <c r="N170" s="3"/>
      <c r="O170" s="3"/>
      <c r="P170" s="3"/>
      <c r="Q170" s="3"/>
      <c r="R170" s="3"/>
      <c r="S170" s="3"/>
      <c r="T170" s="3"/>
    </row>
    <row r="171" spans="1:20" ht="15.75" customHeight="1" x14ac:dyDescent="0.15">
      <c r="A171" s="3"/>
      <c r="B171" s="3"/>
      <c r="C171" s="3"/>
      <c r="D171" s="10"/>
      <c r="E171" s="10"/>
      <c r="F171" s="10"/>
      <c r="G171" s="3"/>
      <c r="H171" s="3"/>
      <c r="I171" s="3"/>
      <c r="J171" s="3"/>
      <c r="K171" s="3"/>
      <c r="L171" s="3"/>
      <c r="M171" s="3"/>
      <c r="N171" s="3"/>
      <c r="O171" s="3"/>
      <c r="P171" s="3"/>
      <c r="Q171" s="3"/>
      <c r="R171" s="3"/>
      <c r="S171" s="3"/>
      <c r="T171" s="3"/>
    </row>
    <row r="172" spans="1:20" ht="15.75" customHeight="1" x14ac:dyDescent="0.15">
      <c r="A172" s="3"/>
      <c r="B172" s="3"/>
      <c r="C172" s="3"/>
      <c r="D172" s="10"/>
      <c r="E172" s="10"/>
      <c r="F172" s="10"/>
      <c r="G172" s="3"/>
      <c r="H172" s="3"/>
      <c r="I172" s="3"/>
      <c r="J172" s="3"/>
      <c r="K172" s="3"/>
      <c r="L172" s="3"/>
      <c r="M172" s="3"/>
      <c r="N172" s="3"/>
      <c r="O172" s="3"/>
      <c r="P172" s="3"/>
      <c r="Q172" s="3"/>
      <c r="R172" s="3"/>
      <c r="S172" s="3"/>
      <c r="T172" s="3"/>
    </row>
    <row r="173" spans="1:20" ht="15.75" customHeight="1" x14ac:dyDescent="0.15">
      <c r="A173" s="3"/>
      <c r="B173" s="3"/>
      <c r="C173" s="3"/>
      <c r="D173" s="10"/>
      <c r="E173" s="10"/>
      <c r="F173" s="10"/>
      <c r="G173" s="3"/>
      <c r="H173" s="3"/>
      <c r="I173" s="3"/>
      <c r="J173" s="3"/>
      <c r="K173" s="3"/>
      <c r="L173" s="3"/>
      <c r="M173" s="3"/>
      <c r="N173" s="3"/>
      <c r="O173" s="3"/>
      <c r="P173" s="3"/>
      <c r="Q173" s="3"/>
      <c r="R173" s="3"/>
      <c r="S173" s="3"/>
      <c r="T173" s="3"/>
    </row>
    <row r="174" spans="1:20" ht="15.75" customHeight="1" x14ac:dyDescent="0.15">
      <c r="A174" s="3"/>
      <c r="B174" s="3"/>
      <c r="C174" s="3"/>
      <c r="D174" s="10"/>
      <c r="E174" s="10"/>
      <c r="F174" s="10"/>
      <c r="G174" s="3"/>
      <c r="H174" s="3"/>
      <c r="I174" s="3"/>
      <c r="J174" s="3"/>
      <c r="K174" s="3"/>
      <c r="L174" s="3"/>
      <c r="M174" s="3"/>
      <c r="N174" s="3"/>
      <c r="O174" s="3"/>
      <c r="P174" s="3"/>
      <c r="Q174" s="3"/>
      <c r="R174" s="3"/>
      <c r="S174" s="3"/>
      <c r="T174" s="3"/>
    </row>
    <row r="175" spans="1:20" ht="15.75" customHeight="1" x14ac:dyDescent="0.15">
      <c r="A175" s="3"/>
      <c r="B175" s="3"/>
      <c r="C175" s="3"/>
      <c r="D175" s="10"/>
      <c r="E175" s="10"/>
      <c r="F175" s="10"/>
      <c r="G175" s="3"/>
      <c r="H175" s="3"/>
      <c r="I175" s="3"/>
      <c r="J175" s="3"/>
      <c r="K175" s="3"/>
      <c r="L175" s="3"/>
      <c r="M175" s="3"/>
      <c r="N175" s="3"/>
      <c r="O175" s="3"/>
      <c r="P175" s="3"/>
      <c r="Q175" s="3"/>
      <c r="R175" s="3"/>
      <c r="S175" s="3"/>
      <c r="T175" s="3"/>
    </row>
    <row r="176" spans="1:20" ht="15.75" customHeight="1" x14ac:dyDescent="0.15">
      <c r="A176" s="3"/>
      <c r="B176" s="3"/>
      <c r="C176" s="3"/>
      <c r="D176" s="10"/>
      <c r="E176" s="10"/>
      <c r="F176" s="10"/>
      <c r="G176" s="3"/>
      <c r="H176" s="3"/>
      <c r="I176" s="3"/>
      <c r="J176" s="3"/>
      <c r="K176" s="3"/>
      <c r="L176" s="3"/>
      <c r="M176" s="3"/>
      <c r="N176" s="3"/>
      <c r="O176" s="3"/>
      <c r="P176" s="3"/>
      <c r="Q176" s="3"/>
      <c r="R176" s="3"/>
      <c r="S176" s="3"/>
      <c r="T176" s="3"/>
    </row>
    <row r="177" spans="1:20" ht="15.75" customHeight="1" x14ac:dyDescent="0.15">
      <c r="A177" s="3"/>
      <c r="B177" s="3"/>
      <c r="C177" s="3"/>
      <c r="D177" s="10"/>
      <c r="E177" s="10"/>
      <c r="F177" s="10"/>
      <c r="G177" s="3"/>
      <c r="H177" s="3"/>
      <c r="I177" s="3"/>
      <c r="J177" s="3"/>
      <c r="K177" s="3"/>
      <c r="L177" s="3"/>
      <c r="M177" s="3"/>
      <c r="N177" s="3"/>
      <c r="O177" s="3"/>
      <c r="P177" s="3"/>
      <c r="Q177" s="3"/>
      <c r="R177" s="3"/>
      <c r="S177" s="3"/>
      <c r="T177" s="3"/>
    </row>
    <row r="178" spans="1:20" ht="15.75" customHeight="1" x14ac:dyDescent="0.15">
      <c r="A178" s="3"/>
      <c r="B178" s="3"/>
      <c r="C178" s="3"/>
      <c r="D178" s="10"/>
      <c r="E178" s="10"/>
      <c r="F178" s="10"/>
      <c r="G178" s="3"/>
      <c r="H178" s="3"/>
      <c r="I178" s="3"/>
      <c r="J178" s="3"/>
      <c r="K178" s="3"/>
      <c r="L178" s="3"/>
      <c r="M178" s="3"/>
      <c r="N178" s="3"/>
      <c r="O178" s="3"/>
      <c r="P178" s="3"/>
      <c r="Q178" s="3"/>
      <c r="R178" s="3"/>
      <c r="S178" s="3"/>
      <c r="T178" s="3"/>
    </row>
    <row r="179" spans="1:20" ht="15.75" customHeight="1" x14ac:dyDescent="0.15">
      <c r="A179" s="3"/>
      <c r="B179" s="3"/>
      <c r="C179" s="3"/>
      <c r="D179" s="10"/>
      <c r="E179" s="10"/>
      <c r="F179" s="10"/>
      <c r="G179" s="3"/>
      <c r="H179" s="3"/>
      <c r="I179" s="3"/>
      <c r="J179" s="3"/>
      <c r="K179" s="3"/>
      <c r="L179" s="3"/>
      <c r="M179" s="3"/>
      <c r="N179" s="3"/>
      <c r="O179" s="3"/>
      <c r="P179" s="3"/>
      <c r="Q179" s="3"/>
      <c r="R179" s="3"/>
      <c r="S179" s="3"/>
      <c r="T179" s="3"/>
    </row>
    <row r="180" spans="1:20" ht="15.75" customHeight="1" x14ac:dyDescent="0.15">
      <c r="A180" s="3"/>
      <c r="B180" s="3"/>
      <c r="C180" s="3"/>
      <c r="D180" s="10"/>
      <c r="E180" s="10"/>
      <c r="F180" s="10"/>
      <c r="G180" s="3"/>
      <c r="H180" s="3"/>
      <c r="I180" s="3"/>
      <c r="J180" s="3"/>
      <c r="K180" s="3"/>
      <c r="L180" s="3"/>
      <c r="M180" s="3"/>
      <c r="N180" s="3"/>
      <c r="O180" s="3"/>
      <c r="P180" s="3"/>
      <c r="Q180" s="3"/>
      <c r="R180" s="3"/>
      <c r="S180" s="3"/>
      <c r="T180" s="3"/>
    </row>
    <row r="181" spans="1:20" ht="15.75" customHeight="1" x14ac:dyDescent="0.15">
      <c r="A181" s="3"/>
      <c r="B181" s="3"/>
      <c r="C181" s="3"/>
      <c r="D181" s="10"/>
      <c r="E181" s="10"/>
      <c r="F181" s="10"/>
      <c r="G181" s="3"/>
      <c r="H181" s="3"/>
      <c r="I181" s="3"/>
      <c r="J181" s="3"/>
      <c r="K181" s="3"/>
      <c r="L181" s="3"/>
      <c r="M181" s="3"/>
      <c r="N181" s="3"/>
      <c r="O181" s="3"/>
      <c r="P181" s="3"/>
      <c r="Q181" s="3"/>
      <c r="R181" s="3"/>
      <c r="S181" s="3"/>
      <c r="T181" s="3"/>
    </row>
    <row r="182" spans="1:20" ht="15.75" customHeight="1" x14ac:dyDescent="0.15">
      <c r="A182" s="3"/>
      <c r="B182" s="3"/>
      <c r="C182" s="3"/>
      <c r="D182" s="10"/>
      <c r="E182" s="10"/>
      <c r="F182" s="10"/>
      <c r="G182" s="3"/>
      <c r="H182" s="3"/>
      <c r="I182" s="3"/>
      <c r="J182" s="3"/>
      <c r="K182" s="3"/>
      <c r="L182" s="3"/>
      <c r="M182" s="3"/>
      <c r="N182" s="3"/>
      <c r="O182" s="3"/>
      <c r="P182" s="3"/>
      <c r="Q182" s="3"/>
      <c r="R182" s="3"/>
      <c r="S182" s="3"/>
      <c r="T182" s="3"/>
    </row>
    <row r="183" spans="1:20" ht="15.75" customHeight="1" x14ac:dyDescent="0.15">
      <c r="A183" s="3"/>
      <c r="B183" s="3"/>
      <c r="C183" s="3"/>
      <c r="D183" s="10"/>
      <c r="E183" s="10"/>
      <c r="F183" s="10"/>
      <c r="G183" s="3"/>
      <c r="H183" s="3"/>
      <c r="I183" s="3"/>
      <c r="J183" s="3"/>
      <c r="K183" s="3"/>
      <c r="L183" s="3"/>
      <c r="M183" s="3"/>
      <c r="N183" s="3"/>
      <c r="O183" s="3"/>
      <c r="P183" s="3"/>
      <c r="Q183" s="3"/>
      <c r="R183" s="3"/>
      <c r="S183" s="3"/>
      <c r="T183" s="3"/>
    </row>
    <row r="184" spans="1:20" ht="15.75" customHeight="1" x14ac:dyDescent="0.15">
      <c r="A184" s="3"/>
      <c r="B184" s="3"/>
      <c r="C184" s="3"/>
      <c r="D184" s="10"/>
      <c r="E184" s="10"/>
      <c r="F184" s="10"/>
      <c r="G184" s="3"/>
      <c r="H184" s="3"/>
      <c r="I184" s="3"/>
      <c r="J184" s="3"/>
      <c r="K184" s="3"/>
      <c r="L184" s="3"/>
      <c r="M184" s="3"/>
      <c r="N184" s="3"/>
      <c r="O184" s="3"/>
      <c r="P184" s="3"/>
      <c r="Q184" s="3"/>
      <c r="R184" s="3"/>
      <c r="S184" s="3"/>
      <c r="T184" s="3"/>
    </row>
    <row r="185" spans="1:20" ht="15.75" customHeight="1" x14ac:dyDescent="0.15">
      <c r="A185" s="3"/>
      <c r="B185" s="3"/>
      <c r="C185" s="3"/>
      <c r="D185" s="10"/>
      <c r="E185" s="10"/>
      <c r="F185" s="10"/>
      <c r="G185" s="3"/>
      <c r="H185" s="3"/>
      <c r="I185" s="3"/>
      <c r="J185" s="3"/>
      <c r="K185" s="3"/>
      <c r="L185" s="3"/>
      <c r="M185" s="3"/>
      <c r="N185" s="3"/>
      <c r="O185" s="3"/>
      <c r="P185" s="3"/>
      <c r="Q185" s="3"/>
      <c r="R185" s="3"/>
      <c r="S185" s="3"/>
      <c r="T185" s="3"/>
    </row>
    <row r="186" spans="1:20" ht="15.75" customHeight="1" x14ac:dyDescent="0.15">
      <c r="A186" s="3"/>
      <c r="B186" s="3"/>
      <c r="C186" s="3"/>
      <c r="D186" s="10"/>
      <c r="E186" s="10"/>
      <c r="F186" s="10"/>
      <c r="G186" s="3"/>
      <c r="H186" s="3"/>
      <c r="I186" s="3"/>
      <c r="J186" s="3"/>
      <c r="K186" s="3"/>
      <c r="L186" s="3"/>
      <c r="M186" s="3"/>
      <c r="N186" s="3"/>
      <c r="O186" s="3"/>
      <c r="P186" s="3"/>
      <c r="Q186" s="3"/>
      <c r="R186" s="3"/>
      <c r="S186" s="3"/>
      <c r="T186" s="3"/>
    </row>
    <row r="187" spans="1:20" ht="15.75" customHeight="1" x14ac:dyDescent="0.15">
      <c r="A187" s="3"/>
      <c r="B187" s="3"/>
      <c r="C187" s="3"/>
      <c r="D187" s="10"/>
      <c r="E187" s="10"/>
      <c r="F187" s="10"/>
      <c r="G187" s="3"/>
      <c r="H187" s="3"/>
      <c r="I187" s="3"/>
      <c r="J187" s="3"/>
      <c r="K187" s="3"/>
      <c r="L187" s="3"/>
      <c r="M187" s="3"/>
      <c r="N187" s="3"/>
      <c r="O187" s="3"/>
      <c r="P187" s="3"/>
      <c r="Q187" s="3"/>
      <c r="R187" s="3"/>
      <c r="S187" s="3"/>
      <c r="T187" s="3"/>
    </row>
    <row r="188" spans="1:20" ht="15.75" customHeight="1" x14ac:dyDescent="0.15">
      <c r="A188" s="3"/>
      <c r="B188" s="3"/>
      <c r="C188" s="3"/>
      <c r="D188" s="10"/>
      <c r="E188" s="10"/>
      <c r="F188" s="10"/>
      <c r="G188" s="3"/>
      <c r="H188" s="3"/>
      <c r="I188" s="3"/>
      <c r="J188" s="3"/>
      <c r="K188" s="3"/>
      <c r="L188" s="3"/>
      <c r="M188" s="3"/>
      <c r="N188" s="3"/>
      <c r="O188" s="3"/>
      <c r="P188" s="3"/>
      <c r="Q188" s="3"/>
      <c r="R188" s="3"/>
      <c r="S188" s="3"/>
      <c r="T188" s="3"/>
    </row>
    <row r="189" spans="1:20" ht="15.75" customHeight="1" x14ac:dyDescent="0.15">
      <c r="A189" s="3"/>
      <c r="B189" s="3"/>
      <c r="C189" s="3"/>
      <c r="D189" s="10"/>
      <c r="E189" s="10"/>
      <c r="F189" s="10"/>
      <c r="G189" s="3"/>
      <c r="H189" s="3"/>
      <c r="I189" s="3"/>
      <c r="J189" s="3"/>
      <c r="K189" s="3"/>
      <c r="L189" s="3"/>
      <c r="M189" s="3"/>
      <c r="N189" s="3"/>
      <c r="O189" s="3"/>
      <c r="P189" s="3"/>
      <c r="Q189" s="3"/>
      <c r="R189" s="3"/>
      <c r="S189" s="3"/>
      <c r="T189" s="3"/>
    </row>
    <row r="190" spans="1:20" ht="15.75" customHeight="1" x14ac:dyDescent="0.15">
      <c r="A190" s="3"/>
      <c r="B190" s="3"/>
      <c r="C190" s="3"/>
      <c r="D190" s="10"/>
      <c r="E190" s="10"/>
      <c r="F190" s="10"/>
      <c r="G190" s="3"/>
      <c r="H190" s="3"/>
      <c r="I190" s="3"/>
      <c r="J190" s="3"/>
      <c r="K190" s="3"/>
      <c r="L190" s="3"/>
      <c r="M190" s="3"/>
      <c r="N190" s="3"/>
      <c r="O190" s="3"/>
      <c r="P190" s="3"/>
      <c r="Q190" s="3"/>
      <c r="R190" s="3"/>
      <c r="S190" s="3"/>
      <c r="T190" s="3"/>
    </row>
    <row r="191" spans="1:20" ht="15.75" customHeight="1" x14ac:dyDescent="0.15">
      <c r="A191" s="3"/>
      <c r="B191" s="3"/>
      <c r="C191" s="3"/>
      <c r="D191" s="10"/>
      <c r="E191" s="10"/>
      <c r="F191" s="10"/>
      <c r="G191" s="3"/>
      <c r="H191" s="3"/>
      <c r="I191" s="3"/>
      <c r="J191" s="3"/>
      <c r="K191" s="3"/>
      <c r="L191" s="3"/>
      <c r="M191" s="3"/>
      <c r="N191" s="3"/>
      <c r="O191" s="3"/>
      <c r="P191" s="3"/>
      <c r="Q191" s="3"/>
      <c r="R191" s="3"/>
      <c r="S191" s="3"/>
      <c r="T191" s="3"/>
    </row>
    <row r="192" spans="1:20" ht="15.75" customHeight="1" x14ac:dyDescent="0.15">
      <c r="A192" s="3"/>
      <c r="B192" s="3"/>
      <c r="C192" s="3"/>
      <c r="D192" s="10"/>
      <c r="E192" s="10"/>
      <c r="F192" s="10"/>
      <c r="G192" s="3"/>
      <c r="H192" s="3"/>
      <c r="I192" s="3"/>
      <c r="J192" s="3"/>
      <c r="K192" s="3"/>
      <c r="L192" s="3"/>
      <c r="M192" s="3"/>
      <c r="N192" s="3"/>
      <c r="O192" s="3"/>
      <c r="P192" s="3"/>
      <c r="Q192" s="3"/>
      <c r="R192" s="3"/>
      <c r="S192" s="3"/>
      <c r="T192" s="3"/>
    </row>
    <row r="193" spans="1:20" ht="15.75" customHeight="1" x14ac:dyDescent="0.15">
      <c r="A193" s="3"/>
      <c r="B193" s="3"/>
      <c r="C193" s="3"/>
      <c r="D193" s="10"/>
      <c r="E193" s="10"/>
      <c r="F193" s="10"/>
      <c r="G193" s="3"/>
      <c r="H193" s="3"/>
      <c r="I193" s="3"/>
      <c r="J193" s="3"/>
      <c r="K193" s="3"/>
      <c r="L193" s="3"/>
      <c r="M193" s="3"/>
      <c r="N193" s="3"/>
      <c r="O193" s="3"/>
      <c r="P193" s="3"/>
      <c r="Q193" s="3"/>
      <c r="R193" s="3"/>
      <c r="S193" s="3"/>
      <c r="T193" s="3"/>
    </row>
    <row r="194" spans="1:20" ht="15.75" customHeight="1" x14ac:dyDescent="0.15">
      <c r="A194" s="3"/>
      <c r="B194" s="3"/>
      <c r="C194" s="3"/>
      <c r="D194" s="10"/>
      <c r="E194" s="10"/>
      <c r="F194" s="10"/>
      <c r="G194" s="3"/>
      <c r="H194" s="3"/>
      <c r="I194" s="3"/>
      <c r="J194" s="3"/>
      <c r="K194" s="3"/>
      <c r="L194" s="3"/>
      <c r="M194" s="3"/>
      <c r="N194" s="3"/>
      <c r="O194" s="3"/>
      <c r="P194" s="3"/>
      <c r="Q194" s="3"/>
      <c r="R194" s="3"/>
      <c r="S194" s="3"/>
      <c r="T194" s="3"/>
    </row>
    <row r="195" spans="1:20" ht="15.75" customHeight="1" x14ac:dyDescent="0.15">
      <c r="A195" s="3"/>
      <c r="B195" s="3"/>
      <c r="C195" s="3"/>
      <c r="D195" s="10"/>
      <c r="E195" s="10"/>
      <c r="F195" s="10"/>
      <c r="G195" s="3"/>
      <c r="H195" s="3"/>
      <c r="I195" s="3"/>
      <c r="J195" s="3"/>
      <c r="K195" s="3"/>
      <c r="L195" s="3"/>
      <c r="M195" s="3"/>
      <c r="N195" s="3"/>
      <c r="O195" s="3"/>
      <c r="P195" s="3"/>
      <c r="Q195" s="3"/>
      <c r="R195" s="3"/>
      <c r="S195" s="3"/>
      <c r="T195" s="3"/>
    </row>
    <row r="196" spans="1:20" ht="15.75" customHeight="1" x14ac:dyDescent="0.15">
      <c r="A196" s="3"/>
      <c r="B196" s="3"/>
      <c r="C196" s="3"/>
      <c r="D196" s="10"/>
      <c r="E196" s="10"/>
      <c r="F196" s="10"/>
      <c r="G196" s="3"/>
      <c r="H196" s="3"/>
      <c r="I196" s="3"/>
      <c r="J196" s="3"/>
      <c r="K196" s="3"/>
      <c r="L196" s="3"/>
      <c r="M196" s="3"/>
      <c r="N196" s="3"/>
      <c r="O196" s="3"/>
      <c r="P196" s="3"/>
      <c r="Q196" s="3"/>
      <c r="R196" s="3"/>
      <c r="S196" s="3"/>
      <c r="T196" s="3"/>
    </row>
    <row r="197" spans="1:20" ht="15.75" customHeight="1" x14ac:dyDescent="0.15">
      <c r="A197" s="3"/>
      <c r="B197" s="3"/>
      <c r="C197" s="3"/>
      <c r="D197" s="10"/>
      <c r="E197" s="10"/>
      <c r="F197" s="10"/>
      <c r="G197" s="3"/>
      <c r="H197" s="3"/>
      <c r="I197" s="3"/>
      <c r="J197" s="3"/>
      <c r="K197" s="3"/>
      <c r="L197" s="3"/>
      <c r="M197" s="3"/>
      <c r="N197" s="3"/>
      <c r="O197" s="3"/>
      <c r="P197" s="3"/>
      <c r="Q197" s="3"/>
      <c r="R197" s="3"/>
      <c r="S197" s="3"/>
      <c r="T197" s="3"/>
    </row>
    <row r="198" spans="1:20" ht="15.75" customHeight="1" x14ac:dyDescent="0.15">
      <c r="A198" s="3"/>
      <c r="B198" s="3"/>
      <c r="C198" s="3"/>
      <c r="D198" s="10"/>
      <c r="E198" s="10"/>
      <c r="F198" s="10"/>
      <c r="G198" s="3"/>
      <c r="H198" s="3"/>
      <c r="I198" s="3"/>
      <c r="J198" s="3"/>
      <c r="K198" s="3"/>
      <c r="L198" s="3"/>
      <c r="M198" s="3"/>
      <c r="N198" s="3"/>
      <c r="O198" s="3"/>
      <c r="P198" s="3"/>
      <c r="Q198" s="3"/>
      <c r="R198" s="3"/>
      <c r="S198" s="3"/>
      <c r="T198" s="3"/>
    </row>
    <row r="199" spans="1:20" ht="15.75" customHeight="1" x14ac:dyDescent="0.15">
      <c r="A199" s="3"/>
      <c r="B199" s="3"/>
      <c r="C199" s="3"/>
      <c r="D199" s="10"/>
      <c r="E199" s="10"/>
      <c r="F199" s="10"/>
      <c r="G199" s="3"/>
      <c r="H199" s="3"/>
      <c r="I199" s="3"/>
      <c r="J199" s="3"/>
      <c r="K199" s="3"/>
      <c r="L199" s="3"/>
      <c r="M199" s="3"/>
      <c r="N199" s="3"/>
      <c r="O199" s="3"/>
      <c r="P199" s="3"/>
      <c r="Q199" s="3"/>
      <c r="R199" s="3"/>
      <c r="S199" s="3"/>
      <c r="T199" s="3"/>
    </row>
    <row r="200" spans="1:20" ht="15.75" customHeight="1" x14ac:dyDescent="0.15">
      <c r="A200" s="3"/>
      <c r="B200" s="3"/>
      <c r="C200" s="3"/>
      <c r="D200" s="10"/>
      <c r="E200" s="10"/>
      <c r="F200" s="10"/>
      <c r="G200" s="3"/>
      <c r="H200" s="3"/>
      <c r="I200" s="3"/>
      <c r="J200" s="3"/>
      <c r="K200" s="3"/>
      <c r="L200" s="3"/>
      <c r="M200" s="3"/>
      <c r="N200" s="3"/>
      <c r="O200" s="3"/>
      <c r="P200" s="3"/>
      <c r="Q200" s="3"/>
      <c r="R200" s="3"/>
      <c r="S200" s="3"/>
      <c r="T200" s="3"/>
    </row>
    <row r="201" spans="1:20" ht="15.75" customHeight="1" x14ac:dyDescent="0.15">
      <c r="A201" s="3"/>
      <c r="B201" s="3"/>
      <c r="C201" s="3"/>
      <c r="D201" s="10"/>
      <c r="E201" s="10"/>
      <c r="F201" s="10"/>
      <c r="G201" s="3"/>
      <c r="H201" s="3"/>
      <c r="I201" s="3"/>
      <c r="J201" s="3"/>
      <c r="K201" s="3"/>
      <c r="L201" s="3"/>
      <c r="M201" s="3"/>
      <c r="N201" s="3"/>
      <c r="O201" s="3"/>
      <c r="P201" s="3"/>
      <c r="Q201" s="3"/>
      <c r="R201" s="3"/>
      <c r="S201" s="3"/>
      <c r="T201" s="3"/>
    </row>
    <row r="202" spans="1:20" ht="15.75" customHeight="1" x14ac:dyDescent="0.15">
      <c r="A202" s="3"/>
      <c r="B202" s="3"/>
      <c r="C202" s="3"/>
      <c r="D202" s="10"/>
      <c r="E202" s="10"/>
      <c r="F202" s="10"/>
      <c r="G202" s="3"/>
      <c r="H202" s="3"/>
      <c r="I202" s="3"/>
      <c r="J202" s="3"/>
      <c r="K202" s="3"/>
      <c r="L202" s="3"/>
      <c r="M202" s="3"/>
      <c r="N202" s="3"/>
      <c r="O202" s="3"/>
      <c r="P202" s="3"/>
      <c r="Q202" s="3"/>
      <c r="R202" s="3"/>
      <c r="S202" s="3"/>
      <c r="T202" s="3"/>
    </row>
    <row r="203" spans="1:20" ht="15.75" customHeight="1" x14ac:dyDescent="0.15">
      <c r="A203" s="3"/>
      <c r="B203" s="3"/>
      <c r="C203" s="3"/>
      <c r="D203" s="10"/>
      <c r="E203" s="10"/>
      <c r="F203" s="10"/>
      <c r="G203" s="3"/>
      <c r="H203" s="3"/>
      <c r="I203" s="3"/>
      <c r="J203" s="3"/>
      <c r="K203" s="3"/>
      <c r="L203" s="3"/>
      <c r="M203" s="3"/>
      <c r="N203" s="3"/>
      <c r="O203" s="3"/>
      <c r="P203" s="3"/>
      <c r="Q203" s="3"/>
      <c r="R203" s="3"/>
      <c r="S203" s="3"/>
      <c r="T203" s="3"/>
    </row>
    <row r="204" spans="1:20" ht="15.75" customHeight="1" x14ac:dyDescent="0.15">
      <c r="A204" s="3"/>
      <c r="B204" s="3"/>
      <c r="C204" s="3"/>
      <c r="D204" s="10"/>
      <c r="E204" s="10"/>
      <c r="F204" s="10"/>
      <c r="G204" s="3"/>
      <c r="H204" s="3"/>
      <c r="I204" s="3"/>
      <c r="J204" s="3"/>
      <c r="K204" s="3"/>
      <c r="L204" s="3"/>
      <c r="M204" s="3"/>
      <c r="N204" s="3"/>
      <c r="O204" s="3"/>
      <c r="P204" s="3"/>
      <c r="Q204" s="3"/>
      <c r="R204" s="3"/>
      <c r="S204" s="3"/>
      <c r="T204" s="3"/>
    </row>
    <row r="205" spans="1:20" ht="15.75" customHeight="1" x14ac:dyDescent="0.15">
      <c r="A205" s="3"/>
      <c r="B205" s="3"/>
      <c r="C205" s="3"/>
      <c r="D205" s="10"/>
      <c r="E205" s="10"/>
      <c r="F205" s="10"/>
      <c r="G205" s="3"/>
      <c r="H205" s="3"/>
      <c r="I205" s="3"/>
      <c r="J205" s="3"/>
      <c r="K205" s="3"/>
      <c r="L205" s="3"/>
      <c r="M205" s="3"/>
      <c r="N205" s="3"/>
      <c r="O205" s="3"/>
      <c r="P205" s="3"/>
      <c r="Q205" s="3"/>
      <c r="R205" s="3"/>
      <c r="S205" s="3"/>
      <c r="T205" s="3"/>
    </row>
    <row r="206" spans="1:20" ht="15.75" customHeight="1" x14ac:dyDescent="0.15">
      <c r="A206" s="3"/>
      <c r="B206" s="3"/>
      <c r="C206" s="3"/>
      <c r="D206" s="10"/>
      <c r="E206" s="10"/>
      <c r="F206" s="10"/>
      <c r="G206" s="3"/>
      <c r="H206" s="3"/>
      <c r="I206" s="3"/>
      <c r="J206" s="3"/>
      <c r="K206" s="3"/>
      <c r="L206" s="3"/>
      <c r="M206" s="3"/>
      <c r="N206" s="3"/>
      <c r="O206" s="3"/>
      <c r="P206" s="3"/>
      <c r="Q206" s="3"/>
      <c r="R206" s="3"/>
      <c r="S206" s="3"/>
      <c r="T206" s="3"/>
    </row>
    <row r="207" spans="1:20" ht="15.75" customHeight="1" x14ac:dyDescent="0.15">
      <c r="A207" s="3"/>
      <c r="B207" s="3"/>
      <c r="C207" s="3"/>
      <c r="D207" s="10"/>
      <c r="E207" s="10"/>
      <c r="F207" s="10"/>
      <c r="G207" s="3"/>
      <c r="H207" s="3"/>
      <c r="I207" s="3"/>
      <c r="J207" s="3"/>
      <c r="K207" s="3"/>
      <c r="L207" s="3"/>
      <c r="M207" s="3"/>
      <c r="N207" s="3"/>
      <c r="O207" s="3"/>
      <c r="P207" s="3"/>
      <c r="Q207" s="3"/>
      <c r="R207" s="3"/>
      <c r="S207" s="3"/>
      <c r="T207" s="3"/>
    </row>
    <row r="208" spans="1:20" ht="15.75" customHeight="1" x14ac:dyDescent="0.15">
      <c r="A208" s="3"/>
      <c r="B208" s="3"/>
      <c r="C208" s="3"/>
      <c r="D208" s="10"/>
      <c r="E208" s="10"/>
      <c r="F208" s="10"/>
      <c r="G208" s="3"/>
      <c r="H208" s="3"/>
      <c r="I208" s="3"/>
      <c r="J208" s="3"/>
      <c r="K208" s="3"/>
      <c r="L208" s="3"/>
      <c r="M208" s="3"/>
      <c r="N208" s="3"/>
      <c r="O208" s="3"/>
      <c r="P208" s="3"/>
      <c r="Q208" s="3"/>
      <c r="R208" s="3"/>
      <c r="S208" s="3"/>
      <c r="T208" s="3"/>
    </row>
    <row r="209" spans="1:20" ht="15.75" customHeight="1" x14ac:dyDescent="0.15">
      <c r="A209" s="3"/>
      <c r="B209" s="3"/>
      <c r="C209" s="3"/>
      <c r="D209" s="10"/>
      <c r="E209" s="10"/>
      <c r="F209" s="10"/>
      <c r="G209" s="3"/>
      <c r="H209" s="3"/>
      <c r="I209" s="3"/>
      <c r="J209" s="3"/>
      <c r="K209" s="3"/>
      <c r="L209" s="3"/>
      <c r="M209" s="3"/>
      <c r="N209" s="3"/>
      <c r="O209" s="3"/>
      <c r="P209" s="3"/>
      <c r="Q209" s="3"/>
      <c r="R209" s="3"/>
      <c r="S209" s="3"/>
      <c r="T209" s="3"/>
    </row>
    <row r="210" spans="1:20" ht="15.75" customHeight="1" x14ac:dyDescent="0.15">
      <c r="A210" s="3"/>
      <c r="B210" s="3"/>
      <c r="C210" s="3"/>
      <c r="D210" s="10"/>
      <c r="E210" s="10"/>
      <c r="F210" s="10"/>
      <c r="G210" s="3"/>
      <c r="H210" s="3"/>
      <c r="I210" s="3"/>
      <c r="J210" s="3"/>
      <c r="K210" s="3"/>
      <c r="L210" s="3"/>
      <c r="M210" s="3"/>
      <c r="N210" s="3"/>
      <c r="O210" s="3"/>
      <c r="P210" s="3"/>
      <c r="Q210" s="3"/>
      <c r="R210" s="3"/>
      <c r="S210" s="3"/>
      <c r="T210" s="3"/>
    </row>
    <row r="211" spans="1:20" ht="15.75" customHeight="1" x14ac:dyDescent="0.15">
      <c r="A211" s="3"/>
      <c r="B211" s="3"/>
      <c r="C211" s="3"/>
      <c r="D211" s="10"/>
      <c r="E211" s="10"/>
      <c r="F211" s="10"/>
      <c r="G211" s="3"/>
      <c r="H211" s="3"/>
      <c r="I211" s="3"/>
      <c r="J211" s="3"/>
      <c r="K211" s="3"/>
      <c r="L211" s="3"/>
      <c r="M211" s="3"/>
      <c r="N211" s="3"/>
      <c r="O211" s="3"/>
      <c r="P211" s="3"/>
      <c r="Q211" s="3"/>
      <c r="R211" s="3"/>
      <c r="S211" s="3"/>
      <c r="T211" s="3"/>
    </row>
    <row r="212" spans="1:20" ht="15.75" customHeight="1" x14ac:dyDescent="0.15">
      <c r="A212" s="3"/>
      <c r="B212" s="3"/>
      <c r="C212" s="3"/>
      <c r="D212" s="10"/>
      <c r="E212" s="10"/>
      <c r="F212" s="10"/>
      <c r="G212" s="3"/>
      <c r="H212" s="3"/>
      <c r="I212" s="3"/>
      <c r="J212" s="3"/>
      <c r="K212" s="3"/>
      <c r="L212" s="3"/>
      <c r="M212" s="3"/>
      <c r="N212" s="3"/>
      <c r="O212" s="3"/>
      <c r="P212" s="3"/>
      <c r="Q212" s="3"/>
      <c r="R212" s="3"/>
      <c r="S212" s="3"/>
      <c r="T212" s="3"/>
    </row>
    <row r="213" spans="1:20" ht="15.75" customHeight="1" x14ac:dyDescent="0.15">
      <c r="A213" s="3"/>
      <c r="B213" s="3"/>
      <c r="C213" s="3"/>
      <c r="D213" s="10"/>
      <c r="E213" s="10"/>
      <c r="F213" s="10"/>
      <c r="G213" s="3"/>
      <c r="H213" s="3"/>
      <c r="I213" s="3"/>
      <c r="J213" s="3"/>
      <c r="K213" s="3"/>
      <c r="L213" s="3"/>
      <c r="M213" s="3"/>
      <c r="N213" s="3"/>
      <c r="O213" s="3"/>
      <c r="P213" s="3"/>
      <c r="Q213" s="3"/>
      <c r="R213" s="3"/>
      <c r="S213" s="3"/>
      <c r="T213" s="3"/>
    </row>
    <row r="214" spans="1:20" ht="15.75" customHeight="1" x14ac:dyDescent="0.15">
      <c r="A214" s="3"/>
      <c r="B214" s="3"/>
      <c r="C214" s="3"/>
      <c r="D214" s="10"/>
      <c r="E214" s="10"/>
      <c r="F214" s="10"/>
      <c r="G214" s="3"/>
      <c r="H214" s="3"/>
      <c r="I214" s="3"/>
      <c r="J214" s="3"/>
      <c r="K214" s="3"/>
      <c r="L214" s="3"/>
      <c r="M214" s="3"/>
      <c r="N214" s="3"/>
      <c r="O214" s="3"/>
      <c r="P214" s="3"/>
      <c r="Q214" s="3"/>
      <c r="R214" s="3"/>
      <c r="S214" s="3"/>
      <c r="T214" s="3"/>
    </row>
    <row r="215" spans="1:20" ht="15.75" customHeight="1" x14ac:dyDescent="0.15">
      <c r="A215" s="3"/>
      <c r="B215" s="3"/>
      <c r="C215" s="3"/>
      <c r="D215" s="10"/>
      <c r="E215" s="10"/>
      <c r="F215" s="10"/>
      <c r="G215" s="3"/>
      <c r="H215" s="3"/>
      <c r="I215" s="3"/>
      <c r="J215" s="3"/>
      <c r="K215" s="3"/>
      <c r="L215" s="3"/>
      <c r="M215" s="3"/>
      <c r="N215" s="3"/>
      <c r="O215" s="3"/>
      <c r="P215" s="3"/>
      <c r="Q215" s="3"/>
      <c r="R215" s="3"/>
      <c r="S215" s="3"/>
      <c r="T215" s="3"/>
    </row>
    <row r="216" spans="1:20" ht="15.75" customHeight="1" x14ac:dyDescent="0.15">
      <c r="A216" s="3"/>
      <c r="B216" s="3"/>
      <c r="C216" s="3"/>
      <c r="D216" s="10"/>
      <c r="E216" s="10"/>
      <c r="F216" s="10"/>
      <c r="G216" s="3"/>
      <c r="H216" s="3"/>
      <c r="I216" s="3"/>
      <c r="J216" s="3"/>
      <c r="K216" s="3"/>
      <c r="L216" s="3"/>
      <c r="M216" s="3"/>
      <c r="N216" s="3"/>
      <c r="O216" s="3"/>
      <c r="P216" s="3"/>
      <c r="Q216" s="3"/>
      <c r="R216" s="3"/>
      <c r="S216" s="3"/>
      <c r="T216" s="3"/>
    </row>
    <row r="217" spans="1:20" ht="15.75" customHeight="1" x14ac:dyDescent="0.15">
      <c r="A217" s="3"/>
      <c r="B217" s="3"/>
      <c r="C217" s="3"/>
      <c r="D217" s="10"/>
      <c r="E217" s="10"/>
      <c r="F217" s="10"/>
      <c r="G217" s="3"/>
      <c r="H217" s="3"/>
      <c r="I217" s="3"/>
      <c r="J217" s="3"/>
      <c r="K217" s="3"/>
      <c r="L217" s="3"/>
      <c r="M217" s="3"/>
      <c r="N217" s="3"/>
      <c r="O217" s="3"/>
      <c r="P217" s="3"/>
      <c r="Q217" s="3"/>
      <c r="R217" s="3"/>
      <c r="S217" s="3"/>
      <c r="T217" s="3"/>
    </row>
    <row r="218" spans="1:20" ht="15.75" customHeight="1" x14ac:dyDescent="0.15">
      <c r="A218" s="3"/>
      <c r="B218" s="3"/>
      <c r="C218" s="3"/>
      <c r="D218" s="10"/>
      <c r="E218" s="10"/>
      <c r="F218" s="10"/>
      <c r="G218" s="3"/>
      <c r="H218" s="3"/>
      <c r="I218" s="3"/>
      <c r="J218" s="3"/>
      <c r="K218" s="3"/>
      <c r="L218" s="3"/>
      <c r="M218" s="3"/>
      <c r="N218" s="3"/>
      <c r="O218" s="3"/>
      <c r="P218" s="3"/>
      <c r="Q218" s="3"/>
      <c r="R218" s="3"/>
      <c r="S218" s="3"/>
      <c r="T218" s="3"/>
    </row>
    <row r="219" spans="1:20" ht="15.75" customHeight="1" x14ac:dyDescent="0.15">
      <c r="A219" s="3"/>
      <c r="B219" s="3"/>
      <c r="C219" s="3"/>
      <c r="D219" s="10"/>
      <c r="E219" s="10"/>
      <c r="F219" s="10"/>
      <c r="G219" s="3"/>
      <c r="H219" s="3"/>
      <c r="I219" s="3"/>
      <c r="J219" s="3"/>
      <c r="K219" s="3"/>
      <c r="L219" s="3"/>
      <c r="M219" s="3"/>
      <c r="N219" s="3"/>
      <c r="O219" s="3"/>
      <c r="P219" s="3"/>
      <c r="Q219" s="3"/>
      <c r="R219" s="3"/>
      <c r="S219" s="3"/>
      <c r="T219" s="3"/>
    </row>
    <row r="220" spans="1:20" ht="15.75" customHeight="1" x14ac:dyDescent="0.15">
      <c r="A220" s="3"/>
      <c r="B220" s="3"/>
      <c r="C220" s="3"/>
      <c r="D220" s="10"/>
      <c r="E220" s="10"/>
      <c r="F220" s="10"/>
      <c r="G220" s="3"/>
      <c r="H220" s="3"/>
      <c r="I220" s="3"/>
      <c r="J220" s="3"/>
      <c r="K220" s="3"/>
      <c r="L220" s="3"/>
      <c r="M220" s="3"/>
      <c r="N220" s="3"/>
      <c r="O220" s="3"/>
      <c r="P220" s="3"/>
      <c r="Q220" s="3"/>
      <c r="R220" s="3"/>
      <c r="S220" s="3"/>
      <c r="T220" s="3"/>
    </row>
    <row r="221" spans="1:20" ht="15.75" customHeight="1" x14ac:dyDescent="0.15">
      <c r="A221" s="3"/>
      <c r="B221" s="3"/>
      <c r="C221" s="3"/>
      <c r="D221" s="10"/>
      <c r="E221" s="10"/>
      <c r="F221" s="10"/>
      <c r="G221" s="3"/>
      <c r="H221" s="3"/>
      <c r="I221" s="3"/>
      <c r="J221" s="3"/>
      <c r="K221" s="3"/>
      <c r="L221" s="3"/>
      <c r="M221" s="3"/>
      <c r="N221" s="3"/>
      <c r="O221" s="3"/>
      <c r="P221" s="3"/>
      <c r="Q221" s="3"/>
      <c r="R221" s="3"/>
      <c r="S221" s="3"/>
      <c r="T221" s="3"/>
    </row>
    <row r="222" spans="1:20" ht="15.75" customHeight="1" x14ac:dyDescent="0.15">
      <c r="A222" s="3"/>
      <c r="B222" s="3"/>
      <c r="C222" s="3"/>
      <c r="D222" s="10"/>
      <c r="E222" s="10"/>
      <c r="F222" s="10"/>
      <c r="G222" s="3"/>
      <c r="H222" s="3"/>
      <c r="I222" s="3"/>
      <c r="J222" s="3"/>
      <c r="K222" s="3"/>
      <c r="L222" s="3"/>
      <c r="M222" s="3"/>
      <c r="N222" s="3"/>
      <c r="O222" s="3"/>
      <c r="P222" s="3"/>
      <c r="Q222" s="3"/>
      <c r="R222" s="3"/>
      <c r="S222" s="3"/>
      <c r="T222" s="3"/>
    </row>
    <row r="223" spans="1:20" ht="15.75" customHeight="1" x14ac:dyDescent="0.15">
      <c r="A223" s="3"/>
      <c r="B223" s="3"/>
      <c r="C223" s="3"/>
      <c r="D223" s="10"/>
      <c r="E223" s="10"/>
      <c r="F223" s="10"/>
      <c r="G223" s="3"/>
      <c r="H223" s="3"/>
      <c r="I223" s="3"/>
      <c r="J223" s="3"/>
      <c r="K223" s="3"/>
      <c r="L223" s="3"/>
      <c r="M223" s="3"/>
      <c r="N223" s="3"/>
      <c r="O223" s="3"/>
      <c r="P223" s="3"/>
      <c r="Q223" s="3"/>
      <c r="R223" s="3"/>
      <c r="S223" s="3"/>
      <c r="T223" s="3"/>
    </row>
    <row r="224" spans="1:20" ht="15.75" customHeight="1" x14ac:dyDescent="0.15">
      <c r="A224" s="3"/>
      <c r="B224" s="3"/>
      <c r="C224" s="3"/>
      <c r="D224" s="10"/>
      <c r="E224" s="10"/>
      <c r="F224" s="10"/>
      <c r="G224" s="3"/>
      <c r="H224" s="3"/>
      <c r="I224" s="3"/>
      <c r="J224" s="3"/>
      <c r="K224" s="3"/>
      <c r="L224" s="3"/>
      <c r="M224" s="3"/>
      <c r="N224" s="3"/>
      <c r="O224" s="3"/>
      <c r="P224" s="3"/>
      <c r="Q224" s="3"/>
      <c r="R224" s="3"/>
      <c r="S224" s="3"/>
      <c r="T224" s="3"/>
    </row>
    <row r="225" spans="1:20" ht="15.75" customHeight="1" x14ac:dyDescent="0.15">
      <c r="A225" s="3"/>
      <c r="B225" s="3"/>
      <c r="C225" s="3"/>
      <c r="D225" s="10"/>
      <c r="E225" s="10"/>
      <c r="F225" s="10"/>
      <c r="G225" s="3"/>
      <c r="H225" s="3"/>
      <c r="I225" s="3"/>
      <c r="J225" s="3"/>
      <c r="K225" s="3"/>
      <c r="L225" s="3"/>
      <c r="M225" s="3"/>
      <c r="N225" s="3"/>
      <c r="O225" s="3"/>
      <c r="P225" s="3"/>
      <c r="Q225" s="3"/>
      <c r="R225" s="3"/>
      <c r="S225" s="3"/>
      <c r="T225" s="3"/>
    </row>
    <row r="226" spans="1:20" ht="15.75" customHeight="1" x14ac:dyDescent="0.15">
      <c r="A226" s="3"/>
      <c r="B226" s="3"/>
      <c r="C226" s="3"/>
      <c r="D226" s="10"/>
      <c r="E226" s="10"/>
      <c r="F226" s="10"/>
      <c r="G226" s="3"/>
      <c r="H226" s="3"/>
      <c r="I226" s="3"/>
      <c r="J226" s="3"/>
      <c r="K226" s="3"/>
      <c r="L226" s="3"/>
      <c r="M226" s="3"/>
      <c r="N226" s="3"/>
      <c r="O226" s="3"/>
      <c r="P226" s="3"/>
      <c r="Q226" s="3"/>
      <c r="R226" s="3"/>
      <c r="S226" s="3"/>
      <c r="T226" s="3"/>
    </row>
    <row r="227" spans="1:20" ht="15.75" customHeight="1" x14ac:dyDescent="0.15">
      <c r="A227" s="3"/>
      <c r="B227" s="3"/>
      <c r="C227" s="3"/>
      <c r="D227" s="10"/>
      <c r="E227" s="10"/>
      <c r="F227" s="10"/>
      <c r="G227" s="3"/>
      <c r="H227" s="3"/>
      <c r="I227" s="3"/>
      <c r="J227" s="3"/>
      <c r="K227" s="3"/>
      <c r="L227" s="3"/>
      <c r="M227" s="3"/>
      <c r="N227" s="3"/>
      <c r="O227" s="3"/>
      <c r="P227" s="3"/>
      <c r="Q227" s="3"/>
      <c r="R227" s="3"/>
      <c r="S227" s="3"/>
      <c r="T227" s="3"/>
    </row>
    <row r="228" spans="1:20" ht="15.75" customHeight="1" x14ac:dyDescent="0.15">
      <c r="A228" s="3"/>
      <c r="B228" s="3"/>
      <c r="C228" s="3"/>
      <c r="D228" s="10"/>
      <c r="E228" s="10"/>
      <c r="F228" s="10"/>
      <c r="G228" s="3"/>
      <c r="H228" s="3"/>
      <c r="I228" s="3"/>
      <c r="J228" s="3"/>
      <c r="K228" s="3"/>
      <c r="L228" s="3"/>
      <c r="M228" s="3"/>
      <c r="N228" s="3"/>
      <c r="O228" s="3"/>
      <c r="P228" s="3"/>
      <c r="Q228" s="3"/>
      <c r="R228" s="3"/>
      <c r="S228" s="3"/>
      <c r="T228" s="3"/>
    </row>
    <row r="229" spans="1:20" ht="15.75" customHeight="1" x14ac:dyDescent="0.15">
      <c r="A229" s="3"/>
      <c r="B229" s="3"/>
      <c r="C229" s="3"/>
      <c r="D229" s="10"/>
      <c r="E229" s="10"/>
      <c r="F229" s="10"/>
      <c r="G229" s="3"/>
      <c r="H229" s="3"/>
      <c r="I229" s="3"/>
      <c r="J229" s="3"/>
      <c r="K229" s="3"/>
      <c r="L229" s="3"/>
      <c r="M229" s="3"/>
      <c r="N229" s="3"/>
      <c r="O229" s="3"/>
      <c r="P229" s="3"/>
      <c r="Q229" s="3"/>
      <c r="R229" s="3"/>
      <c r="S229" s="3"/>
      <c r="T229" s="3"/>
    </row>
    <row r="230" spans="1:20" ht="15.75" customHeight="1" x14ac:dyDescent="0.15">
      <c r="A230" s="3"/>
      <c r="B230" s="3"/>
      <c r="C230" s="3"/>
      <c r="D230" s="10"/>
      <c r="E230" s="10"/>
      <c r="F230" s="10"/>
      <c r="G230" s="3"/>
      <c r="H230" s="3"/>
      <c r="I230" s="3"/>
      <c r="J230" s="3"/>
      <c r="K230" s="3"/>
      <c r="L230" s="3"/>
      <c r="M230" s="3"/>
      <c r="N230" s="3"/>
      <c r="O230" s="3"/>
      <c r="P230" s="3"/>
      <c r="Q230" s="3"/>
      <c r="R230" s="3"/>
      <c r="S230" s="3"/>
      <c r="T230" s="3"/>
    </row>
    <row r="231" spans="1:20" ht="15.75" customHeight="1" x14ac:dyDescent="0.15">
      <c r="A231" s="3"/>
      <c r="B231" s="3"/>
      <c r="C231" s="3"/>
      <c r="D231" s="10"/>
      <c r="E231" s="10"/>
      <c r="F231" s="10"/>
      <c r="G231" s="3"/>
      <c r="H231" s="3"/>
      <c r="I231" s="3"/>
      <c r="J231" s="3"/>
      <c r="K231" s="3"/>
      <c r="L231" s="3"/>
      <c r="M231" s="3"/>
      <c r="N231" s="3"/>
      <c r="O231" s="3"/>
      <c r="P231" s="3"/>
      <c r="Q231" s="3"/>
      <c r="R231" s="3"/>
      <c r="S231" s="3"/>
      <c r="T231" s="3"/>
    </row>
    <row r="232" spans="1:20" ht="15.75" customHeight="1" x14ac:dyDescent="0.15">
      <c r="A232" s="3"/>
      <c r="B232" s="3"/>
      <c r="C232" s="3"/>
      <c r="D232" s="10"/>
      <c r="E232" s="10"/>
      <c r="F232" s="10"/>
      <c r="G232" s="3"/>
      <c r="H232" s="3"/>
      <c r="I232" s="3"/>
      <c r="J232" s="3"/>
      <c r="K232" s="3"/>
      <c r="L232" s="3"/>
      <c r="M232" s="3"/>
      <c r="N232" s="3"/>
      <c r="O232" s="3"/>
      <c r="P232" s="3"/>
      <c r="Q232" s="3"/>
      <c r="R232" s="3"/>
      <c r="S232" s="3"/>
      <c r="T232" s="3"/>
    </row>
    <row r="233" spans="1:20" ht="15.75" customHeight="1" x14ac:dyDescent="0.15">
      <c r="A233" s="3"/>
      <c r="B233" s="3"/>
      <c r="C233" s="3"/>
      <c r="D233" s="10"/>
      <c r="E233" s="10"/>
      <c r="F233" s="10"/>
      <c r="G233" s="3"/>
      <c r="H233" s="3"/>
      <c r="I233" s="3"/>
      <c r="J233" s="3"/>
      <c r="K233" s="3"/>
      <c r="L233" s="3"/>
      <c r="M233" s="3"/>
      <c r="N233" s="3"/>
      <c r="O233" s="3"/>
      <c r="P233" s="3"/>
      <c r="Q233" s="3"/>
      <c r="R233" s="3"/>
      <c r="S233" s="3"/>
      <c r="T233" s="3"/>
    </row>
    <row r="234" spans="1:20" ht="15.75" customHeight="1" x14ac:dyDescent="0.15">
      <c r="A234" s="3"/>
      <c r="B234" s="3"/>
      <c r="C234" s="3"/>
      <c r="D234" s="10"/>
      <c r="E234" s="10"/>
      <c r="F234" s="10"/>
      <c r="G234" s="3"/>
      <c r="H234" s="3"/>
      <c r="I234" s="3"/>
      <c r="J234" s="3"/>
      <c r="K234" s="3"/>
      <c r="L234" s="3"/>
      <c r="M234" s="3"/>
      <c r="N234" s="3"/>
      <c r="O234" s="3"/>
      <c r="P234" s="3"/>
      <c r="Q234" s="3"/>
      <c r="R234" s="3"/>
      <c r="S234" s="3"/>
      <c r="T234" s="3"/>
    </row>
    <row r="235" spans="1:20" ht="15.75" customHeight="1" x14ac:dyDescent="0.15">
      <c r="A235" s="3"/>
      <c r="B235" s="3"/>
      <c r="C235" s="3"/>
      <c r="D235" s="10"/>
      <c r="E235" s="10"/>
      <c r="F235" s="10"/>
      <c r="G235" s="3"/>
      <c r="H235" s="3"/>
      <c r="I235" s="3"/>
      <c r="J235" s="3"/>
      <c r="K235" s="3"/>
      <c r="L235" s="3"/>
      <c r="M235" s="3"/>
      <c r="N235" s="3"/>
      <c r="O235" s="3"/>
      <c r="P235" s="3"/>
      <c r="Q235" s="3"/>
      <c r="R235" s="3"/>
      <c r="S235" s="3"/>
      <c r="T235" s="3"/>
    </row>
    <row r="236" spans="1:20" ht="15.75" customHeight="1" x14ac:dyDescent="0.15">
      <c r="A236" s="3"/>
      <c r="B236" s="3"/>
      <c r="C236" s="3"/>
      <c r="D236" s="10"/>
      <c r="E236" s="10"/>
      <c r="F236" s="10"/>
      <c r="G236" s="3"/>
      <c r="H236" s="3"/>
      <c r="I236" s="3"/>
      <c r="J236" s="3"/>
      <c r="K236" s="3"/>
      <c r="L236" s="3"/>
      <c r="M236" s="3"/>
      <c r="N236" s="3"/>
      <c r="O236" s="3"/>
      <c r="P236" s="3"/>
      <c r="Q236" s="3"/>
      <c r="R236" s="3"/>
      <c r="S236" s="3"/>
      <c r="T236" s="3"/>
    </row>
    <row r="237" spans="1:20" ht="15.75" customHeight="1" x14ac:dyDescent="0.15">
      <c r="A237" s="3"/>
      <c r="B237" s="3"/>
      <c r="C237" s="3"/>
      <c r="D237" s="10"/>
      <c r="E237" s="10"/>
      <c r="F237" s="10"/>
      <c r="G237" s="3"/>
      <c r="H237" s="3"/>
      <c r="I237" s="3"/>
      <c r="J237" s="3"/>
      <c r="K237" s="3"/>
      <c r="L237" s="3"/>
      <c r="M237" s="3"/>
      <c r="N237" s="3"/>
      <c r="O237" s="3"/>
      <c r="P237" s="3"/>
      <c r="Q237" s="3"/>
      <c r="R237" s="3"/>
      <c r="S237" s="3"/>
      <c r="T237" s="3"/>
    </row>
    <row r="238" spans="1:20" ht="15.75" customHeight="1" x14ac:dyDescent="0.15">
      <c r="A238" s="3"/>
      <c r="B238" s="3"/>
      <c r="C238" s="3"/>
      <c r="D238" s="10"/>
      <c r="E238" s="10"/>
      <c r="F238" s="10"/>
      <c r="G238" s="3"/>
      <c r="H238" s="3"/>
      <c r="I238" s="3"/>
      <c r="J238" s="3"/>
      <c r="K238" s="3"/>
      <c r="L238" s="3"/>
      <c r="M238" s="3"/>
      <c r="N238" s="3"/>
      <c r="O238" s="3"/>
      <c r="P238" s="3"/>
      <c r="Q238" s="3"/>
      <c r="R238" s="3"/>
      <c r="S238" s="3"/>
      <c r="T238" s="3"/>
    </row>
    <row r="239" spans="1:20" ht="15.75" customHeight="1" x14ac:dyDescent="0.15">
      <c r="A239" s="3"/>
      <c r="B239" s="3"/>
      <c r="C239" s="3"/>
      <c r="D239" s="10"/>
      <c r="E239" s="10"/>
      <c r="F239" s="10"/>
      <c r="G239" s="3"/>
      <c r="H239" s="3"/>
      <c r="I239" s="3"/>
      <c r="J239" s="3"/>
      <c r="K239" s="3"/>
      <c r="L239" s="3"/>
      <c r="M239" s="3"/>
      <c r="N239" s="3"/>
      <c r="O239" s="3"/>
      <c r="P239" s="3"/>
      <c r="Q239" s="3"/>
      <c r="R239" s="3"/>
      <c r="S239" s="3"/>
      <c r="T239" s="3"/>
    </row>
    <row r="240" spans="1:20" ht="15.75" customHeight="1" x14ac:dyDescent="0.15">
      <c r="A240" s="3"/>
      <c r="B240" s="3"/>
      <c r="C240" s="3"/>
      <c r="D240" s="10"/>
      <c r="E240" s="10"/>
      <c r="F240" s="10"/>
      <c r="G240" s="3"/>
      <c r="H240" s="3"/>
      <c r="I240" s="3"/>
      <c r="J240" s="3"/>
      <c r="K240" s="3"/>
      <c r="L240" s="3"/>
      <c r="M240" s="3"/>
      <c r="N240" s="3"/>
      <c r="O240" s="3"/>
      <c r="P240" s="3"/>
      <c r="Q240" s="3"/>
      <c r="R240" s="3"/>
      <c r="S240" s="3"/>
      <c r="T240" s="3"/>
    </row>
    <row r="241" spans="1:20" ht="15.75" customHeight="1" x14ac:dyDescent="0.15">
      <c r="A241" s="3"/>
      <c r="B241" s="3"/>
      <c r="C241" s="3"/>
      <c r="D241" s="10"/>
      <c r="E241" s="10"/>
      <c r="F241" s="10"/>
      <c r="G241" s="3"/>
      <c r="H241" s="3"/>
      <c r="I241" s="3"/>
      <c r="J241" s="3"/>
      <c r="K241" s="3"/>
      <c r="L241" s="3"/>
      <c r="M241" s="3"/>
      <c r="N241" s="3"/>
      <c r="O241" s="3"/>
      <c r="P241" s="3"/>
      <c r="Q241" s="3"/>
      <c r="R241" s="3"/>
      <c r="S241" s="3"/>
      <c r="T241" s="3"/>
    </row>
    <row r="242" spans="1:20" ht="15.75" customHeight="1" x14ac:dyDescent="0.15">
      <c r="A242" s="3"/>
      <c r="B242" s="3"/>
      <c r="C242" s="3"/>
      <c r="D242" s="10"/>
      <c r="E242" s="10"/>
      <c r="F242" s="10"/>
      <c r="G242" s="3"/>
      <c r="H242" s="3"/>
      <c r="I242" s="3"/>
      <c r="J242" s="3"/>
      <c r="K242" s="3"/>
      <c r="L242" s="3"/>
      <c r="M242" s="3"/>
      <c r="N242" s="3"/>
      <c r="O242" s="3"/>
      <c r="P242" s="3"/>
      <c r="Q242" s="3"/>
      <c r="R242" s="3"/>
      <c r="S242" s="3"/>
      <c r="T242" s="3"/>
    </row>
    <row r="243" spans="1:20" ht="15.75" customHeight="1" x14ac:dyDescent="0.15">
      <c r="A243" s="3"/>
      <c r="B243" s="3"/>
      <c r="C243" s="3"/>
      <c r="D243" s="10"/>
      <c r="E243" s="10"/>
      <c r="F243" s="10"/>
      <c r="G243" s="3"/>
      <c r="H243" s="3"/>
      <c r="I243" s="3"/>
      <c r="J243" s="3"/>
      <c r="K243" s="3"/>
      <c r="L243" s="3"/>
      <c r="M243" s="3"/>
      <c r="N243" s="3"/>
      <c r="O243" s="3"/>
      <c r="P243" s="3"/>
      <c r="Q243" s="3"/>
      <c r="R243" s="3"/>
      <c r="S243" s="3"/>
      <c r="T243" s="3"/>
    </row>
    <row r="244" spans="1:20" ht="15.75" customHeight="1" x14ac:dyDescent="0.15">
      <c r="A244" s="3"/>
      <c r="B244" s="3"/>
      <c r="C244" s="3"/>
      <c r="D244" s="10"/>
      <c r="E244" s="10"/>
      <c r="F244" s="10"/>
      <c r="G244" s="3"/>
      <c r="H244" s="3"/>
      <c r="I244" s="3"/>
      <c r="J244" s="3"/>
      <c r="K244" s="3"/>
      <c r="L244" s="3"/>
      <c r="M244" s="3"/>
      <c r="N244" s="3"/>
      <c r="O244" s="3"/>
      <c r="P244" s="3"/>
      <c r="Q244" s="3"/>
      <c r="R244" s="3"/>
      <c r="S244" s="3"/>
      <c r="T244" s="3"/>
    </row>
    <row r="245" spans="1:20" ht="15.75" customHeight="1" x14ac:dyDescent="0.15">
      <c r="A245" s="3"/>
      <c r="B245" s="3"/>
      <c r="C245" s="3"/>
      <c r="D245" s="10"/>
      <c r="E245" s="10"/>
      <c r="F245" s="10"/>
      <c r="G245" s="3"/>
      <c r="H245" s="3"/>
      <c r="I245" s="3"/>
      <c r="J245" s="3"/>
      <c r="K245" s="3"/>
      <c r="L245" s="3"/>
      <c r="M245" s="3"/>
      <c r="N245" s="3"/>
      <c r="O245" s="3"/>
      <c r="P245" s="3"/>
      <c r="Q245" s="3"/>
      <c r="R245" s="3"/>
      <c r="S245" s="3"/>
      <c r="T245" s="3"/>
    </row>
    <row r="246" spans="1:20" ht="15.75" customHeight="1" x14ac:dyDescent="0.15">
      <c r="A246" s="3"/>
      <c r="B246" s="3"/>
      <c r="C246" s="3"/>
      <c r="D246" s="10"/>
      <c r="E246" s="10"/>
      <c r="F246" s="10"/>
      <c r="G246" s="3"/>
      <c r="H246" s="3"/>
      <c r="I246" s="3"/>
      <c r="J246" s="3"/>
      <c r="K246" s="3"/>
      <c r="L246" s="3"/>
      <c r="M246" s="3"/>
      <c r="N246" s="3"/>
      <c r="O246" s="3"/>
      <c r="P246" s="3"/>
      <c r="Q246" s="3"/>
      <c r="R246" s="3"/>
      <c r="S246" s="3"/>
      <c r="T246" s="3"/>
    </row>
    <row r="247" spans="1:20" ht="15.75" customHeight="1" x14ac:dyDescent="0.15">
      <c r="A247" s="3"/>
      <c r="B247" s="3"/>
      <c r="C247" s="3"/>
      <c r="D247" s="10"/>
      <c r="E247" s="10"/>
      <c r="F247" s="10"/>
      <c r="G247" s="3"/>
      <c r="H247" s="3"/>
      <c r="I247" s="3"/>
      <c r="J247" s="3"/>
      <c r="K247" s="3"/>
      <c r="L247" s="3"/>
      <c r="M247" s="3"/>
      <c r="N247" s="3"/>
      <c r="O247" s="3"/>
      <c r="P247" s="3"/>
      <c r="Q247" s="3"/>
      <c r="R247" s="3"/>
      <c r="S247" s="3"/>
      <c r="T247" s="3"/>
    </row>
    <row r="248" spans="1:20" ht="15.75" customHeight="1" x14ac:dyDescent="0.15">
      <c r="A248" s="3"/>
      <c r="B248" s="3"/>
      <c r="C248" s="3"/>
      <c r="D248" s="10"/>
      <c r="E248" s="10"/>
      <c r="F248" s="10"/>
      <c r="G248" s="3"/>
      <c r="H248" s="3"/>
      <c r="I248" s="3"/>
      <c r="J248" s="3"/>
      <c r="K248" s="3"/>
      <c r="L248" s="3"/>
      <c r="M248" s="3"/>
      <c r="N248" s="3"/>
      <c r="O248" s="3"/>
      <c r="P248" s="3"/>
      <c r="Q248" s="3"/>
      <c r="R248" s="3"/>
      <c r="S248" s="3"/>
      <c r="T248" s="3"/>
    </row>
    <row r="249" spans="1:20" ht="15.75" customHeight="1" x14ac:dyDescent="0.15">
      <c r="A249" s="3"/>
      <c r="B249" s="3"/>
      <c r="C249" s="3"/>
      <c r="D249" s="10"/>
      <c r="E249" s="10"/>
      <c r="F249" s="10"/>
      <c r="G249" s="3"/>
      <c r="H249" s="3"/>
      <c r="I249" s="3"/>
      <c r="J249" s="3"/>
      <c r="K249" s="3"/>
      <c r="L249" s="3"/>
      <c r="M249" s="3"/>
      <c r="N249" s="3"/>
      <c r="O249" s="3"/>
      <c r="P249" s="3"/>
      <c r="Q249" s="3"/>
      <c r="R249" s="3"/>
      <c r="S249" s="3"/>
      <c r="T249" s="3"/>
    </row>
    <row r="250" spans="1:20" ht="15.75" customHeight="1" x14ac:dyDescent="0.15">
      <c r="A250" s="3"/>
      <c r="B250" s="3"/>
      <c r="C250" s="3"/>
      <c r="D250" s="10"/>
      <c r="E250" s="10"/>
      <c r="F250" s="10"/>
      <c r="G250" s="3"/>
      <c r="H250" s="3"/>
      <c r="I250" s="3"/>
      <c r="J250" s="3"/>
      <c r="K250" s="3"/>
      <c r="L250" s="3"/>
      <c r="M250" s="3"/>
      <c r="N250" s="3"/>
      <c r="O250" s="3"/>
      <c r="P250" s="3"/>
      <c r="Q250" s="3"/>
      <c r="R250" s="3"/>
      <c r="S250" s="3"/>
      <c r="T250" s="3"/>
    </row>
    <row r="251" spans="1:20" ht="15.75" customHeight="1" x14ac:dyDescent="0.15">
      <c r="A251" s="3"/>
      <c r="B251" s="3"/>
      <c r="C251" s="3"/>
      <c r="D251" s="10"/>
      <c r="E251" s="10"/>
      <c r="F251" s="10"/>
      <c r="G251" s="3"/>
      <c r="H251" s="3"/>
      <c r="I251" s="3"/>
      <c r="J251" s="3"/>
      <c r="K251" s="3"/>
      <c r="L251" s="3"/>
      <c r="M251" s="3"/>
      <c r="N251" s="3"/>
      <c r="O251" s="3"/>
      <c r="P251" s="3"/>
      <c r="Q251" s="3"/>
      <c r="R251" s="3"/>
      <c r="S251" s="3"/>
      <c r="T251" s="3"/>
    </row>
    <row r="252" spans="1:20" ht="15.75" customHeight="1" x14ac:dyDescent="0.15">
      <c r="A252" s="3"/>
      <c r="B252" s="3"/>
      <c r="C252" s="3"/>
      <c r="D252" s="10"/>
      <c r="E252" s="10"/>
      <c r="F252" s="10"/>
      <c r="G252" s="3"/>
      <c r="H252" s="3"/>
      <c r="I252" s="3"/>
      <c r="J252" s="3"/>
      <c r="K252" s="3"/>
      <c r="L252" s="3"/>
      <c r="M252" s="3"/>
      <c r="N252" s="3"/>
      <c r="O252" s="3"/>
      <c r="P252" s="3"/>
      <c r="Q252" s="3"/>
      <c r="R252" s="3"/>
      <c r="S252" s="3"/>
      <c r="T252" s="3"/>
    </row>
    <row r="253" spans="1:20" ht="15.75" customHeight="1" x14ac:dyDescent="0.15">
      <c r="A253" s="3"/>
      <c r="B253" s="3"/>
      <c r="C253" s="3"/>
      <c r="D253" s="10"/>
      <c r="E253" s="10"/>
      <c r="F253" s="10"/>
      <c r="G253" s="3"/>
      <c r="H253" s="3"/>
      <c r="I253" s="3"/>
      <c r="J253" s="3"/>
      <c r="K253" s="3"/>
      <c r="L253" s="3"/>
      <c r="M253" s="3"/>
      <c r="N253" s="3"/>
      <c r="O253" s="3"/>
      <c r="P253" s="3"/>
      <c r="Q253" s="3"/>
      <c r="R253" s="3"/>
      <c r="S253" s="3"/>
      <c r="T253" s="3"/>
    </row>
    <row r="254" spans="1:20" ht="15.75" customHeight="1" x14ac:dyDescent="0.15">
      <c r="A254" s="3"/>
      <c r="B254" s="3"/>
      <c r="C254" s="3"/>
      <c r="D254" s="10"/>
      <c r="E254" s="10"/>
      <c r="F254" s="10"/>
      <c r="G254" s="3"/>
      <c r="H254" s="3"/>
      <c r="I254" s="3"/>
      <c r="J254" s="3"/>
      <c r="K254" s="3"/>
      <c r="L254" s="3"/>
      <c r="M254" s="3"/>
      <c r="N254" s="3"/>
      <c r="O254" s="3"/>
      <c r="P254" s="3"/>
      <c r="Q254" s="3"/>
      <c r="R254" s="3"/>
      <c r="S254" s="3"/>
      <c r="T254" s="3"/>
    </row>
    <row r="255" spans="1:20" ht="15.75" customHeight="1" x14ac:dyDescent="0.15">
      <c r="A255" s="3"/>
      <c r="B255" s="3"/>
      <c r="C255" s="3"/>
      <c r="D255" s="10"/>
      <c r="E255" s="10"/>
      <c r="F255" s="10"/>
      <c r="G255" s="3"/>
      <c r="H255" s="3"/>
      <c r="I255" s="3"/>
      <c r="J255" s="3"/>
      <c r="K255" s="3"/>
      <c r="L255" s="3"/>
      <c r="M255" s="3"/>
      <c r="N255" s="3"/>
      <c r="O255" s="3"/>
      <c r="P255" s="3"/>
      <c r="Q255" s="3"/>
      <c r="R255" s="3"/>
      <c r="S255" s="3"/>
      <c r="T255" s="3"/>
    </row>
    <row r="256" spans="1:20" ht="15.75" customHeight="1" x14ac:dyDescent="0.15">
      <c r="A256" s="3"/>
      <c r="B256" s="3"/>
      <c r="C256" s="3"/>
      <c r="D256" s="10"/>
      <c r="E256" s="10"/>
      <c r="F256" s="10"/>
      <c r="G256" s="3"/>
      <c r="H256" s="3"/>
      <c r="I256" s="3"/>
      <c r="J256" s="3"/>
      <c r="K256" s="3"/>
      <c r="L256" s="3"/>
      <c r="M256" s="3"/>
      <c r="N256" s="3"/>
      <c r="O256" s="3"/>
      <c r="P256" s="3"/>
      <c r="Q256" s="3"/>
      <c r="R256" s="3"/>
      <c r="S256" s="3"/>
      <c r="T256" s="3"/>
    </row>
    <row r="257" spans="1:20" ht="15.75" customHeight="1" x14ac:dyDescent="0.15">
      <c r="A257" s="3"/>
      <c r="B257" s="3"/>
      <c r="C257" s="3"/>
      <c r="D257" s="10"/>
      <c r="E257" s="10"/>
      <c r="F257" s="10"/>
      <c r="G257" s="3"/>
      <c r="H257" s="3"/>
      <c r="I257" s="3"/>
      <c r="J257" s="3"/>
      <c r="K257" s="3"/>
      <c r="L257" s="3"/>
      <c r="M257" s="3"/>
      <c r="N257" s="3"/>
      <c r="O257" s="3"/>
      <c r="P257" s="3"/>
      <c r="Q257" s="3"/>
      <c r="R257" s="3"/>
      <c r="S257" s="3"/>
      <c r="T257" s="3"/>
    </row>
    <row r="258" spans="1:20" ht="15.75" customHeight="1" x14ac:dyDescent="0.15">
      <c r="A258" s="3"/>
      <c r="B258" s="3"/>
      <c r="C258" s="3"/>
      <c r="D258" s="10"/>
      <c r="E258" s="10"/>
      <c r="F258" s="10"/>
      <c r="G258" s="3"/>
      <c r="H258" s="3"/>
      <c r="I258" s="3"/>
      <c r="J258" s="3"/>
      <c r="K258" s="3"/>
      <c r="L258" s="3"/>
      <c r="M258" s="3"/>
      <c r="N258" s="3"/>
      <c r="O258" s="3"/>
      <c r="P258" s="3"/>
      <c r="Q258" s="3"/>
      <c r="R258" s="3"/>
      <c r="S258" s="3"/>
      <c r="T258" s="3"/>
    </row>
    <row r="259" spans="1:20" ht="15.75" customHeight="1" x14ac:dyDescent="0.15">
      <c r="A259" s="3"/>
      <c r="B259" s="3"/>
      <c r="C259" s="3"/>
      <c r="D259" s="10"/>
      <c r="E259" s="10"/>
      <c r="F259" s="10"/>
      <c r="G259" s="3"/>
      <c r="H259" s="3"/>
      <c r="I259" s="3"/>
      <c r="J259" s="3"/>
      <c r="K259" s="3"/>
      <c r="L259" s="3"/>
      <c r="M259" s="3"/>
      <c r="N259" s="3"/>
      <c r="O259" s="3"/>
      <c r="P259" s="3"/>
      <c r="Q259" s="3"/>
      <c r="R259" s="3"/>
      <c r="S259" s="3"/>
      <c r="T259" s="3"/>
    </row>
    <row r="260" spans="1:20" ht="15.75" customHeight="1" x14ac:dyDescent="0.15">
      <c r="A260" s="3"/>
      <c r="B260" s="3"/>
      <c r="C260" s="3"/>
      <c r="D260" s="10"/>
      <c r="E260" s="10"/>
      <c r="F260" s="10"/>
      <c r="G260" s="3"/>
      <c r="H260" s="3"/>
      <c r="I260" s="3"/>
      <c r="J260" s="3"/>
      <c r="K260" s="3"/>
      <c r="L260" s="3"/>
      <c r="M260" s="3"/>
      <c r="N260" s="3"/>
      <c r="O260" s="3"/>
      <c r="P260" s="3"/>
      <c r="Q260" s="3"/>
      <c r="R260" s="3"/>
      <c r="S260" s="3"/>
      <c r="T260" s="3"/>
    </row>
    <row r="261" spans="1:20" ht="15.75" customHeight="1" x14ac:dyDescent="0.15">
      <c r="A261" s="3"/>
      <c r="B261" s="3"/>
      <c r="C261" s="3"/>
      <c r="D261" s="10"/>
      <c r="E261" s="10"/>
      <c r="F261" s="10"/>
      <c r="G261" s="3"/>
      <c r="H261" s="3"/>
      <c r="I261" s="3"/>
      <c r="J261" s="3"/>
      <c r="K261" s="3"/>
      <c r="L261" s="3"/>
      <c r="M261" s="3"/>
      <c r="N261" s="3"/>
      <c r="O261" s="3"/>
      <c r="P261" s="3"/>
      <c r="Q261" s="3"/>
      <c r="R261" s="3"/>
      <c r="S261" s="3"/>
      <c r="T261" s="3"/>
    </row>
    <row r="262" spans="1:20" ht="15.75" customHeight="1" x14ac:dyDescent="0.15">
      <c r="A262" s="3"/>
      <c r="B262" s="3"/>
      <c r="C262" s="3"/>
      <c r="D262" s="10"/>
      <c r="E262" s="10"/>
      <c r="F262" s="10"/>
      <c r="G262" s="3"/>
      <c r="H262" s="3"/>
      <c r="I262" s="3"/>
      <c r="J262" s="3"/>
      <c r="K262" s="3"/>
      <c r="L262" s="3"/>
      <c r="M262" s="3"/>
      <c r="N262" s="3"/>
      <c r="O262" s="3"/>
      <c r="P262" s="3"/>
      <c r="Q262" s="3"/>
      <c r="R262" s="3"/>
      <c r="S262" s="3"/>
      <c r="T262" s="3"/>
    </row>
    <row r="263" spans="1:20" ht="15.75" customHeight="1" x14ac:dyDescent="0.15">
      <c r="A263" s="3"/>
      <c r="B263" s="3"/>
      <c r="C263" s="3"/>
      <c r="D263" s="10"/>
      <c r="E263" s="10"/>
      <c r="F263" s="10"/>
      <c r="G263" s="3"/>
      <c r="H263" s="3"/>
      <c r="I263" s="3"/>
      <c r="J263" s="3"/>
      <c r="K263" s="3"/>
      <c r="L263" s="3"/>
      <c r="M263" s="3"/>
      <c r="N263" s="3"/>
      <c r="O263" s="3"/>
      <c r="P263" s="3"/>
      <c r="Q263" s="3"/>
      <c r="R263" s="3"/>
      <c r="S263" s="3"/>
      <c r="T263" s="3"/>
    </row>
    <row r="264" spans="1:20" ht="15.75" customHeight="1" x14ac:dyDescent="0.15">
      <c r="A264" s="3"/>
      <c r="B264" s="3"/>
      <c r="C264" s="3"/>
      <c r="D264" s="10"/>
      <c r="E264" s="10"/>
      <c r="F264" s="10"/>
      <c r="G264" s="3"/>
      <c r="H264" s="3"/>
      <c r="I264" s="3"/>
      <c r="J264" s="3"/>
      <c r="K264" s="3"/>
      <c r="L264" s="3"/>
      <c r="M264" s="3"/>
      <c r="N264" s="3"/>
      <c r="O264" s="3"/>
      <c r="P264" s="3"/>
      <c r="Q264" s="3"/>
      <c r="R264" s="3"/>
      <c r="S264" s="3"/>
      <c r="T264" s="3"/>
    </row>
    <row r="265" spans="1:20" ht="15.75" customHeight="1" x14ac:dyDescent="0.15">
      <c r="A265" s="3"/>
      <c r="B265" s="3"/>
      <c r="C265" s="3"/>
      <c r="D265" s="10"/>
      <c r="E265" s="10"/>
      <c r="F265" s="10"/>
      <c r="G265" s="3"/>
      <c r="H265" s="3"/>
      <c r="I265" s="3"/>
      <c r="J265" s="3"/>
      <c r="K265" s="3"/>
      <c r="L265" s="3"/>
      <c r="M265" s="3"/>
      <c r="N265" s="3"/>
      <c r="O265" s="3"/>
      <c r="P265" s="3"/>
      <c r="Q265" s="3"/>
      <c r="R265" s="3"/>
      <c r="S265" s="3"/>
      <c r="T265" s="3"/>
    </row>
    <row r="266" spans="1:20" ht="15.75" customHeight="1" x14ac:dyDescent="0.15">
      <c r="A266" s="3"/>
      <c r="B266" s="3"/>
      <c r="C266" s="3"/>
      <c r="D266" s="10"/>
      <c r="E266" s="10"/>
      <c r="F266" s="10"/>
      <c r="G266" s="3"/>
      <c r="H266" s="3"/>
      <c r="I266" s="3"/>
      <c r="J266" s="3"/>
      <c r="K266" s="3"/>
      <c r="L266" s="3"/>
      <c r="M266" s="3"/>
      <c r="N266" s="3"/>
      <c r="O266" s="3"/>
      <c r="P266" s="3"/>
      <c r="Q266" s="3"/>
      <c r="R266" s="3"/>
      <c r="S266" s="3"/>
      <c r="T266" s="3"/>
    </row>
    <row r="267" spans="1:20" ht="15.75" customHeight="1" x14ac:dyDescent="0.15">
      <c r="A267" s="3"/>
      <c r="B267" s="3"/>
      <c r="C267" s="3"/>
      <c r="D267" s="10"/>
      <c r="E267" s="10"/>
      <c r="F267" s="10"/>
      <c r="G267" s="3"/>
      <c r="H267" s="3"/>
      <c r="I267" s="3"/>
      <c r="J267" s="3"/>
      <c r="K267" s="3"/>
      <c r="L267" s="3"/>
      <c r="M267" s="3"/>
      <c r="N267" s="3"/>
      <c r="O267" s="3"/>
      <c r="P267" s="3"/>
      <c r="Q267" s="3"/>
      <c r="R267" s="3"/>
      <c r="S267" s="3"/>
      <c r="T267" s="3"/>
    </row>
    <row r="268" spans="1:20" ht="15.75" customHeight="1" x14ac:dyDescent="0.15">
      <c r="A268" s="3"/>
      <c r="B268" s="3"/>
      <c r="C268" s="3"/>
      <c r="D268" s="10"/>
      <c r="E268" s="10"/>
      <c r="F268" s="10"/>
      <c r="G268" s="3"/>
      <c r="H268" s="3"/>
      <c r="I268" s="3"/>
      <c r="J268" s="3"/>
      <c r="K268" s="3"/>
      <c r="L268" s="3"/>
      <c r="M268" s="3"/>
      <c r="N268" s="3"/>
      <c r="O268" s="3"/>
      <c r="P268" s="3"/>
      <c r="Q268" s="3"/>
      <c r="R268" s="3"/>
      <c r="S268" s="3"/>
      <c r="T268" s="3"/>
    </row>
    <row r="269" spans="1:20" ht="15.75" customHeight="1" x14ac:dyDescent="0.15">
      <c r="A269" s="3"/>
      <c r="B269" s="3"/>
      <c r="C269" s="3"/>
      <c r="D269" s="10"/>
      <c r="E269" s="10"/>
      <c r="F269" s="10"/>
      <c r="G269" s="3"/>
      <c r="H269" s="3"/>
      <c r="I269" s="3"/>
      <c r="J269" s="3"/>
      <c r="K269" s="3"/>
      <c r="L269" s="3"/>
      <c r="M269" s="3"/>
      <c r="N269" s="3"/>
      <c r="O269" s="3"/>
      <c r="P269" s="3"/>
      <c r="Q269" s="3"/>
      <c r="R269" s="3"/>
      <c r="S269" s="3"/>
      <c r="T269" s="3"/>
    </row>
    <row r="270" spans="1:20" ht="15.75" customHeight="1" x14ac:dyDescent="0.15">
      <c r="A270" s="3"/>
      <c r="B270" s="3"/>
      <c r="C270" s="3"/>
      <c r="D270" s="10"/>
      <c r="E270" s="10"/>
      <c r="F270" s="10"/>
      <c r="G270" s="3"/>
      <c r="H270" s="3"/>
      <c r="I270" s="3"/>
      <c r="J270" s="3"/>
      <c r="K270" s="3"/>
      <c r="L270" s="3"/>
      <c r="M270" s="3"/>
      <c r="N270" s="3"/>
      <c r="O270" s="3"/>
      <c r="P270" s="3"/>
      <c r="Q270" s="3"/>
      <c r="R270" s="3"/>
      <c r="S270" s="3"/>
      <c r="T270" s="3"/>
    </row>
    <row r="271" spans="1:20" ht="15.75" customHeight="1" x14ac:dyDescent="0.15">
      <c r="A271" s="3"/>
      <c r="B271" s="3"/>
      <c r="C271" s="3"/>
      <c r="D271" s="10"/>
      <c r="E271" s="10"/>
      <c r="F271" s="10"/>
      <c r="G271" s="3"/>
      <c r="H271" s="3"/>
      <c r="I271" s="3"/>
      <c r="J271" s="3"/>
      <c r="K271" s="3"/>
      <c r="L271" s="3"/>
      <c r="M271" s="3"/>
      <c r="N271" s="3"/>
      <c r="O271" s="3"/>
      <c r="P271" s="3"/>
      <c r="Q271" s="3"/>
      <c r="R271" s="3"/>
      <c r="S271" s="3"/>
      <c r="T271" s="3"/>
    </row>
    <row r="272" spans="1:20" ht="15.75" customHeight="1" x14ac:dyDescent="0.15">
      <c r="A272" s="3"/>
      <c r="B272" s="3"/>
      <c r="C272" s="3"/>
      <c r="D272" s="10"/>
      <c r="E272" s="10"/>
      <c r="F272" s="10"/>
      <c r="G272" s="3"/>
      <c r="H272" s="3"/>
      <c r="I272" s="3"/>
      <c r="J272" s="3"/>
      <c r="K272" s="3"/>
      <c r="L272" s="3"/>
      <c r="M272" s="3"/>
      <c r="N272" s="3"/>
      <c r="O272" s="3"/>
      <c r="P272" s="3"/>
      <c r="Q272" s="3"/>
      <c r="R272" s="3"/>
      <c r="S272" s="3"/>
      <c r="T272" s="3"/>
    </row>
    <row r="273" spans="4:6" ht="15.75" customHeight="1" x14ac:dyDescent="0.15">
      <c r="D273" s="10"/>
      <c r="E273" s="10"/>
      <c r="F273" s="10"/>
    </row>
    <row r="274" spans="4:6" ht="15.75" customHeight="1" x14ac:dyDescent="0.15">
      <c r="D274" s="10"/>
      <c r="E274" s="10"/>
      <c r="F274" s="10"/>
    </row>
    <row r="275" spans="4:6" ht="15.75" customHeight="1" x14ac:dyDescent="0.15">
      <c r="D275" s="10"/>
      <c r="E275" s="10"/>
      <c r="F275" s="10"/>
    </row>
    <row r="276" spans="4:6" ht="15.75" customHeight="1" x14ac:dyDescent="0.15">
      <c r="D276" s="10"/>
      <c r="E276" s="10"/>
      <c r="F276" s="10"/>
    </row>
    <row r="277" spans="4:6" ht="15.75" customHeight="1" x14ac:dyDescent="0.15">
      <c r="D277" s="10"/>
      <c r="E277" s="10"/>
      <c r="F277" s="10"/>
    </row>
    <row r="278" spans="4:6" ht="15.75" customHeight="1" x14ac:dyDescent="0.15">
      <c r="D278" s="10"/>
      <c r="E278" s="10"/>
      <c r="F278" s="10"/>
    </row>
    <row r="279" spans="4:6" ht="15.75" customHeight="1" x14ac:dyDescent="0.15">
      <c r="D279" s="10"/>
      <c r="E279" s="10"/>
      <c r="F279" s="10"/>
    </row>
    <row r="280" spans="4:6" ht="15.75" customHeight="1" x14ac:dyDescent="0.15">
      <c r="D280" s="10"/>
      <c r="E280" s="10"/>
      <c r="F280" s="10"/>
    </row>
    <row r="281" spans="4:6" ht="15.75" customHeight="1" x14ac:dyDescent="0.15">
      <c r="D281" s="10"/>
      <c r="E281" s="10"/>
      <c r="F281" s="10"/>
    </row>
    <row r="282" spans="4:6" ht="15.75" customHeight="1" x14ac:dyDescent="0.15">
      <c r="D282" s="10"/>
      <c r="E282" s="10"/>
      <c r="F282" s="10"/>
    </row>
    <row r="283" spans="4:6" ht="15.75" customHeight="1" x14ac:dyDescent="0.15">
      <c r="D283" s="10"/>
      <c r="E283" s="10"/>
      <c r="F283" s="10"/>
    </row>
    <row r="284" spans="4:6" ht="15.75" customHeight="1" x14ac:dyDescent="0.15">
      <c r="D284" s="10"/>
      <c r="E284" s="10"/>
      <c r="F284" s="10"/>
    </row>
    <row r="285" spans="4:6" ht="15.75" customHeight="1" x14ac:dyDescent="0.15">
      <c r="D285" s="10"/>
      <c r="E285" s="10"/>
      <c r="F285" s="10"/>
    </row>
    <row r="286" spans="4:6" ht="15.75" customHeight="1" x14ac:dyDescent="0.15">
      <c r="D286" s="10"/>
      <c r="E286" s="10"/>
      <c r="F286" s="10"/>
    </row>
    <row r="287" spans="4:6" ht="15.75" customHeight="1" x14ac:dyDescent="0.15">
      <c r="D287" s="10"/>
      <c r="E287" s="10"/>
      <c r="F287" s="10"/>
    </row>
    <row r="288" spans="4:6" ht="15.75" customHeight="1" x14ac:dyDescent="0.15">
      <c r="D288" s="10"/>
      <c r="E288" s="10"/>
      <c r="F288" s="10"/>
    </row>
    <row r="289" spans="4:6" ht="15.75" customHeight="1" x14ac:dyDescent="0.15">
      <c r="D289" s="10"/>
      <c r="E289" s="10"/>
      <c r="F289" s="10"/>
    </row>
    <row r="290" spans="4:6" ht="15.75" customHeight="1" x14ac:dyDescent="0.15">
      <c r="D290" s="10"/>
      <c r="E290" s="10"/>
      <c r="F290" s="10"/>
    </row>
    <row r="291" spans="4:6" ht="15.75" customHeight="1" x14ac:dyDescent="0.15">
      <c r="D291" s="10"/>
      <c r="E291" s="10"/>
      <c r="F291" s="10"/>
    </row>
    <row r="292" spans="4:6" ht="15.75" customHeight="1" x14ac:dyDescent="0.15">
      <c r="D292" s="10"/>
      <c r="E292" s="10"/>
      <c r="F292" s="10"/>
    </row>
    <row r="293" spans="4:6" ht="15.75" customHeight="1" x14ac:dyDescent="0.15">
      <c r="D293" s="10"/>
      <c r="E293" s="10"/>
      <c r="F293" s="10"/>
    </row>
    <row r="294" spans="4:6" ht="15.75" customHeight="1" x14ac:dyDescent="0.15">
      <c r="D294" s="10"/>
      <c r="E294" s="10"/>
      <c r="F294" s="10"/>
    </row>
    <row r="295" spans="4:6" ht="15.75" customHeight="1" x14ac:dyDescent="0.15">
      <c r="D295" s="10"/>
      <c r="E295" s="10"/>
      <c r="F295" s="10"/>
    </row>
    <row r="296" spans="4:6" ht="15.75" customHeight="1" x14ac:dyDescent="0.15">
      <c r="D296" s="10"/>
      <c r="E296" s="10"/>
      <c r="F296" s="10"/>
    </row>
    <row r="297" spans="4:6" ht="15.75" customHeight="1" x14ac:dyDescent="0.15">
      <c r="D297" s="10"/>
      <c r="E297" s="10"/>
      <c r="F297" s="10"/>
    </row>
    <row r="298" spans="4:6" ht="15.75" customHeight="1" x14ac:dyDescent="0.15">
      <c r="D298" s="10"/>
      <c r="E298" s="10"/>
      <c r="F298" s="10"/>
    </row>
    <row r="299" spans="4:6" ht="15.75" customHeight="1" x14ac:dyDescent="0.15">
      <c r="D299" s="10"/>
      <c r="E299" s="10"/>
      <c r="F299" s="10"/>
    </row>
    <row r="300" spans="4:6" ht="15.75" customHeight="1" x14ac:dyDescent="0.15">
      <c r="D300" s="10"/>
      <c r="E300" s="10"/>
      <c r="F300" s="10"/>
    </row>
    <row r="301" spans="4:6" ht="15.75" customHeight="1" x14ac:dyDescent="0.15">
      <c r="D301" s="10"/>
      <c r="E301" s="10"/>
      <c r="F301" s="10"/>
    </row>
    <row r="302" spans="4:6" ht="15.75" customHeight="1" x14ac:dyDescent="0.15">
      <c r="D302" s="10"/>
      <c r="E302" s="10"/>
      <c r="F302" s="10"/>
    </row>
    <row r="303" spans="4:6" ht="15.75" customHeight="1" x14ac:dyDescent="0.15">
      <c r="D303" s="10"/>
      <c r="E303" s="10"/>
      <c r="F303" s="10"/>
    </row>
    <row r="304" spans="4:6" ht="15.75" customHeight="1" x14ac:dyDescent="0.15">
      <c r="D304" s="10"/>
      <c r="E304" s="10"/>
      <c r="F304" s="10"/>
    </row>
    <row r="305" spans="4:6" ht="15.75" customHeight="1" x14ac:dyDescent="0.15">
      <c r="D305" s="10"/>
      <c r="E305" s="10"/>
      <c r="F305" s="10"/>
    </row>
    <row r="306" spans="4:6" ht="15.75" customHeight="1" x14ac:dyDescent="0.15">
      <c r="D306" s="10"/>
      <c r="E306" s="10"/>
      <c r="F306" s="10"/>
    </row>
    <row r="307" spans="4:6" ht="15.75" customHeight="1" x14ac:dyDescent="0.15">
      <c r="D307" s="10"/>
      <c r="E307" s="10"/>
      <c r="F307" s="10"/>
    </row>
    <row r="308" spans="4:6" ht="15.75" customHeight="1" x14ac:dyDescent="0.15">
      <c r="D308" s="10"/>
      <c r="E308" s="10"/>
      <c r="F308" s="10"/>
    </row>
    <row r="309" spans="4:6" ht="15.75" customHeight="1" x14ac:dyDescent="0.15">
      <c r="D309" s="10"/>
      <c r="E309" s="10"/>
      <c r="F309" s="10"/>
    </row>
    <row r="310" spans="4:6" ht="15.75" customHeight="1" x14ac:dyDescent="0.15">
      <c r="D310" s="10"/>
      <c r="E310" s="10"/>
      <c r="F310" s="10"/>
    </row>
    <row r="311" spans="4:6" ht="15.75" customHeight="1" x14ac:dyDescent="0.15">
      <c r="D311" s="10"/>
      <c r="E311" s="10"/>
      <c r="F311" s="10"/>
    </row>
    <row r="312" spans="4:6" ht="15.75" customHeight="1" x14ac:dyDescent="0.15">
      <c r="D312" s="10"/>
      <c r="E312" s="10"/>
      <c r="F312" s="10"/>
    </row>
    <row r="313" spans="4:6" ht="15.75" customHeight="1" x14ac:dyDescent="0.15">
      <c r="D313" s="10"/>
      <c r="E313" s="10"/>
      <c r="F313" s="10"/>
    </row>
    <row r="314" spans="4:6" ht="15.75" customHeight="1" x14ac:dyDescent="0.15">
      <c r="D314" s="10"/>
      <c r="E314" s="10"/>
      <c r="F314" s="10"/>
    </row>
    <row r="315" spans="4:6" ht="15.75" customHeight="1" x14ac:dyDescent="0.15">
      <c r="D315" s="10"/>
      <c r="E315" s="10"/>
      <c r="F315" s="10"/>
    </row>
    <row r="316" spans="4:6" ht="15.75" customHeight="1" x14ac:dyDescent="0.15">
      <c r="D316" s="10"/>
      <c r="E316" s="10"/>
      <c r="F316" s="10"/>
    </row>
    <row r="317" spans="4:6" ht="15.75" customHeight="1" x14ac:dyDescent="0.15">
      <c r="D317" s="10"/>
      <c r="E317" s="10"/>
      <c r="F317" s="10"/>
    </row>
    <row r="318" spans="4:6" ht="15.75" customHeight="1" x14ac:dyDescent="0.15">
      <c r="D318" s="10"/>
      <c r="E318" s="10"/>
      <c r="F318" s="10"/>
    </row>
    <row r="319" spans="4:6" ht="15.75" customHeight="1" x14ac:dyDescent="0.15">
      <c r="D319" s="10"/>
      <c r="E319" s="10"/>
      <c r="F319" s="10"/>
    </row>
    <row r="320" spans="4:6" ht="15.75" customHeight="1" x14ac:dyDescent="0.15">
      <c r="D320" s="10"/>
      <c r="E320" s="10"/>
      <c r="F320" s="10"/>
    </row>
    <row r="321" spans="4:6" ht="15.75" customHeight="1" x14ac:dyDescent="0.15">
      <c r="D321" s="10"/>
      <c r="E321" s="10"/>
      <c r="F321" s="10"/>
    </row>
    <row r="322" spans="4:6" ht="15.75" customHeight="1" x14ac:dyDescent="0.15">
      <c r="D322" s="10"/>
      <c r="E322" s="10"/>
      <c r="F322" s="10"/>
    </row>
    <row r="323" spans="4:6" ht="15.75" customHeight="1" x14ac:dyDescent="0.15">
      <c r="D323" s="10"/>
      <c r="E323" s="10"/>
      <c r="F323" s="10"/>
    </row>
    <row r="324" spans="4:6" ht="15.75" customHeight="1" x14ac:dyDescent="0.15">
      <c r="D324" s="10"/>
      <c r="E324" s="10"/>
      <c r="F324" s="10"/>
    </row>
    <row r="325" spans="4:6" ht="15.75" customHeight="1" x14ac:dyDescent="0.15">
      <c r="D325" s="10"/>
      <c r="E325" s="10"/>
      <c r="F325" s="10"/>
    </row>
    <row r="326" spans="4:6" ht="15.75" customHeight="1" x14ac:dyDescent="0.15">
      <c r="D326" s="10"/>
      <c r="E326" s="10"/>
      <c r="F326" s="10"/>
    </row>
    <row r="327" spans="4:6" ht="15.75" customHeight="1" x14ac:dyDescent="0.15">
      <c r="D327" s="10"/>
      <c r="E327" s="10"/>
      <c r="F327" s="10"/>
    </row>
    <row r="328" spans="4:6" ht="15.75" customHeight="1" x14ac:dyDescent="0.15">
      <c r="D328" s="10"/>
      <c r="E328" s="10"/>
      <c r="F328" s="10"/>
    </row>
    <row r="329" spans="4:6" ht="15.75" customHeight="1" x14ac:dyDescent="0.15">
      <c r="D329" s="10"/>
      <c r="E329" s="10"/>
      <c r="F329" s="10"/>
    </row>
    <row r="330" spans="4:6" ht="15.75" customHeight="1" x14ac:dyDescent="0.15">
      <c r="D330" s="10"/>
      <c r="E330" s="10"/>
      <c r="F330" s="10"/>
    </row>
    <row r="331" spans="4:6" ht="15.75" customHeight="1" x14ac:dyDescent="0.15">
      <c r="D331" s="10"/>
      <c r="E331" s="10"/>
      <c r="F331" s="10"/>
    </row>
    <row r="332" spans="4:6" ht="15.75" customHeight="1" x14ac:dyDescent="0.15">
      <c r="D332" s="10"/>
      <c r="E332" s="10"/>
      <c r="F332" s="10"/>
    </row>
    <row r="333" spans="4:6" ht="15.75" customHeight="1" x14ac:dyDescent="0.15">
      <c r="D333" s="10"/>
      <c r="E333" s="10"/>
      <c r="F333" s="10"/>
    </row>
    <row r="334" spans="4:6" ht="15.75" customHeight="1" x14ac:dyDescent="0.15">
      <c r="D334" s="10"/>
      <c r="E334" s="10"/>
      <c r="F334" s="10"/>
    </row>
    <row r="335" spans="4:6" ht="15.75" customHeight="1" x14ac:dyDescent="0.15">
      <c r="D335" s="10"/>
      <c r="E335" s="10"/>
      <c r="F335" s="10"/>
    </row>
    <row r="336" spans="4:6" ht="15.75" customHeight="1" x14ac:dyDescent="0.15">
      <c r="D336" s="10"/>
      <c r="E336" s="10"/>
      <c r="F336" s="10"/>
    </row>
    <row r="337" spans="4:6" ht="15.75" customHeight="1" x14ac:dyDescent="0.15">
      <c r="D337" s="10"/>
      <c r="E337" s="10"/>
      <c r="F337" s="10"/>
    </row>
    <row r="338" spans="4:6" ht="15.75" customHeight="1" x14ac:dyDescent="0.15">
      <c r="D338" s="10"/>
      <c r="E338" s="10"/>
      <c r="F338" s="10"/>
    </row>
    <row r="339" spans="4:6" ht="15.75" customHeight="1" x14ac:dyDescent="0.15">
      <c r="D339" s="10"/>
      <c r="E339" s="10"/>
      <c r="F339" s="10"/>
    </row>
    <row r="340" spans="4:6" ht="15.75" customHeight="1" x14ac:dyDescent="0.15">
      <c r="D340" s="10"/>
      <c r="E340" s="10"/>
      <c r="F340" s="10"/>
    </row>
    <row r="341" spans="4:6" ht="15.75" customHeight="1" x14ac:dyDescent="0.15">
      <c r="D341" s="10"/>
      <c r="E341" s="10"/>
      <c r="F341" s="10"/>
    </row>
    <row r="342" spans="4:6" ht="15.75" customHeight="1" x14ac:dyDescent="0.15">
      <c r="D342" s="10"/>
      <c r="E342" s="10"/>
      <c r="F342" s="10"/>
    </row>
    <row r="343" spans="4:6" ht="15.75" customHeight="1" x14ac:dyDescent="0.15">
      <c r="D343" s="10"/>
      <c r="E343" s="10"/>
      <c r="F343" s="10"/>
    </row>
    <row r="344" spans="4:6" ht="15.75" customHeight="1" x14ac:dyDescent="0.15">
      <c r="D344" s="10"/>
      <c r="E344" s="10"/>
      <c r="F344" s="10"/>
    </row>
    <row r="345" spans="4:6" ht="15.75" customHeight="1" x14ac:dyDescent="0.15">
      <c r="D345" s="10"/>
      <c r="E345" s="10"/>
      <c r="F345" s="10"/>
    </row>
    <row r="346" spans="4:6" ht="15.75" customHeight="1" x14ac:dyDescent="0.15">
      <c r="D346" s="10"/>
      <c r="E346" s="10"/>
      <c r="F346" s="10"/>
    </row>
    <row r="347" spans="4:6" ht="15.75" customHeight="1" x14ac:dyDescent="0.15">
      <c r="D347" s="10"/>
      <c r="E347" s="10"/>
      <c r="F347" s="10"/>
    </row>
    <row r="348" spans="4:6" ht="15.75" customHeight="1" x14ac:dyDescent="0.15">
      <c r="D348" s="10"/>
      <c r="E348" s="10"/>
      <c r="F348" s="10"/>
    </row>
    <row r="349" spans="4:6" ht="15.75" customHeight="1" x14ac:dyDescent="0.15">
      <c r="D349" s="10"/>
      <c r="E349" s="10"/>
      <c r="F349" s="10"/>
    </row>
    <row r="350" spans="4:6" ht="15.75" customHeight="1" x14ac:dyDescent="0.15">
      <c r="D350" s="10"/>
      <c r="E350" s="10"/>
      <c r="F350" s="10"/>
    </row>
    <row r="351" spans="4:6" ht="15.75" customHeight="1" x14ac:dyDescent="0.15">
      <c r="D351" s="10"/>
      <c r="E351" s="10"/>
      <c r="F351" s="10"/>
    </row>
    <row r="352" spans="4:6" ht="15.75" customHeight="1" x14ac:dyDescent="0.15">
      <c r="D352" s="10"/>
      <c r="E352" s="10"/>
      <c r="F352" s="10"/>
    </row>
    <row r="353" spans="4:6" ht="15.75" customHeight="1" x14ac:dyDescent="0.15">
      <c r="D353" s="10"/>
      <c r="E353" s="10"/>
      <c r="F353" s="10"/>
    </row>
    <row r="354" spans="4:6" ht="15.75" customHeight="1" x14ac:dyDescent="0.15">
      <c r="D354" s="10"/>
      <c r="E354" s="10"/>
      <c r="F354" s="10"/>
    </row>
    <row r="355" spans="4:6" ht="15.75" customHeight="1" x14ac:dyDescent="0.15">
      <c r="D355" s="10"/>
      <c r="E355" s="10"/>
      <c r="F355" s="10"/>
    </row>
    <row r="356" spans="4:6" ht="15.75" customHeight="1" x14ac:dyDescent="0.15">
      <c r="D356" s="10"/>
      <c r="E356" s="10"/>
      <c r="F356" s="10"/>
    </row>
    <row r="357" spans="4:6" ht="15.75" customHeight="1" x14ac:dyDescent="0.15">
      <c r="D357" s="10"/>
      <c r="E357" s="10"/>
      <c r="F357" s="10"/>
    </row>
    <row r="358" spans="4:6" ht="15.75" customHeight="1" x14ac:dyDescent="0.15">
      <c r="D358" s="10"/>
      <c r="E358" s="10"/>
      <c r="F358" s="10"/>
    </row>
    <row r="359" spans="4:6" ht="15.75" customHeight="1" x14ac:dyDescent="0.15">
      <c r="D359" s="10"/>
      <c r="E359" s="10"/>
      <c r="F359" s="10"/>
    </row>
    <row r="360" spans="4:6" ht="15.75" customHeight="1" x14ac:dyDescent="0.15">
      <c r="D360" s="10"/>
      <c r="E360" s="10"/>
      <c r="F360" s="10"/>
    </row>
    <row r="361" spans="4:6" ht="15.75" customHeight="1" x14ac:dyDescent="0.15">
      <c r="D361" s="10"/>
      <c r="E361" s="10"/>
      <c r="F361" s="10"/>
    </row>
    <row r="362" spans="4:6" ht="15.75" customHeight="1" x14ac:dyDescent="0.15">
      <c r="D362" s="10"/>
      <c r="E362" s="10"/>
      <c r="F362" s="10"/>
    </row>
    <row r="363" spans="4:6" ht="15.75" customHeight="1" x14ac:dyDescent="0.15">
      <c r="D363" s="10"/>
      <c r="E363" s="10"/>
      <c r="F363" s="10"/>
    </row>
    <row r="364" spans="4:6" ht="15.75" customHeight="1" x14ac:dyDescent="0.15">
      <c r="D364" s="10"/>
      <c r="E364" s="10"/>
      <c r="F364" s="10"/>
    </row>
    <row r="365" spans="4:6" ht="15.75" customHeight="1" x14ac:dyDescent="0.15">
      <c r="D365" s="10"/>
      <c r="E365" s="10"/>
      <c r="F365" s="10"/>
    </row>
    <row r="366" spans="4:6" ht="15.75" customHeight="1" x14ac:dyDescent="0.15">
      <c r="D366" s="10"/>
      <c r="E366" s="10"/>
      <c r="F366" s="10"/>
    </row>
    <row r="367" spans="4:6" ht="15.75" customHeight="1" x14ac:dyDescent="0.15">
      <c r="D367" s="10"/>
      <c r="E367" s="10"/>
      <c r="F367" s="10"/>
    </row>
    <row r="368" spans="4:6" ht="15.75" customHeight="1" x14ac:dyDescent="0.15">
      <c r="D368" s="10"/>
      <c r="E368" s="10"/>
      <c r="F368" s="10"/>
    </row>
    <row r="369" spans="4:6" ht="15.75" customHeight="1" x14ac:dyDescent="0.15">
      <c r="D369" s="10"/>
      <c r="E369" s="10"/>
      <c r="F369" s="10"/>
    </row>
    <row r="370" spans="4:6" ht="15.75" customHeight="1" x14ac:dyDescent="0.15">
      <c r="D370" s="10"/>
      <c r="E370" s="10"/>
      <c r="F370" s="10"/>
    </row>
    <row r="371" spans="4:6" ht="15.75" customHeight="1" x14ac:dyDescent="0.15">
      <c r="D371" s="10"/>
      <c r="E371" s="10"/>
      <c r="F371" s="10"/>
    </row>
    <row r="372" spans="4:6" ht="15.75" customHeight="1" x14ac:dyDescent="0.15">
      <c r="D372" s="10"/>
      <c r="E372" s="10"/>
      <c r="F372" s="10"/>
    </row>
    <row r="373" spans="4:6" ht="15.75" customHeight="1" x14ac:dyDescent="0.15">
      <c r="D373" s="10"/>
      <c r="E373" s="10"/>
      <c r="F373" s="10"/>
    </row>
    <row r="374" spans="4:6" ht="15.75" customHeight="1" x14ac:dyDescent="0.15">
      <c r="D374" s="10"/>
      <c r="E374" s="10"/>
      <c r="F374" s="10"/>
    </row>
    <row r="375" spans="4:6" ht="15.75" customHeight="1" x14ac:dyDescent="0.15">
      <c r="D375" s="10"/>
      <c r="E375" s="10"/>
      <c r="F375" s="10"/>
    </row>
    <row r="376" spans="4:6" ht="15.75" customHeight="1" x14ac:dyDescent="0.15">
      <c r="D376" s="10"/>
      <c r="E376" s="10"/>
      <c r="F376" s="10"/>
    </row>
    <row r="377" spans="4:6" ht="15.75" customHeight="1" x14ac:dyDescent="0.15">
      <c r="D377" s="10"/>
      <c r="E377" s="10"/>
      <c r="F377" s="10"/>
    </row>
    <row r="378" spans="4:6" ht="15.75" customHeight="1" x14ac:dyDescent="0.15">
      <c r="D378" s="10"/>
      <c r="E378" s="10"/>
      <c r="F378" s="10"/>
    </row>
    <row r="379" spans="4:6" ht="15.75" customHeight="1" x14ac:dyDescent="0.15">
      <c r="D379" s="10"/>
      <c r="E379" s="10"/>
      <c r="F379" s="10"/>
    </row>
    <row r="380" spans="4:6" ht="15.75" customHeight="1" x14ac:dyDescent="0.15">
      <c r="D380" s="10"/>
      <c r="E380" s="10"/>
      <c r="F380" s="10"/>
    </row>
    <row r="381" spans="4:6" ht="15.75" customHeight="1" x14ac:dyDescent="0.15">
      <c r="D381" s="10"/>
      <c r="E381" s="10"/>
      <c r="F381" s="10"/>
    </row>
    <row r="382" spans="4:6" ht="15.75" customHeight="1" x14ac:dyDescent="0.15">
      <c r="D382" s="10"/>
      <c r="E382" s="10"/>
      <c r="F382" s="10"/>
    </row>
    <row r="383" spans="4:6" ht="15.75" customHeight="1" x14ac:dyDescent="0.15">
      <c r="D383" s="10"/>
      <c r="E383" s="10"/>
      <c r="F383" s="10"/>
    </row>
    <row r="384" spans="4:6" ht="15.75" customHeight="1" x14ac:dyDescent="0.15">
      <c r="D384" s="10"/>
      <c r="E384" s="10"/>
      <c r="F384" s="10"/>
    </row>
    <row r="385" spans="4:6" ht="15.75" customHeight="1" x14ac:dyDescent="0.15">
      <c r="D385" s="10"/>
      <c r="E385" s="10"/>
      <c r="F385" s="10"/>
    </row>
    <row r="386" spans="4:6" ht="15.75" customHeight="1" x14ac:dyDescent="0.15">
      <c r="D386" s="10"/>
      <c r="E386" s="10"/>
      <c r="F386" s="10"/>
    </row>
    <row r="387" spans="4:6" ht="15.75" customHeight="1" x14ac:dyDescent="0.15">
      <c r="D387" s="10"/>
      <c r="E387" s="10"/>
      <c r="F387" s="10"/>
    </row>
    <row r="388" spans="4:6" ht="15.75" customHeight="1" x14ac:dyDescent="0.15">
      <c r="D388" s="10"/>
      <c r="E388" s="10"/>
      <c r="F388" s="10"/>
    </row>
    <row r="389" spans="4:6" ht="15.75" customHeight="1" x14ac:dyDescent="0.15">
      <c r="D389" s="10"/>
      <c r="E389" s="10"/>
      <c r="F389" s="10"/>
    </row>
    <row r="390" spans="4:6" ht="15.75" customHeight="1" x14ac:dyDescent="0.15">
      <c r="D390" s="10"/>
      <c r="E390" s="10"/>
      <c r="F390" s="10"/>
    </row>
    <row r="391" spans="4:6" ht="15.75" customHeight="1" x14ac:dyDescent="0.15">
      <c r="D391" s="10"/>
      <c r="E391" s="10"/>
      <c r="F391" s="10"/>
    </row>
    <row r="392" spans="4:6" ht="15.75" customHeight="1" x14ac:dyDescent="0.15">
      <c r="D392" s="10"/>
      <c r="E392" s="10"/>
      <c r="F392" s="10"/>
    </row>
    <row r="393" spans="4:6" ht="15.75" customHeight="1" x14ac:dyDescent="0.15">
      <c r="D393" s="10"/>
      <c r="E393" s="10"/>
      <c r="F393" s="10"/>
    </row>
    <row r="394" spans="4:6" ht="15.75" customHeight="1" x14ac:dyDescent="0.15">
      <c r="D394" s="10"/>
      <c r="E394" s="10"/>
      <c r="F394" s="10"/>
    </row>
    <row r="395" spans="4:6" ht="15.75" customHeight="1" x14ac:dyDescent="0.15">
      <c r="D395" s="10"/>
      <c r="E395" s="10"/>
      <c r="F395" s="10"/>
    </row>
    <row r="396" spans="4:6" ht="15.75" customHeight="1" x14ac:dyDescent="0.15">
      <c r="D396" s="10"/>
      <c r="E396" s="10"/>
      <c r="F396" s="10"/>
    </row>
    <row r="397" spans="4:6" ht="15.75" customHeight="1" x14ac:dyDescent="0.15">
      <c r="D397" s="10"/>
      <c r="E397" s="10"/>
      <c r="F397" s="10"/>
    </row>
    <row r="398" spans="4:6" ht="15.75" customHeight="1" x14ac:dyDescent="0.15">
      <c r="D398" s="10"/>
      <c r="E398" s="10"/>
      <c r="F398" s="10"/>
    </row>
    <row r="399" spans="4:6" ht="15.75" customHeight="1" x14ac:dyDescent="0.15">
      <c r="D399" s="10"/>
      <c r="E399" s="10"/>
      <c r="F399" s="10"/>
    </row>
    <row r="400" spans="4:6" ht="15.75" customHeight="1" x14ac:dyDescent="0.15">
      <c r="D400" s="10"/>
      <c r="E400" s="10"/>
      <c r="F400" s="10"/>
    </row>
    <row r="401" spans="4:6" ht="15.75" customHeight="1" x14ac:dyDescent="0.15">
      <c r="D401" s="10"/>
      <c r="E401" s="10"/>
      <c r="F401" s="10"/>
    </row>
    <row r="402" spans="4:6" ht="15.75" customHeight="1" x14ac:dyDescent="0.15">
      <c r="D402" s="10"/>
      <c r="E402" s="10"/>
      <c r="F402" s="10"/>
    </row>
    <row r="403" spans="4:6" ht="15.75" customHeight="1" x14ac:dyDescent="0.15">
      <c r="D403" s="10"/>
      <c r="E403" s="10"/>
      <c r="F403" s="10"/>
    </row>
    <row r="404" spans="4:6" ht="15.75" customHeight="1" x14ac:dyDescent="0.15">
      <c r="D404" s="10"/>
      <c r="E404" s="10"/>
      <c r="F404" s="10"/>
    </row>
    <row r="405" spans="4:6" ht="15.75" customHeight="1" x14ac:dyDescent="0.15">
      <c r="D405" s="10"/>
      <c r="E405" s="10"/>
      <c r="F405" s="10"/>
    </row>
    <row r="406" spans="4:6" ht="15.75" customHeight="1" x14ac:dyDescent="0.15">
      <c r="D406" s="10"/>
      <c r="E406" s="10"/>
      <c r="F406" s="10"/>
    </row>
    <row r="407" spans="4:6" ht="15.75" customHeight="1" x14ac:dyDescent="0.15">
      <c r="D407" s="10"/>
      <c r="E407" s="10"/>
      <c r="F407" s="10"/>
    </row>
    <row r="408" spans="4:6" ht="15.75" customHeight="1" x14ac:dyDescent="0.15">
      <c r="D408" s="10"/>
      <c r="E408" s="10"/>
      <c r="F408" s="10"/>
    </row>
    <row r="409" spans="4:6" ht="15.75" customHeight="1" x14ac:dyDescent="0.15">
      <c r="D409" s="10"/>
      <c r="E409" s="10"/>
      <c r="F409" s="10"/>
    </row>
    <row r="410" spans="4:6" ht="15.75" customHeight="1" x14ac:dyDescent="0.15">
      <c r="D410" s="10"/>
      <c r="E410" s="10"/>
      <c r="F410" s="10"/>
    </row>
    <row r="411" spans="4:6" ht="15.75" customHeight="1" x14ac:dyDescent="0.15">
      <c r="D411" s="10"/>
      <c r="E411" s="10"/>
      <c r="F411" s="10"/>
    </row>
    <row r="412" spans="4:6" ht="15.75" customHeight="1" x14ac:dyDescent="0.15">
      <c r="D412" s="10"/>
      <c r="E412" s="10"/>
      <c r="F412" s="10"/>
    </row>
    <row r="413" spans="4:6" ht="15.75" customHeight="1" x14ac:dyDescent="0.15">
      <c r="D413" s="10"/>
      <c r="E413" s="10"/>
      <c r="F413" s="10"/>
    </row>
    <row r="414" spans="4:6" ht="15.75" customHeight="1" x14ac:dyDescent="0.15">
      <c r="D414" s="10"/>
      <c r="E414" s="10"/>
      <c r="F414" s="10"/>
    </row>
    <row r="415" spans="4:6" ht="15.75" customHeight="1" x14ac:dyDescent="0.15">
      <c r="D415" s="10"/>
      <c r="E415" s="10"/>
      <c r="F415" s="10"/>
    </row>
    <row r="416" spans="4:6" ht="15.75" customHeight="1" x14ac:dyDescent="0.15">
      <c r="D416" s="10"/>
      <c r="E416" s="10"/>
      <c r="F416" s="10"/>
    </row>
    <row r="417" spans="4:6" ht="15.75" customHeight="1" x14ac:dyDescent="0.15">
      <c r="D417" s="10"/>
      <c r="E417" s="10"/>
      <c r="F417" s="10"/>
    </row>
    <row r="418" spans="4:6" ht="15.75" customHeight="1" x14ac:dyDescent="0.15">
      <c r="D418" s="10"/>
      <c r="E418" s="10"/>
      <c r="F418" s="10"/>
    </row>
    <row r="419" spans="4:6" ht="15.75" customHeight="1" x14ac:dyDescent="0.15">
      <c r="D419" s="10"/>
      <c r="E419" s="10"/>
      <c r="F419" s="10"/>
    </row>
    <row r="420" spans="4:6" ht="15.75" customHeight="1" x14ac:dyDescent="0.15">
      <c r="D420" s="10"/>
      <c r="E420" s="10"/>
      <c r="F420" s="10"/>
    </row>
    <row r="421" spans="4:6" ht="15.75" customHeight="1" x14ac:dyDescent="0.15">
      <c r="D421" s="10"/>
      <c r="E421" s="10"/>
      <c r="F421" s="10"/>
    </row>
    <row r="422" spans="4:6" ht="15.75" customHeight="1" x14ac:dyDescent="0.15">
      <c r="D422" s="10"/>
      <c r="E422" s="10"/>
      <c r="F422" s="10"/>
    </row>
    <row r="423" spans="4:6" ht="15.75" customHeight="1" x14ac:dyDescent="0.15">
      <c r="D423" s="10"/>
      <c r="E423" s="10"/>
      <c r="F423" s="10"/>
    </row>
    <row r="424" spans="4:6" ht="15.75" customHeight="1" x14ac:dyDescent="0.15">
      <c r="D424" s="10"/>
      <c r="E424" s="10"/>
      <c r="F424" s="10"/>
    </row>
    <row r="425" spans="4:6" ht="15.75" customHeight="1" x14ac:dyDescent="0.15">
      <c r="D425" s="10"/>
      <c r="E425" s="10"/>
      <c r="F425" s="10"/>
    </row>
    <row r="426" spans="4:6" ht="15.75" customHeight="1" x14ac:dyDescent="0.15">
      <c r="D426" s="10"/>
      <c r="E426" s="10"/>
      <c r="F426" s="10"/>
    </row>
    <row r="427" spans="4:6" ht="15.75" customHeight="1" x14ac:dyDescent="0.15">
      <c r="D427" s="10"/>
      <c r="E427" s="10"/>
      <c r="F427" s="10"/>
    </row>
    <row r="428" spans="4:6" ht="15.75" customHeight="1" x14ac:dyDescent="0.15">
      <c r="D428" s="10"/>
      <c r="E428" s="10"/>
      <c r="F428" s="10"/>
    </row>
    <row r="429" spans="4:6" ht="15.75" customHeight="1" x14ac:dyDescent="0.15">
      <c r="D429" s="10"/>
      <c r="E429" s="10"/>
      <c r="F429" s="10"/>
    </row>
    <row r="430" spans="4:6" ht="15.75" customHeight="1" x14ac:dyDescent="0.15">
      <c r="D430" s="10"/>
      <c r="E430" s="10"/>
      <c r="F430" s="10"/>
    </row>
    <row r="431" spans="4:6" ht="15.75" customHeight="1" x14ac:dyDescent="0.15">
      <c r="D431" s="10"/>
      <c r="E431" s="10"/>
      <c r="F431" s="10"/>
    </row>
    <row r="432" spans="4:6" ht="15.75" customHeight="1" x14ac:dyDescent="0.15">
      <c r="D432" s="10"/>
      <c r="E432" s="10"/>
      <c r="F432" s="10"/>
    </row>
    <row r="433" spans="4:6" ht="15.75" customHeight="1" x14ac:dyDescent="0.15">
      <c r="D433" s="10"/>
      <c r="E433" s="10"/>
      <c r="F433" s="10"/>
    </row>
    <row r="434" spans="4:6" ht="15.75" customHeight="1" x14ac:dyDescent="0.15">
      <c r="D434" s="10"/>
      <c r="E434" s="10"/>
      <c r="F434" s="10"/>
    </row>
    <row r="435" spans="4:6" ht="15.75" customHeight="1" x14ac:dyDescent="0.15">
      <c r="D435" s="10"/>
      <c r="E435" s="10"/>
      <c r="F435" s="10"/>
    </row>
    <row r="436" spans="4:6" ht="15.75" customHeight="1" x14ac:dyDescent="0.15">
      <c r="D436" s="10"/>
      <c r="E436" s="10"/>
      <c r="F436" s="10"/>
    </row>
    <row r="437" spans="4:6" ht="15.75" customHeight="1" x14ac:dyDescent="0.15">
      <c r="D437" s="10"/>
      <c r="E437" s="10"/>
      <c r="F437" s="10"/>
    </row>
    <row r="438" spans="4:6" ht="15.75" customHeight="1" x14ac:dyDescent="0.15">
      <c r="D438" s="10"/>
      <c r="E438" s="10"/>
      <c r="F438" s="10"/>
    </row>
    <row r="439" spans="4:6" ht="15.75" customHeight="1" x14ac:dyDescent="0.15">
      <c r="D439" s="10"/>
      <c r="E439" s="10"/>
      <c r="F439" s="10"/>
    </row>
    <row r="440" spans="4:6" ht="15.75" customHeight="1" x14ac:dyDescent="0.15">
      <c r="D440" s="10"/>
      <c r="E440" s="10"/>
      <c r="F440" s="10"/>
    </row>
    <row r="441" spans="4:6" ht="15.75" customHeight="1" x14ac:dyDescent="0.15">
      <c r="D441" s="10"/>
      <c r="E441" s="10"/>
      <c r="F441" s="10"/>
    </row>
    <row r="442" spans="4:6" ht="15.75" customHeight="1" x14ac:dyDescent="0.15">
      <c r="D442" s="10"/>
      <c r="E442" s="10"/>
      <c r="F442" s="10"/>
    </row>
    <row r="443" spans="4:6" ht="15.75" customHeight="1" x14ac:dyDescent="0.15">
      <c r="D443" s="10"/>
      <c r="E443" s="10"/>
      <c r="F443" s="10"/>
    </row>
    <row r="444" spans="4:6" ht="15.75" customHeight="1" x14ac:dyDescent="0.15">
      <c r="D444" s="10"/>
      <c r="E444" s="10"/>
      <c r="F444" s="10"/>
    </row>
    <row r="445" spans="4:6" ht="15.75" customHeight="1" x14ac:dyDescent="0.15">
      <c r="D445" s="10"/>
      <c r="E445" s="10"/>
      <c r="F445" s="10"/>
    </row>
    <row r="446" spans="4:6" ht="15.75" customHeight="1" x14ac:dyDescent="0.15">
      <c r="D446" s="10"/>
      <c r="E446" s="10"/>
      <c r="F446" s="10"/>
    </row>
    <row r="447" spans="4:6" ht="15.75" customHeight="1" x14ac:dyDescent="0.15">
      <c r="D447" s="10"/>
      <c r="E447" s="10"/>
      <c r="F447" s="10"/>
    </row>
    <row r="448" spans="4:6" ht="15.75" customHeight="1" x14ac:dyDescent="0.15">
      <c r="D448" s="10"/>
      <c r="E448" s="10"/>
      <c r="F448" s="10"/>
    </row>
    <row r="449" spans="4:6" ht="15.75" customHeight="1" x14ac:dyDescent="0.15">
      <c r="D449" s="10"/>
      <c r="E449" s="10"/>
      <c r="F449" s="10"/>
    </row>
    <row r="450" spans="4:6" ht="15.75" customHeight="1" x14ac:dyDescent="0.15">
      <c r="D450" s="10"/>
      <c r="E450" s="10"/>
      <c r="F450" s="10"/>
    </row>
    <row r="451" spans="4:6" ht="15.75" customHeight="1" x14ac:dyDescent="0.15">
      <c r="D451" s="10"/>
      <c r="E451" s="10"/>
      <c r="F451" s="10"/>
    </row>
    <row r="452" spans="4:6" ht="15.75" customHeight="1" x14ac:dyDescent="0.15">
      <c r="D452" s="10"/>
      <c r="E452" s="10"/>
      <c r="F452" s="10"/>
    </row>
    <row r="453" spans="4:6" ht="15.75" customHeight="1" x14ac:dyDescent="0.15">
      <c r="D453" s="10"/>
      <c r="E453" s="10"/>
      <c r="F453" s="10"/>
    </row>
    <row r="454" spans="4:6" ht="15.75" customHeight="1" x14ac:dyDescent="0.15">
      <c r="D454" s="10"/>
      <c r="E454" s="10"/>
      <c r="F454" s="10"/>
    </row>
    <row r="455" spans="4:6" ht="15.75" customHeight="1" x14ac:dyDescent="0.15">
      <c r="D455" s="10"/>
      <c r="E455" s="10"/>
      <c r="F455" s="10"/>
    </row>
    <row r="456" spans="4:6" ht="15.75" customHeight="1" x14ac:dyDescent="0.15">
      <c r="D456" s="10"/>
      <c r="E456" s="10"/>
      <c r="F456" s="10"/>
    </row>
    <row r="457" spans="4:6" ht="15.75" customHeight="1" x14ac:dyDescent="0.15">
      <c r="D457" s="10"/>
      <c r="E457" s="10"/>
      <c r="F457" s="10"/>
    </row>
    <row r="458" spans="4:6" ht="15.75" customHeight="1" x14ac:dyDescent="0.15">
      <c r="D458" s="10"/>
      <c r="E458" s="10"/>
      <c r="F458" s="10"/>
    </row>
    <row r="459" spans="4:6" ht="15.75" customHeight="1" x14ac:dyDescent="0.15">
      <c r="D459" s="10"/>
      <c r="E459" s="10"/>
      <c r="F459" s="10"/>
    </row>
    <row r="460" spans="4:6" ht="15.75" customHeight="1" x14ac:dyDescent="0.15">
      <c r="D460" s="10"/>
      <c r="E460" s="10"/>
      <c r="F460" s="10"/>
    </row>
    <row r="461" spans="4:6" ht="15.75" customHeight="1" x14ac:dyDescent="0.15">
      <c r="D461" s="10"/>
      <c r="E461" s="10"/>
      <c r="F461" s="10"/>
    </row>
    <row r="462" spans="4:6" ht="15.75" customHeight="1" x14ac:dyDescent="0.15">
      <c r="D462" s="10"/>
      <c r="E462" s="10"/>
      <c r="F462" s="10"/>
    </row>
    <row r="463" spans="4:6" ht="15.75" customHeight="1" x14ac:dyDescent="0.15">
      <c r="D463" s="10"/>
      <c r="E463" s="10"/>
      <c r="F463" s="10"/>
    </row>
    <row r="464" spans="4:6" ht="15.75" customHeight="1" x14ac:dyDescent="0.15">
      <c r="D464" s="10"/>
      <c r="E464" s="10"/>
      <c r="F464" s="10"/>
    </row>
    <row r="465" spans="4:6" ht="15.75" customHeight="1" x14ac:dyDescent="0.15">
      <c r="D465" s="10"/>
      <c r="E465" s="10"/>
      <c r="F465" s="10"/>
    </row>
    <row r="466" spans="4:6" ht="15.75" customHeight="1" x14ac:dyDescent="0.15">
      <c r="D466" s="10"/>
      <c r="E466" s="10"/>
      <c r="F466" s="10"/>
    </row>
    <row r="467" spans="4:6" ht="15.75" customHeight="1" x14ac:dyDescent="0.15">
      <c r="D467" s="10"/>
      <c r="E467" s="10"/>
      <c r="F467" s="10"/>
    </row>
    <row r="468" spans="4:6" ht="15.75" customHeight="1" x14ac:dyDescent="0.15">
      <c r="D468" s="10"/>
      <c r="E468" s="10"/>
      <c r="F468" s="10"/>
    </row>
    <row r="469" spans="4:6" ht="15.75" customHeight="1" x14ac:dyDescent="0.15">
      <c r="D469" s="10"/>
      <c r="E469" s="10"/>
      <c r="F469" s="10"/>
    </row>
    <row r="470" spans="4:6" ht="15.75" customHeight="1" x14ac:dyDescent="0.15">
      <c r="D470" s="10"/>
      <c r="E470" s="10"/>
      <c r="F470" s="10"/>
    </row>
    <row r="471" spans="4:6" ht="15.75" customHeight="1" x14ac:dyDescent="0.15">
      <c r="D471" s="10"/>
      <c r="E471" s="10"/>
      <c r="F471" s="10"/>
    </row>
    <row r="472" spans="4:6" ht="15.75" customHeight="1" x14ac:dyDescent="0.15">
      <c r="D472" s="10"/>
      <c r="E472" s="10"/>
      <c r="F472" s="10"/>
    </row>
    <row r="473" spans="4:6" ht="15.75" customHeight="1" x14ac:dyDescent="0.15">
      <c r="D473" s="10"/>
      <c r="E473" s="10"/>
      <c r="F473" s="10"/>
    </row>
    <row r="474" spans="4:6" ht="15.75" customHeight="1" x14ac:dyDescent="0.15">
      <c r="D474" s="10"/>
      <c r="E474" s="10"/>
      <c r="F474" s="10"/>
    </row>
    <row r="475" spans="4:6" ht="15.75" customHeight="1" x14ac:dyDescent="0.15">
      <c r="D475" s="10"/>
      <c r="E475" s="10"/>
      <c r="F475" s="10"/>
    </row>
    <row r="476" spans="4:6" ht="15.75" customHeight="1" x14ac:dyDescent="0.15">
      <c r="D476" s="10"/>
      <c r="E476" s="10"/>
      <c r="F476" s="10"/>
    </row>
    <row r="477" spans="4:6" ht="15.75" customHeight="1" x14ac:dyDescent="0.15">
      <c r="D477" s="10"/>
      <c r="E477" s="10"/>
      <c r="F477" s="10"/>
    </row>
    <row r="478" spans="4:6" ht="15.75" customHeight="1" x14ac:dyDescent="0.15">
      <c r="D478" s="10"/>
      <c r="E478" s="10"/>
      <c r="F478" s="10"/>
    </row>
    <row r="479" spans="4:6" ht="15.75" customHeight="1" x14ac:dyDescent="0.15">
      <c r="D479" s="10"/>
      <c r="E479" s="10"/>
      <c r="F479" s="10"/>
    </row>
    <row r="480" spans="4:6" ht="15.75" customHeight="1" x14ac:dyDescent="0.15">
      <c r="D480" s="10"/>
      <c r="E480" s="10"/>
      <c r="F480" s="10"/>
    </row>
    <row r="481" spans="4:6" ht="15.75" customHeight="1" x14ac:dyDescent="0.15">
      <c r="D481" s="10"/>
      <c r="E481" s="10"/>
      <c r="F481" s="10"/>
    </row>
    <row r="482" spans="4:6" ht="15.75" customHeight="1" x14ac:dyDescent="0.15">
      <c r="D482" s="10"/>
      <c r="E482" s="10"/>
      <c r="F482" s="10"/>
    </row>
    <row r="483" spans="4:6" ht="15.75" customHeight="1" x14ac:dyDescent="0.15">
      <c r="D483" s="10"/>
      <c r="E483" s="10"/>
      <c r="F483" s="10"/>
    </row>
    <row r="484" spans="4:6" ht="15.75" customHeight="1" x14ac:dyDescent="0.15">
      <c r="D484" s="10"/>
      <c r="E484" s="10"/>
      <c r="F484" s="10"/>
    </row>
    <row r="485" spans="4:6" ht="15.75" customHeight="1" x14ac:dyDescent="0.15">
      <c r="D485" s="10"/>
      <c r="E485" s="10"/>
      <c r="F485" s="10"/>
    </row>
    <row r="486" spans="4:6" ht="15.75" customHeight="1" x14ac:dyDescent="0.15">
      <c r="D486" s="10"/>
      <c r="E486" s="10"/>
      <c r="F486" s="10"/>
    </row>
    <row r="487" spans="4:6" ht="15.75" customHeight="1" x14ac:dyDescent="0.15">
      <c r="D487" s="10"/>
      <c r="E487" s="10"/>
      <c r="F487" s="10"/>
    </row>
    <row r="488" spans="4:6" ht="15.75" customHeight="1" x14ac:dyDescent="0.15">
      <c r="D488" s="10"/>
      <c r="E488" s="10"/>
      <c r="F488" s="10"/>
    </row>
    <row r="489" spans="4:6" ht="15.75" customHeight="1" x14ac:dyDescent="0.15">
      <c r="D489" s="10"/>
      <c r="E489" s="10"/>
      <c r="F489" s="10"/>
    </row>
    <row r="490" spans="4:6" ht="15.75" customHeight="1" x14ac:dyDescent="0.15">
      <c r="D490" s="10"/>
      <c r="E490" s="10"/>
      <c r="F490" s="10"/>
    </row>
    <row r="491" spans="4:6" ht="15.75" customHeight="1" x14ac:dyDescent="0.15">
      <c r="D491" s="10"/>
      <c r="E491" s="10"/>
      <c r="F491" s="10"/>
    </row>
    <row r="492" spans="4:6" ht="15.75" customHeight="1" x14ac:dyDescent="0.15">
      <c r="D492" s="10"/>
      <c r="E492" s="10"/>
      <c r="F492" s="10"/>
    </row>
    <row r="493" spans="4:6" ht="15.75" customHeight="1" x14ac:dyDescent="0.15">
      <c r="D493" s="10"/>
      <c r="E493" s="10"/>
      <c r="F493" s="10"/>
    </row>
    <row r="494" spans="4:6" ht="15.75" customHeight="1" x14ac:dyDescent="0.15">
      <c r="D494" s="10"/>
      <c r="E494" s="10"/>
      <c r="F494" s="10"/>
    </row>
    <row r="495" spans="4:6" ht="15.75" customHeight="1" x14ac:dyDescent="0.15">
      <c r="D495" s="10"/>
      <c r="E495" s="10"/>
      <c r="F495" s="10"/>
    </row>
    <row r="496" spans="4:6" ht="15.75" customHeight="1" x14ac:dyDescent="0.15">
      <c r="D496" s="10"/>
      <c r="E496" s="10"/>
      <c r="F496" s="10"/>
    </row>
    <row r="497" spans="4:6" ht="15.75" customHeight="1" x14ac:dyDescent="0.15">
      <c r="D497" s="10"/>
      <c r="E497" s="10"/>
      <c r="F497" s="10"/>
    </row>
    <row r="498" spans="4:6" ht="15.75" customHeight="1" x14ac:dyDescent="0.15">
      <c r="D498" s="10"/>
      <c r="E498" s="10"/>
      <c r="F498" s="10"/>
    </row>
    <row r="499" spans="4:6" ht="15.75" customHeight="1" x14ac:dyDescent="0.15">
      <c r="D499" s="10"/>
      <c r="E499" s="10"/>
      <c r="F499" s="10"/>
    </row>
    <row r="500" spans="4:6" ht="15.75" customHeight="1" x14ac:dyDescent="0.15">
      <c r="D500" s="10"/>
      <c r="E500" s="10"/>
      <c r="F500" s="10"/>
    </row>
    <row r="501" spans="4:6" ht="15.75" customHeight="1" x14ac:dyDescent="0.15">
      <c r="D501" s="10"/>
      <c r="E501" s="10"/>
      <c r="F501" s="10"/>
    </row>
    <row r="502" spans="4:6" ht="15.75" customHeight="1" x14ac:dyDescent="0.15">
      <c r="D502" s="10"/>
      <c r="E502" s="10"/>
      <c r="F502" s="10"/>
    </row>
    <row r="503" spans="4:6" ht="15.75" customHeight="1" x14ac:dyDescent="0.15">
      <c r="D503" s="10"/>
      <c r="E503" s="10"/>
      <c r="F503" s="10"/>
    </row>
    <row r="504" spans="4:6" ht="15.75" customHeight="1" x14ac:dyDescent="0.15">
      <c r="D504" s="10"/>
      <c r="E504" s="10"/>
      <c r="F504" s="10"/>
    </row>
    <row r="505" spans="4:6" ht="15.75" customHeight="1" x14ac:dyDescent="0.15">
      <c r="D505" s="10"/>
      <c r="E505" s="10"/>
      <c r="F505" s="10"/>
    </row>
    <row r="506" spans="4:6" ht="15.75" customHeight="1" x14ac:dyDescent="0.15">
      <c r="D506" s="10"/>
      <c r="E506" s="10"/>
      <c r="F506" s="10"/>
    </row>
    <row r="507" spans="4:6" ht="15.75" customHeight="1" x14ac:dyDescent="0.15">
      <c r="D507" s="10"/>
      <c r="E507" s="10"/>
      <c r="F507" s="10"/>
    </row>
    <row r="508" spans="4:6" ht="15.75" customHeight="1" x14ac:dyDescent="0.15">
      <c r="D508" s="10"/>
      <c r="E508" s="10"/>
      <c r="F508" s="10"/>
    </row>
    <row r="509" spans="4:6" ht="15.75" customHeight="1" x14ac:dyDescent="0.15">
      <c r="D509" s="10"/>
      <c r="E509" s="10"/>
      <c r="F509" s="10"/>
    </row>
    <row r="510" spans="4:6" ht="15.75" customHeight="1" x14ac:dyDescent="0.15">
      <c r="D510" s="10"/>
      <c r="E510" s="10"/>
      <c r="F510" s="10"/>
    </row>
    <row r="511" spans="4:6" ht="15.75" customHeight="1" x14ac:dyDescent="0.15">
      <c r="D511" s="10"/>
      <c r="E511" s="10"/>
      <c r="F511" s="10"/>
    </row>
    <row r="512" spans="4:6" ht="15.75" customHeight="1" x14ac:dyDescent="0.15">
      <c r="D512" s="10"/>
      <c r="E512" s="10"/>
      <c r="F512" s="10"/>
    </row>
    <row r="513" spans="4:6" ht="15.75" customHeight="1" x14ac:dyDescent="0.15">
      <c r="D513" s="10"/>
      <c r="E513" s="10"/>
      <c r="F513" s="10"/>
    </row>
    <row r="514" spans="4:6" ht="15.75" customHeight="1" x14ac:dyDescent="0.15">
      <c r="D514" s="10"/>
      <c r="E514" s="10"/>
      <c r="F514" s="10"/>
    </row>
    <row r="515" spans="4:6" ht="15.75" customHeight="1" x14ac:dyDescent="0.15">
      <c r="D515" s="10"/>
      <c r="E515" s="10"/>
      <c r="F515" s="10"/>
    </row>
    <row r="516" spans="4:6" ht="15.75" customHeight="1" x14ac:dyDescent="0.15">
      <c r="D516" s="10"/>
      <c r="E516" s="10"/>
      <c r="F516" s="10"/>
    </row>
    <row r="517" spans="4:6" ht="15.75" customHeight="1" x14ac:dyDescent="0.15">
      <c r="D517" s="10"/>
      <c r="E517" s="10"/>
      <c r="F517" s="10"/>
    </row>
    <row r="518" spans="4:6" ht="15.75" customHeight="1" x14ac:dyDescent="0.15">
      <c r="D518" s="10"/>
      <c r="E518" s="10"/>
      <c r="F518" s="10"/>
    </row>
    <row r="519" spans="4:6" ht="15.75" customHeight="1" x14ac:dyDescent="0.15">
      <c r="D519" s="10"/>
      <c r="E519" s="10"/>
      <c r="F519" s="10"/>
    </row>
    <row r="520" spans="4:6" ht="15.75" customHeight="1" x14ac:dyDescent="0.15">
      <c r="D520" s="10"/>
      <c r="E520" s="10"/>
      <c r="F520" s="10"/>
    </row>
    <row r="521" spans="4:6" ht="15.75" customHeight="1" x14ac:dyDescent="0.15">
      <c r="D521" s="10"/>
      <c r="E521" s="10"/>
      <c r="F521" s="10"/>
    </row>
    <row r="522" spans="4:6" ht="15.75" customHeight="1" x14ac:dyDescent="0.15">
      <c r="D522" s="10"/>
      <c r="E522" s="10"/>
      <c r="F522" s="10"/>
    </row>
    <row r="523" spans="4:6" ht="15.75" customHeight="1" x14ac:dyDescent="0.15">
      <c r="D523" s="10"/>
      <c r="E523" s="10"/>
      <c r="F523" s="10"/>
    </row>
    <row r="524" spans="4:6" ht="15.75" customHeight="1" x14ac:dyDescent="0.15">
      <c r="D524" s="10"/>
      <c r="E524" s="10"/>
      <c r="F524" s="10"/>
    </row>
    <row r="525" spans="4:6" ht="15.75" customHeight="1" x14ac:dyDescent="0.15">
      <c r="D525" s="10"/>
      <c r="E525" s="10"/>
      <c r="F525" s="10"/>
    </row>
    <row r="526" spans="4:6" ht="15.75" customHeight="1" x14ac:dyDescent="0.15">
      <c r="D526" s="10"/>
      <c r="E526" s="10"/>
      <c r="F526" s="10"/>
    </row>
    <row r="527" spans="4:6" ht="15.75" customHeight="1" x14ac:dyDescent="0.15">
      <c r="D527" s="10"/>
      <c r="E527" s="10"/>
      <c r="F527" s="10"/>
    </row>
    <row r="528" spans="4:6" ht="15.75" customHeight="1" x14ac:dyDescent="0.15">
      <c r="D528" s="10"/>
      <c r="E528" s="10"/>
      <c r="F528" s="10"/>
    </row>
    <row r="529" spans="4:6" ht="15.75" customHeight="1" x14ac:dyDescent="0.15">
      <c r="D529" s="10"/>
      <c r="E529" s="10"/>
      <c r="F529" s="10"/>
    </row>
    <row r="530" spans="4:6" ht="15.75" customHeight="1" x14ac:dyDescent="0.15">
      <c r="D530" s="10"/>
      <c r="E530" s="10"/>
      <c r="F530" s="10"/>
    </row>
    <row r="531" spans="4:6" ht="15.75" customHeight="1" x14ac:dyDescent="0.15">
      <c r="D531" s="10"/>
      <c r="E531" s="10"/>
      <c r="F531" s="10"/>
    </row>
    <row r="532" spans="4:6" ht="15.75" customHeight="1" x14ac:dyDescent="0.15">
      <c r="D532" s="10"/>
      <c r="E532" s="10"/>
      <c r="F532" s="10"/>
    </row>
    <row r="533" spans="4:6" ht="15.75" customHeight="1" x14ac:dyDescent="0.15">
      <c r="D533" s="10"/>
      <c r="E533" s="10"/>
      <c r="F533" s="10"/>
    </row>
    <row r="534" spans="4:6" ht="15.75" customHeight="1" x14ac:dyDescent="0.15">
      <c r="D534" s="10"/>
      <c r="E534" s="10"/>
      <c r="F534" s="10"/>
    </row>
    <row r="535" spans="4:6" ht="15.75" customHeight="1" x14ac:dyDescent="0.15">
      <c r="D535" s="10"/>
      <c r="E535" s="10"/>
      <c r="F535" s="10"/>
    </row>
    <row r="536" spans="4:6" ht="15.75" customHeight="1" x14ac:dyDescent="0.15">
      <c r="D536" s="10"/>
      <c r="E536" s="10"/>
      <c r="F536" s="10"/>
    </row>
    <row r="537" spans="4:6" ht="15.75" customHeight="1" x14ac:dyDescent="0.15">
      <c r="D537" s="10"/>
      <c r="E537" s="10"/>
      <c r="F537" s="10"/>
    </row>
    <row r="538" spans="4:6" ht="15.75" customHeight="1" x14ac:dyDescent="0.15">
      <c r="D538" s="10"/>
      <c r="E538" s="10"/>
      <c r="F538" s="10"/>
    </row>
    <row r="539" spans="4:6" ht="15.75" customHeight="1" x14ac:dyDescent="0.15">
      <c r="D539" s="10"/>
      <c r="E539" s="10"/>
      <c r="F539" s="10"/>
    </row>
    <row r="540" spans="4:6" ht="15.75" customHeight="1" x14ac:dyDescent="0.15">
      <c r="D540" s="10"/>
      <c r="E540" s="10"/>
      <c r="F540" s="10"/>
    </row>
    <row r="541" spans="4:6" ht="15.75" customHeight="1" x14ac:dyDescent="0.15">
      <c r="D541" s="10"/>
      <c r="E541" s="10"/>
      <c r="F541" s="10"/>
    </row>
    <row r="542" spans="4:6" ht="15.75" customHeight="1" x14ac:dyDescent="0.15">
      <c r="D542" s="10"/>
      <c r="E542" s="10"/>
      <c r="F542" s="10"/>
    </row>
    <row r="543" spans="4:6" ht="15.75" customHeight="1" x14ac:dyDescent="0.15">
      <c r="D543" s="10"/>
      <c r="E543" s="10"/>
      <c r="F543" s="10"/>
    </row>
    <row r="544" spans="4:6" ht="15.75" customHeight="1" x14ac:dyDescent="0.15">
      <c r="D544" s="10"/>
      <c r="E544" s="10"/>
      <c r="F544" s="10"/>
    </row>
    <row r="545" spans="4:6" ht="15.75" customHeight="1" x14ac:dyDescent="0.15">
      <c r="D545" s="10"/>
      <c r="E545" s="10"/>
      <c r="F545" s="10"/>
    </row>
    <row r="546" spans="4:6" ht="15.75" customHeight="1" x14ac:dyDescent="0.15">
      <c r="D546" s="10"/>
      <c r="E546" s="10"/>
      <c r="F546" s="10"/>
    </row>
    <row r="547" spans="4:6" ht="15.75" customHeight="1" x14ac:dyDescent="0.15">
      <c r="D547" s="10"/>
      <c r="E547" s="10"/>
      <c r="F547" s="10"/>
    </row>
    <row r="548" spans="4:6" ht="15.75" customHeight="1" x14ac:dyDescent="0.15">
      <c r="D548" s="10"/>
      <c r="E548" s="10"/>
      <c r="F548" s="10"/>
    </row>
    <row r="549" spans="4:6" ht="15.75" customHeight="1" x14ac:dyDescent="0.15">
      <c r="D549" s="10"/>
      <c r="E549" s="10"/>
      <c r="F549" s="10"/>
    </row>
    <row r="550" spans="4:6" ht="15.75" customHeight="1" x14ac:dyDescent="0.15">
      <c r="D550" s="10"/>
      <c r="E550" s="10"/>
      <c r="F550" s="10"/>
    </row>
    <row r="551" spans="4:6" ht="15.75" customHeight="1" x14ac:dyDescent="0.15">
      <c r="D551" s="10"/>
      <c r="E551" s="10"/>
      <c r="F551" s="10"/>
    </row>
    <row r="552" spans="4:6" ht="15.75" customHeight="1" x14ac:dyDescent="0.15">
      <c r="D552" s="10"/>
      <c r="E552" s="10"/>
      <c r="F552" s="10"/>
    </row>
    <row r="553" spans="4:6" ht="15.75" customHeight="1" x14ac:dyDescent="0.15">
      <c r="D553" s="10"/>
      <c r="E553" s="10"/>
      <c r="F553" s="10"/>
    </row>
    <row r="554" spans="4:6" ht="15.75" customHeight="1" x14ac:dyDescent="0.15">
      <c r="D554" s="10"/>
      <c r="E554" s="10"/>
      <c r="F554" s="10"/>
    </row>
    <row r="555" spans="4:6" ht="15.75" customHeight="1" x14ac:dyDescent="0.15">
      <c r="D555" s="10"/>
      <c r="E555" s="10"/>
      <c r="F555" s="10"/>
    </row>
    <row r="556" spans="4:6" ht="15.75" customHeight="1" x14ac:dyDescent="0.15">
      <c r="D556" s="10"/>
      <c r="E556" s="10"/>
      <c r="F556" s="10"/>
    </row>
    <row r="557" spans="4:6" ht="15.75" customHeight="1" x14ac:dyDescent="0.15">
      <c r="D557" s="10"/>
      <c r="E557" s="10"/>
      <c r="F557" s="10"/>
    </row>
    <row r="558" spans="4:6" ht="15.75" customHeight="1" x14ac:dyDescent="0.15">
      <c r="D558" s="10"/>
      <c r="E558" s="10"/>
      <c r="F558" s="10"/>
    </row>
    <row r="559" spans="4:6" ht="15.75" customHeight="1" x14ac:dyDescent="0.15">
      <c r="D559" s="10"/>
      <c r="E559" s="10"/>
      <c r="F559" s="10"/>
    </row>
    <row r="560" spans="4:6" ht="15.75" customHeight="1" x14ac:dyDescent="0.15">
      <c r="D560" s="10"/>
      <c r="E560" s="10"/>
      <c r="F560" s="10"/>
    </row>
    <row r="561" spans="4:6" ht="15.75" customHeight="1" x14ac:dyDescent="0.15">
      <c r="D561" s="10"/>
      <c r="E561" s="10"/>
      <c r="F561" s="10"/>
    </row>
    <row r="562" spans="4:6" ht="15.75" customHeight="1" x14ac:dyDescent="0.15">
      <c r="D562" s="10"/>
      <c r="E562" s="10"/>
      <c r="F562" s="10"/>
    </row>
    <row r="563" spans="4:6" ht="15.75" customHeight="1" x14ac:dyDescent="0.15">
      <c r="D563" s="10"/>
      <c r="E563" s="10"/>
      <c r="F563" s="10"/>
    </row>
    <row r="564" spans="4:6" ht="15.75" customHeight="1" x14ac:dyDescent="0.15">
      <c r="D564" s="10"/>
      <c r="E564" s="10"/>
      <c r="F564" s="10"/>
    </row>
    <row r="565" spans="4:6" ht="15.75" customHeight="1" x14ac:dyDescent="0.15">
      <c r="D565" s="10"/>
      <c r="E565" s="10"/>
      <c r="F565" s="10"/>
    </row>
    <row r="566" spans="4:6" ht="15.75" customHeight="1" x14ac:dyDescent="0.15">
      <c r="D566" s="10"/>
      <c r="E566" s="10"/>
      <c r="F566" s="10"/>
    </row>
    <row r="567" spans="4:6" ht="15.75" customHeight="1" x14ac:dyDescent="0.15">
      <c r="D567" s="10"/>
      <c r="E567" s="10"/>
      <c r="F567" s="10"/>
    </row>
    <row r="568" spans="4:6" ht="15.75" customHeight="1" x14ac:dyDescent="0.15">
      <c r="D568" s="10"/>
      <c r="E568" s="10"/>
      <c r="F568" s="10"/>
    </row>
    <row r="569" spans="4:6" ht="15.75" customHeight="1" x14ac:dyDescent="0.15">
      <c r="D569" s="10"/>
      <c r="E569" s="10"/>
      <c r="F569" s="10"/>
    </row>
    <row r="570" spans="4:6" ht="15.75" customHeight="1" x14ac:dyDescent="0.15">
      <c r="D570" s="10"/>
      <c r="E570" s="10"/>
      <c r="F570" s="10"/>
    </row>
    <row r="571" spans="4:6" ht="15.75" customHeight="1" x14ac:dyDescent="0.15">
      <c r="D571" s="10"/>
      <c r="E571" s="10"/>
      <c r="F571" s="10"/>
    </row>
    <row r="572" spans="4:6" ht="15.75" customHeight="1" x14ac:dyDescent="0.15">
      <c r="D572" s="10"/>
      <c r="E572" s="10"/>
      <c r="F572" s="10"/>
    </row>
    <row r="573" spans="4:6" ht="15.75" customHeight="1" x14ac:dyDescent="0.15">
      <c r="D573" s="10"/>
      <c r="E573" s="10"/>
      <c r="F573" s="10"/>
    </row>
    <row r="574" spans="4:6" ht="15.75" customHeight="1" x14ac:dyDescent="0.15">
      <c r="D574" s="10"/>
      <c r="E574" s="10"/>
      <c r="F574" s="10"/>
    </row>
    <row r="575" spans="4:6" ht="15.75" customHeight="1" x14ac:dyDescent="0.15">
      <c r="D575" s="10"/>
      <c r="E575" s="10"/>
      <c r="F575" s="10"/>
    </row>
    <row r="576" spans="4:6" ht="15.75" customHeight="1" x14ac:dyDescent="0.15">
      <c r="D576" s="10"/>
      <c r="E576" s="10"/>
      <c r="F576" s="10"/>
    </row>
    <row r="577" spans="4:6" ht="15.75" customHeight="1" x14ac:dyDescent="0.15">
      <c r="D577" s="10"/>
      <c r="E577" s="10"/>
      <c r="F577" s="10"/>
    </row>
    <row r="578" spans="4:6" ht="15.75" customHeight="1" x14ac:dyDescent="0.15">
      <c r="D578" s="10"/>
      <c r="E578" s="10"/>
      <c r="F578" s="10"/>
    </row>
    <row r="579" spans="4:6" ht="15.75" customHeight="1" x14ac:dyDescent="0.15">
      <c r="D579" s="10"/>
      <c r="E579" s="10"/>
      <c r="F579" s="10"/>
    </row>
    <row r="580" spans="4:6" ht="15.75" customHeight="1" x14ac:dyDescent="0.15">
      <c r="D580" s="10"/>
      <c r="E580" s="10"/>
      <c r="F580" s="10"/>
    </row>
    <row r="581" spans="4:6" ht="15.75" customHeight="1" x14ac:dyDescent="0.15">
      <c r="D581" s="10"/>
      <c r="E581" s="10"/>
      <c r="F581" s="10"/>
    </row>
    <row r="582" spans="4:6" ht="15.75" customHeight="1" x14ac:dyDescent="0.15">
      <c r="D582" s="10"/>
      <c r="E582" s="10"/>
      <c r="F582" s="10"/>
    </row>
    <row r="583" spans="4:6" ht="15.75" customHeight="1" x14ac:dyDescent="0.15">
      <c r="D583" s="10"/>
      <c r="E583" s="10"/>
      <c r="F583" s="10"/>
    </row>
    <row r="584" spans="4:6" ht="15.75" customHeight="1" x14ac:dyDescent="0.15">
      <c r="D584" s="10"/>
      <c r="E584" s="10"/>
      <c r="F584" s="10"/>
    </row>
    <row r="585" spans="4:6" ht="15.75" customHeight="1" x14ac:dyDescent="0.15">
      <c r="D585" s="10"/>
      <c r="E585" s="10"/>
      <c r="F585" s="10"/>
    </row>
    <row r="586" spans="4:6" ht="15.75" customHeight="1" x14ac:dyDescent="0.15">
      <c r="D586" s="10"/>
      <c r="E586" s="10"/>
      <c r="F586" s="10"/>
    </row>
    <row r="587" spans="4:6" ht="15.75" customHeight="1" x14ac:dyDescent="0.15">
      <c r="D587" s="10"/>
      <c r="E587" s="10"/>
      <c r="F587" s="10"/>
    </row>
    <row r="588" spans="4:6" ht="15.75" customHeight="1" x14ac:dyDescent="0.15">
      <c r="D588" s="10"/>
      <c r="E588" s="10"/>
      <c r="F588" s="10"/>
    </row>
    <row r="589" spans="4:6" ht="15.75" customHeight="1" x14ac:dyDescent="0.15">
      <c r="D589" s="10"/>
      <c r="E589" s="10"/>
      <c r="F589" s="10"/>
    </row>
    <row r="590" spans="4:6" ht="15.75" customHeight="1" x14ac:dyDescent="0.15">
      <c r="D590" s="10"/>
      <c r="E590" s="10"/>
      <c r="F590" s="10"/>
    </row>
    <row r="591" spans="4:6" ht="15.75" customHeight="1" x14ac:dyDescent="0.15">
      <c r="D591" s="10"/>
      <c r="E591" s="10"/>
      <c r="F591" s="10"/>
    </row>
    <row r="592" spans="4:6" ht="15.75" customHeight="1" x14ac:dyDescent="0.15">
      <c r="D592" s="10"/>
      <c r="E592" s="10"/>
      <c r="F592" s="10"/>
    </row>
    <row r="593" spans="4:6" ht="15.75" customHeight="1" x14ac:dyDescent="0.15">
      <c r="D593" s="10"/>
      <c r="E593" s="10"/>
      <c r="F593" s="10"/>
    </row>
    <row r="594" spans="4:6" ht="15.75" customHeight="1" x14ac:dyDescent="0.15">
      <c r="D594" s="10"/>
      <c r="E594" s="10"/>
      <c r="F594" s="10"/>
    </row>
    <row r="595" spans="4:6" ht="15.75" customHeight="1" x14ac:dyDescent="0.15">
      <c r="D595" s="10"/>
      <c r="E595" s="10"/>
      <c r="F595" s="10"/>
    </row>
    <row r="596" spans="4:6" ht="15.75" customHeight="1" x14ac:dyDescent="0.15">
      <c r="D596" s="10"/>
      <c r="E596" s="10"/>
      <c r="F596" s="10"/>
    </row>
    <row r="597" spans="4:6" ht="15.75" customHeight="1" x14ac:dyDescent="0.15">
      <c r="D597" s="10"/>
      <c r="E597" s="10"/>
      <c r="F597" s="10"/>
    </row>
    <row r="598" spans="4:6" ht="15.75" customHeight="1" x14ac:dyDescent="0.15">
      <c r="D598" s="10"/>
      <c r="E598" s="10"/>
      <c r="F598" s="10"/>
    </row>
    <row r="599" spans="4:6" ht="15.75" customHeight="1" x14ac:dyDescent="0.15">
      <c r="D599" s="10"/>
      <c r="E599" s="10"/>
      <c r="F599" s="10"/>
    </row>
    <row r="600" spans="4:6" ht="15.75" customHeight="1" x14ac:dyDescent="0.15">
      <c r="D600" s="10"/>
      <c r="E600" s="10"/>
      <c r="F600" s="10"/>
    </row>
    <row r="601" spans="4:6" ht="15.75" customHeight="1" x14ac:dyDescent="0.15">
      <c r="D601" s="10"/>
      <c r="E601" s="10"/>
      <c r="F601" s="10"/>
    </row>
    <row r="602" spans="4:6" ht="15.75" customHeight="1" x14ac:dyDescent="0.15">
      <c r="D602" s="10"/>
      <c r="E602" s="10"/>
      <c r="F602" s="10"/>
    </row>
    <row r="603" spans="4:6" ht="15.75" customHeight="1" x14ac:dyDescent="0.15">
      <c r="D603" s="10"/>
      <c r="E603" s="10"/>
      <c r="F603" s="10"/>
    </row>
    <row r="604" spans="4:6" ht="15.75" customHeight="1" x14ac:dyDescent="0.15">
      <c r="D604" s="10"/>
      <c r="E604" s="10"/>
      <c r="F604" s="10"/>
    </row>
    <row r="605" spans="4:6" ht="15.75" customHeight="1" x14ac:dyDescent="0.15">
      <c r="D605" s="10"/>
      <c r="E605" s="10"/>
      <c r="F605" s="10"/>
    </row>
    <row r="606" spans="4:6" ht="15.75" customHeight="1" x14ac:dyDescent="0.15">
      <c r="D606" s="10"/>
      <c r="E606" s="10"/>
      <c r="F606" s="10"/>
    </row>
    <row r="607" spans="4:6" ht="15.75" customHeight="1" x14ac:dyDescent="0.15">
      <c r="D607" s="10"/>
      <c r="E607" s="10"/>
      <c r="F607" s="10"/>
    </row>
    <row r="608" spans="4:6" ht="15.75" customHeight="1" x14ac:dyDescent="0.15">
      <c r="D608" s="10"/>
      <c r="E608" s="10"/>
      <c r="F608" s="10"/>
    </row>
    <row r="609" spans="4:6" ht="15.75" customHeight="1" x14ac:dyDescent="0.15">
      <c r="D609" s="10"/>
      <c r="E609" s="10"/>
      <c r="F609" s="10"/>
    </row>
    <row r="610" spans="4:6" ht="15.75" customHeight="1" x14ac:dyDescent="0.15">
      <c r="D610" s="10"/>
      <c r="E610" s="10"/>
      <c r="F610" s="10"/>
    </row>
    <row r="611" spans="4:6" ht="15.75" customHeight="1" x14ac:dyDescent="0.15">
      <c r="D611" s="10"/>
      <c r="E611" s="10"/>
      <c r="F611" s="10"/>
    </row>
    <row r="612" spans="4:6" ht="15.75" customHeight="1" x14ac:dyDescent="0.15">
      <c r="D612" s="10"/>
      <c r="E612" s="10"/>
      <c r="F612" s="10"/>
    </row>
    <row r="613" spans="4:6" ht="15.75" customHeight="1" x14ac:dyDescent="0.15">
      <c r="D613" s="10"/>
      <c r="E613" s="10"/>
      <c r="F613" s="10"/>
    </row>
    <row r="614" spans="4:6" ht="15.75" customHeight="1" x14ac:dyDescent="0.15">
      <c r="D614" s="10"/>
      <c r="E614" s="10"/>
      <c r="F614" s="10"/>
    </row>
    <row r="615" spans="4:6" ht="15.75" customHeight="1" x14ac:dyDescent="0.15">
      <c r="D615" s="10"/>
      <c r="E615" s="10"/>
      <c r="F615" s="10"/>
    </row>
    <row r="616" spans="4:6" ht="15.75" customHeight="1" x14ac:dyDescent="0.15">
      <c r="D616" s="10"/>
      <c r="E616" s="10"/>
      <c r="F616" s="10"/>
    </row>
    <row r="617" spans="4:6" ht="15.75" customHeight="1" x14ac:dyDescent="0.15">
      <c r="D617" s="10"/>
      <c r="E617" s="10"/>
      <c r="F617" s="10"/>
    </row>
    <row r="618" spans="4:6" ht="15.75" customHeight="1" x14ac:dyDescent="0.15">
      <c r="D618" s="10"/>
      <c r="E618" s="10"/>
      <c r="F618" s="10"/>
    </row>
    <row r="619" spans="4:6" ht="15.75" customHeight="1" x14ac:dyDescent="0.15">
      <c r="D619" s="10"/>
      <c r="E619" s="10"/>
      <c r="F619" s="10"/>
    </row>
    <row r="620" spans="4:6" ht="15.75" customHeight="1" x14ac:dyDescent="0.15">
      <c r="D620" s="10"/>
      <c r="E620" s="10"/>
      <c r="F620" s="10"/>
    </row>
    <row r="621" spans="4:6" ht="15.75" customHeight="1" x14ac:dyDescent="0.15">
      <c r="D621" s="10"/>
      <c r="E621" s="10"/>
      <c r="F621" s="10"/>
    </row>
    <row r="622" spans="4:6" ht="15.75" customHeight="1" x14ac:dyDescent="0.15">
      <c r="D622" s="10"/>
      <c r="E622" s="10"/>
      <c r="F622" s="10"/>
    </row>
    <row r="623" spans="4:6" ht="15.75" customHeight="1" x14ac:dyDescent="0.15">
      <c r="D623" s="10"/>
      <c r="E623" s="10"/>
      <c r="F623" s="10"/>
    </row>
    <row r="624" spans="4:6" ht="15.75" customHeight="1" x14ac:dyDescent="0.15">
      <c r="D624" s="10"/>
      <c r="E624" s="10"/>
      <c r="F624" s="10"/>
    </row>
    <row r="625" spans="4:6" ht="15.75" customHeight="1" x14ac:dyDescent="0.15">
      <c r="D625" s="10"/>
      <c r="E625" s="10"/>
      <c r="F625" s="10"/>
    </row>
    <row r="626" spans="4:6" ht="15.75" customHeight="1" x14ac:dyDescent="0.15">
      <c r="D626" s="10"/>
      <c r="E626" s="10"/>
      <c r="F626" s="10"/>
    </row>
    <row r="627" spans="4:6" ht="15.75" customHeight="1" x14ac:dyDescent="0.15">
      <c r="D627" s="10"/>
      <c r="E627" s="10"/>
      <c r="F627" s="10"/>
    </row>
    <row r="628" spans="4:6" ht="15.75" customHeight="1" x14ac:dyDescent="0.15">
      <c r="D628" s="10"/>
      <c r="E628" s="10"/>
      <c r="F628" s="10"/>
    </row>
    <row r="629" spans="4:6" ht="15.75" customHeight="1" x14ac:dyDescent="0.15">
      <c r="D629" s="10"/>
      <c r="E629" s="10"/>
      <c r="F629" s="10"/>
    </row>
    <row r="630" spans="4:6" ht="15.75" customHeight="1" x14ac:dyDescent="0.15">
      <c r="D630" s="10"/>
      <c r="E630" s="10"/>
      <c r="F630" s="10"/>
    </row>
    <row r="631" spans="4:6" ht="15.75" customHeight="1" x14ac:dyDescent="0.15">
      <c r="D631" s="10"/>
      <c r="E631" s="10"/>
      <c r="F631" s="10"/>
    </row>
    <row r="632" spans="4:6" ht="15.75" customHeight="1" x14ac:dyDescent="0.15">
      <c r="D632" s="10"/>
      <c r="E632" s="10"/>
      <c r="F632" s="10"/>
    </row>
    <row r="633" spans="4:6" ht="15.75" customHeight="1" x14ac:dyDescent="0.15">
      <c r="D633" s="10"/>
      <c r="E633" s="10"/>
      <c r="F633" s="10"/>
    </row>
    <row r="634" spans="4:6" ht="15.75" customHeight="1" x14ac:dyDescent="0.15">
      <c r="D634" s="10"/>
      <c r="E634" s="10"/>
      <c r="F634" s="10"/>
    </row>
    <row r="635" spans="4:6" ht="15.75" customHeight="1" x14ac:dyDescent="0.15">
      <c r="D635" s="10"/>
      <c r="E635" s="10"/>
      <c r="F635" s="10"/>
    </row>
    <row r="636" spans="4:6" ht="15.75" customHeight="1" x14ac:dyDescent="0.15">
      <c r="D636" s="10"/>
      <c r="E636" s="10"/>
      <c r="F636" s="10"/>
    </row>
    <row r="637" spans="4:6" ht="15.75" customHeight="1" x14ac:dyDescent="0.15">
      <c r="D637" s="10"/>
      <c r="E637" s="10"/>
      <c r="F637" s="10"/>
    </row>
    <row r="638" spans="4:6" ht="15.75" customHeight="1" x14ac:dyDescent="0.15">
      <c r="D638" s="10"/>
      <c r="E638" s="10"/>
      <c r="F638" s="10"/>
    </row>
    <row r="639" spans="4:6" ht="15.75" customHeight="1" x14ac:dyDescent="0.15">
      <c r="D639" s="10"/>
      <c r="E639" s="10"/>
      <c r="F639" s="10"/>
    </row>
    <row r="640" spans="4:6" ht="15.75" customHeight="1" x14ac:dyDescent="0.15">
      <c r="D640" s="10"/>
      <c r="E640" s="10"/>
      <c r="F640" s="10"/>
    </row>
    <row r="641" spans="4:6" ht="15.75" customHeight="1" x14ac:dyDescent="0.15">
      <c r="D641" s="10"/>
      <c r="E641" s="10"/>
      <c r="F641" s="10"/>
    </row>
    <row r="642" spans="4:6" ht="15.75" customHeight="1" x14ac:dyDescent="0.15">
      <c r="D642" s="10"/>
      <c r="E642" s="10"/>
      <c r="F642" s="10"/>
    </row>
    <row r="643" spans="4:6" ht="15.75" customHeight="1" x14ac:dyDescent="0.15">
      <c r="D643" s="10"/>
      <c r="E643" s="10"/>
      <c r="F643" s="10"/>
    </row>
    <row r="644" spans="4:6" ht="15.75" customHeight="1" x14ac:dyDescent="0.15">
      <c r="D644" s="10"/>
      <c r="E644" s="10"/>
      <c r="F644" s="10"/>
    </row>
    <row r="645" spans="4:6" ht="15.75" customHeight="1" x14ac:dyDescent="0.15">
      <c r="D645" s="10"/>
      <c r="E645" s="10"/>
      <c r="F645" s="10"/>
    </row>
    <row r="646" spans="4:6" ht="15.75" customHeight="1" x14ac:dyDescent="0.15">
      <c r="D646" s="10"/>
      <c r="E646" s="10"/>
      <c r="F646" s="10"/>
    </row>
    <row r="647" spans="4:6" ht="15.75" customHeight="1" x14ac:dyDescent="0.15">
      <c r="D647" s="10"/>
      <c r="E647" s="10"/>
      <c r="F647" s="10"/>
    </row>
    <row r="648" spans="4:6" ht="15.75" customHeight="1" x14ac:dyDescent="0.15">
      <c r="D648" s="10"/>
      <c r="E648" s="10"/>
      <c r="F648" s="10"/>
    </row>
    <row r="649" spans="4:6" ht="15.75" customHeight="1" x14ac:dyDescent="0.15">
      <c r="D649" s="10"/>
      <c r="E649" s="10"/>
      <c r="F649" s="10"/>
    </row>
    <row r="650" spans="4:6" ht="15.75" customHeight="1" x14ac:dyDescent="0.15">
      <c r="D650" s="10"/>
      <c r="E650" s="10"/>
      <c r="F650" s="10"/>
    </row>
    <row r="651" spans="4:6" ht="15.75" customHeight="1" x14ac:dyDescent="0.15">
      <c r="D651" s="10"/>
      <c r="E651" s="10"/>
      <c r="F651" s="10"/>
    </row>
    <row r="652" spans="4:6" ht="15.75" customHeight="1" x14ac:dyDescent="0.15">
      <c r="D652" s="10"/>
      <c r="E652" s="10"/>
      <c r="F652" s="10"/>
    </row>
    <row r="653" spans="4:6" ht="15.75" customHeight="1" x14ac:dyDescent="0.15">
      <c r="D653" s="10"/>
      <c r="E653" s="10"/>
      <c r="F653" s="10"/>
    </row>
    <row r="654" spans="4:6" ht="15.75" customHeight="1" x14ac:dyDescent="0.15">
      <c r="D654" s="10"/>
      <c r="E654" s="10"/>
      <c r="F654" s="10"/>
    </row>
    <row r="655" spans="4:6" ht="15.75" customHeight="1" x14ac:dyDescent="0.15">
      <c r="D655" s="10"/>
      <c r="E655" s="10"/>
      <c r="F655" s="10"/>
    </row>
    <row r="656" spans="4:6" ht="15.75" customHeight="1" x14ac:dyDescent="0.15">
      <c r="D656" s="10"/>
      <c r="E656" s="10"/>
      <c r="F656" s="10"/>
    </row>
    <row r="657" spans="4:6" ht="15.75" customHeight="1" x14ac:dyDescent="0.15">
      <c r="D657" s="10"/>
      <c r="E657" s="10"/>
      <c r="F657" s="10"/>
    </row>
    <row r="658" spans="4:6" ht="15.75" customHeight="1" x14ac:dyDescent="0.15">
      <c r="D658" s="10"/>
      <c r="E658" s="10"/>
      <c r="F658" s="10"/>
    </row>
    <row r="659" spans="4:6" ht="15.75" customHeight="1" x14ac:dyDescent="0.15">
      <c r="D659" s="10"/>
      <c r="E659" s="10"/>
      <c r="F659" s="10"/>
    </row>
    <row r="660" spans="4:6" ht="15.75" customHeight="1" x14ac:dyDescent="0.15">
      <c r="D660" s="10"/>
      <c r="E660" s="10"/>
      <c r="F660" s="10"/>
    </row>
    <row r="661" spans="4:6" ht="15.75" customHeight="1" x14ac:dyDescent="0.15">
      <c r="D661" s="10"/>
      <c r="E661" s="10"/>
      <c r="F661" s="10"/>
    </row>
    <row r="662" spans="4:6" ht="15.75" customHeight="1" x14ac:dyDescent="0.15">
      <c r="D662" s="10"/>
      <c r="E662" s="10"/>
      <c r="F662" s="10"/>
    </row>
    <row r="663" spans="4:6" ht="15.75" customHeight="1" x14ac:dyDescent="0.15">
      <c r="D663" s="10"/>
      <c r="E663" s="10"/>
      <c r="F663" s="10"/>
    </row>
    <row r="664" spans="4:6" ht="15.75" customHeight="1" x14ac:dyDescent="0.15">
      <c r="D664" s="10"/>
      <c r="E664" s="10"/>
      <c r="F664" s="10"/>
    </row>
    <row r="665" spans="4:6" ht="15.75" customHeight="1" x14ac:dyDescent="0.15">
      <c r="D665" s="10"/>
      <c r="E665" s="10"/>
      <c r="F665" s="10"/>
    </row>
    <row r="666" spans="4:6" ht="15.75" customHeight="1" x14ac:dyDescent="0.15">
      <c r="D666" s="10"/>
      <c r="E666" s="10"/>
      <c r="F666" s="10"/>
    </row>
    <row r="667" spans="4:6" ht="15.75" customHeight="1" x14ac:dyDescent="0.15">
      <c r="D667" s="10"/>
      <c r="E667" s="10"/>
      <c r="F667" s="10"/>
    </row>
    <row r="668" spans="4:6" ht="15.75" customHeight="1" x14ac:dyDescent="0.15">
      <c r="D668" s="10"/>
      <c r="E668" s="10"/>
      <c r="F668" s="10"/>
    </row>
    <row r="669" spans="4:6" ht="15.75" customHeight="1" x14ac:dyDescent="0.15">
      <c r="D669" s="10"/>
      <c r="E669" s="10"/>
      <c r="F669" s="10"/>
    </row>
    <row r="670" spans="4:6" ht="15.75" customHeight="1" x14ac:dyDescent="0.15">
      <c r="D670" s="10"/>
      <c r="E670" s="10"/>
      <c r="F670" s="10"/>
    </row>
    <row r="671" spans="4:6" ht="15.75" customHeight="1" x14ac:dyDescent="0.15">
      <c r="D671" s="10"/>
      <c r="E671" s="10"/>
      <c r="F671" s="10"/>
    </row>
    <row r="672" spans="4:6" ht="15.75" customHeight="1" x14ac:dyDescent="0.15">
      <c r="D672" s="10"/>
      <c r="E672" s="10"/>
      <c r="F672" s="10"/>
    </row>
    <row r="673" spans="4:6" ht="15.75" customHeight="1" x14ac:dyDescent="0.15">
      <c r="D673" s="10"/>
      <c r="E673" s="10"/>
      <c r="F673" s="10"/>
    </row>
    <row r="674" spans="4:6" ht="15.75" customHeight="1" x14ac:dyDescent="0.15">
      <c r="D674" s="10"/>
      <c r="E674" s="10"/>
      <c r="F674" s="10"/>
    </row>
    <row r="675" spans="4:6" ht="15.75" customHeight="1" x14ac:dyDescent="0.15">
      <c r="D675" s="10"/>
      <c r="E675" s="10"/>
      <c r="F675" s="10"/>
    </row>
    <row r="676" spans="4:6" ht="15.75" customHeight="1" x14ac:dyDescent="0.15">
      <c r="D676" s="10"/>
      <c r="E676" s="10"/>
      <c r="F676" s="10"/>
    </row>
    <row r="677" spans="4:6" ht="15.75" customHeight="1" x14ac:dyDescent="0.15">
      <c r="D677" s="10"/>
      <c r="E677" s="10"/>
      <c r="F677" s="10"/>
    </row>
    <row r="678" spans="4:6" ht="15.75" customHeight="1" x14ac:dyDescent="0.15">
      <c r="D678" s="10"/>
      <c r="E678" s="10"/>
      <c r="F678" s="10"/>
    </row>
    <row r="679" spans="4:6" ht="15.75" customHeight="1" x14ac:dyDescent="0.15">
      <c r="D679" s="10"/>
      <c r="E679" s="10"/>
      <c r="F679" s="10"/>
    </row>
    <row r="680" spans="4:6" ht="15.75" customHeight="1" x14ac:dyDescent="0.15">
      <c r="D680" s="10"/>
      <c r="E680" s="10"/>
      <c r="F680" s="10"/>
    </row>
    <row r="681" spans="4:6" ht="15.75" customHeight="1" x14ac:dyDescent="0.15">
      <c r="D681" s="10"/>
      <c r="E681" s="10"/>
      <c r="F681" s="10"/>
    </row>
    <row r="682" spans="4:6" ht="15.75" customHeight="1" x14ac:dyDescent="0.15">
      <c r="D682" s="10"/>
      <c r="E682" s="10"/>
      <c r="F682" s="10"/>
    </row>
    <row r="683" spans="4:6" ht="15.75" customHeight="1" x14ac:dyDescent="0.15">
      <c r="D683" s="10"/>
      <c r="E683" s="10"/>
      <c r="F683" s="10"/>
    </row>
    <row r="684" spans="4:6" ht="15.75" customHeight="1" x14ac:dyDescent="0.15">
      <c r="D684" s="10"/>
      <c r="E684" s="10"/>
      <c r="F684" s="10"/>
    </row>
    <row r="685" spans="4:6" ht="15.75" customHeight="1" x14ac:dyDescent="0.15">
      <c r="D685" s="10"/>
      <c r="E685" s="10"/>
      <c r="F685" s="10"/>
    </row>
    <row r="686" spans="4:6" ht="15.75" customHeight="1" x14ac:dyDescent="0.15">
      <c r="D686" s="10"/>
      <c r="E686" s="10"/>
      <c r="F686" s="10"/>
    </row>
    <row r="687" spans="4:6" ht="15.75" customHeight="1" x14ac:dyDescent="0.15">
      <c r="D687" s="10"/>
      <c r="E687" s="10"/>
      <c r="F687" s="10"/>
    </row>
    <row r="688" spans="4:6" ht="15.75" customHeight="1" x14ac:dyDescent="0.15">
      <c r="D688" s="10"/>
      <c r="E688" s="10"/>
      <c r="F688" s="10"/>
    </row>
    <row r="689" spans="4:6" ht="15.75" customHeight="1" x14ac:dyDescent="0.15">
      <c r="D689" s="10"/>
      <c r="E689" s="10"/>
      <c r="F689" s="10"/>
    </row>
    <row r="690" spans="4:6" ht="15.75" customHeight="1" x14ac:dyDescent="0.15">
      <c r="D690" s="10"/>
      <c r="E690" s="10"/>
      <c r="F690" s="10"/>
    </row>
    <row r="691" spans="4:6" ht="15.75" customHeight="1" x14ac:dyDescent="0.15">
      <c r="D691" s="10"/>
      <c r="E691" s="10"/>
      <c r="F691" s="10"/>
    </row>
    <row r="692" spans="4:6" ht="15.75" customHeight="1" x14ac:dyDescent="0.15">
      <c r="D692" s="10"/>
      <c r="E692" s="10"/>
      <c r="F692" s="10"/>
    </row>
    <row r="693" spans="4:6" ht="15.75" customHeight="1" x14ac:dyDescent="0.15">
      <c r="D693" s="10"/>
      <c r="E693" s="10"/>
      <c r="F693" s="10"/>
    </row>
    <row r="694" spans="4:6" ht="15.75" customHeight="1" x14ac:dyDescent="0.15">
      <c r="D694" s="10"/>
      <c r="E694" s="10"/>
      <c r="F694" s="10"/>
    </row>
    <row r="695" spans="4:6" ht="15.75" customHeight="1" x14ac:dyDescent="0.15">
      <c r="D695" s="10"/>
      <c r="E695" s="10"/>
      <c r="F695" s="10"/>
    </row>
    <row r="696" spans="4:6" ht="15.75" customHeight="1" x14ac:dyDescent="0.15">
      <c r="D696" s="10"/>
      <c r="E696" s="10"/>
      <c r="F696" s="10"/>
    </row>
    <row r="697" spans="4:6" ht="15.75" customHeight="1" x14ac:dyDescent="0.15">
      <c r="D697" s="10"/>
      <c r="E697" s="10"/>
      <c r="F697" s="10"/>
    </row>
    <row r="698" spans="4:6" ht="15.75" customHeight="1" x14ac:dyDescent="0.15">
      <c r="D698" s="10"/>
      <c r="E698" s="10"/>
      <c r="F698" s="10"/>
    </row>
    <row r="699" spans="4:6" ht="15.75" customHeight="1" x14ac:dyDescent="0.15">
      <c r="D699" s="10"/>
      <c r="E699" s="10"/>
      <c r="F699" s="10"/>
    </row>
    <row r="700" spans="4:6" ht="15.75" customHeight="1" x14ac:dyDescent="0.15">
      <c r="D700" s="10"/>
      <c r="E700" s="10"/>
      <c r="F700" s="10"/>
    </row>
    <row r="701" spans="4:6" ht="15.75" customHeight="1" x14ac:dyDescent="0.15">
      <c r="D701" s="10"/>
      <c r="E701" s="10"/>
      <c r="F701" s="10"/>
    </row>
    <row r="702" spans="4:6" ht="15.75" customHeight="1" x14ac:dyDescent="0.15">
      <c r="D702" s="10"/>
      <c r="E702" s="10"/>
      <c r="F702" s="10"/>
    </row>
    <row r="703" spans="4:6" ht="15.75" customHeight="1" x14ac:dyDescent="0.15">
      <c r="D703" s="10"/>
      <c r="E703" s="10"/>
      <c r="F703" s="10"/>
    </row>
    <row r="704" spans="4:6" ht="15.75" customHeight="1" x14ac:dyDescent="0.15">
      <c r="D704" s="10"/>
      <c r="E704" s="10"/>
      <c r="F704" s="10"/>
    </row>
    <row r="705" spans="4:6" ht="15.75" customHeight="1" x14ac:dyDescent="0.15">
      <c r="D705" s="10"/>
      <c r="E705" s="10"/>
      <c r="F705" s="10"/>
    </row>
    <row r="706" spans="4:6" ht="15.75" customHeight="1" x14ac:dyDescent="0.15">
      <c r="D706" s="10"/>
      <c r="E706" s="10"/>
      <c r="F706" s="10"/>
    </row>
    <row r="707" spans="4:6" ht="15.75" customHeight="1" x14ac:dyDescent="0.15">
      <c r="D707" s="10"/>
      <c r="E707" s="10"/>
      <c r="F707" s="10"/>
    </row>
    <row r="708" spans="4:6" ht="15.75" customHeight="1" x14ac:dyDescent="0.15">
      <c r="D708" s="10"/>
      <c r="E708" s="10"/>
      <c r="F708" s="10"/>
    </row>
    <row r="709" spans="4:6" ht="15.75" customHeight="1" x14ac:dyDescent="0.15">
      <c r="D709" s="10"/>
      <c r="E709" s="10"/>
      <c r="F709" s="10"/>
    </row>
    <row r="710" spans="4:6" ht="15.75" customHeight="1" x14ac:dyDescent="0.15">
      <c r="D710" s="10"/>
      <c r="E710" s="10"/>
      <c r="F710" s="10"/>
    </row>
    <row r="711" spans="4:6" ht="15.75" customHeight="1" x14ac:dyDescent="0.15">
      <c r="D711" s="10"/>
      <c r="E711" s="10"/>
      <c r="F711" s="10"/>
    </row>
    <row r="712" spans="4:6" ht="15.75" customHeight="1" x14ac:dyDescent="0.15">
      <c r="D712" s="10"/>
      <c r="E712" s="10"/>
      <c r="F712" s="10"/>
    </row>
    <row r="713" spans="4:6" ht="15.75" customHeight="1" x14ac:dyDescent="0.15">
      <c r="D713" s="10"/>
      <c r="E713" s="10"/>
      <c r="F713" s="10"/>
    </row>
    <row r="714" spans="4:6" ht="15.75" customHeight="1" x14ac:dyDescent="0.15">
      <c r="D714" s="10"/>
      <c r="E714" s="10"/>
      <c r="F714" s="10"/>
    </row>
    <row r="715" spans="4:6" ht="15.75" customHeight="1" x14ac:dyDescent="0.15">
      <c r="D715" s="10"/>
      <c r="E715" s="10"/>
      <c r="F715" s="10"/>
    </row>
    <row r="716" spans="4:6" ht="15.75" customHeight="1" x14ac:dyDescent="0.15">
      <c r="D716" s="10"/>
      <c r="E716" s="10"/>
      <c r="F716" s="10"/>
    </row>
    <row r="717" spans="4:6" ht="15.75" customHeight="1" x14ac:dyDescent="0.15">
      <c r="D717" s="10"/>
      <c r="E717" s="10"/>
      <c r="F717" s="10"/>
    </row>
    <row r="718" spans="4:6" ht="15.75" customHeight="1" x14ac:dyDescent="0.15">
      <c r="D718" s="10"/>
      <c r="E718" s="10"/>
      <c r="F718" s="10"/>
    </row>
    <row r="719" spans="4:6" ht="15.75" customHeight="1" x14ac:dyDescent="0.15">
      <c r="D719" s="10"/>
      <c r="E719" s="10"/>
      <c r="F719" s="10"/>
    </row>
    <row r="720" spans="4:6" ht="15.75" customHeight="1" x14ac:dyDescent="0.15">
      <c r="D720" s="10"/>
      <c r="E720" s="10"/>
      <c r="F720" s="10"/>
    </row>
    <row r="721" spans="4:6" ht="15.75" customHeight="1" x14ac:dyDescent="0.15">
      <c r="D721" s="10"/>
      <c r="E721" s="10"/>
      <c r="F721" s="10"/>
    </row>
    <row r="722" spans="4:6" ht="15.75" customHeight="1" x14ac:dyDescent="0.15">
      <c r="D722" s="10"/>
      <c r="E722" s="10"/>
      <c r="F722" s="10"/>
    </row>
    <row r="723" spans="4:6" ht="15.75" customHeight="1" x14ac:dyDescent="0.15">
      <c r="D723" s="10"/>
      <c r="E723" s="10"/>
      <c r="F723" s="10"/>
    </row>
    <row r="724" spans="4:6" ht="15.75" customHeight="1" x14ac:dyDescent="0.15">
      <c r="D724" s="10"/>
      <c r="E724" s="10"/>
      <c r="F724" s="10"/>
    </row>
    <row r="725" spans="4:6" ht="15.75" customHeight="1" x14ac:dyDescent="0.15">
      <c r="D725" s="10"/>
      <c r="E725" s="10"/>
      <c r="F725" s="10"/>
    </row>
    <row r="726" spans="4:6" ht="15.75" customHeight="1" x14ac:dyDescent="0.15">
      <c r="D726" s="10"/>
      <c r="E726" s="10"/>
      <c r="F726" s="10"/>
    </row>
    <row r="727" spans="4:6" ht="15.75" customHeight="1" x14ac:dyDescent="0.15">
      <c r="D727" s="10"/>
      <c r="E727" s="10"/>
      <c r="F727" s="10"/>
    </row>
    <row r="728" spans="4:6" ht="15.75" customHeight="1" x14ac:dyDescent="0.15">
      <c r="D728" s="10"/>
      <c r="E728" s="10"/>
      <c r="F728" s="10"/>
    </row>
    <row r="729" spans="4:6" ht="15.75" customHeight="1" x14ac:dyDescent="0.15">
      <c r="D729" s="10"/>
      <c r="E729" s="10"/>
      <c r="F729" s="10"/>
    </row>
    <row r="730" spans="4:6" ht="15.75" customHeight="1" x14ac:dyDescent="0.15">
      <c r="D730" s="10"/>
      <c r="E730" s="10"/>
      <c r="F730" s="10"/>
    </row>
    <row r="731" spans="4:6" ht="15.75" customHeight="1" x14ac:dyDescent="0.15">
      <c r="D731" s="10"/>
      <c r="E731" s="10"/>
      <c r="F731" s="10"/>
    </row>
    <row r="732" spans="4:6" ht="15.75" customHeight="1" x14ac:dyDescent="0.15">
      <c r="D732" s="10"/>
      <c r="E732" s="10"/>
      <c r="F732" s="10"/>
    </row>
    <row r="733" spans="4:6" ht="15.75" customHeight="1" x14ac:dyDescent="0.15">
      <c r="D733" s="10"/>
      <c r="E733" s="10"/>
      <c r="F733" s="10"/>
    </row>
    <row r="734" spans="4:6" ht="15.75" customHeight="1" x14ac:dyDescent="0.15">
      <c r="D734" s="10"/>
      <c r="E734" s="10"/>
      <c r="F734" s="10"/>
    </row>
    <row r="735" spans="4:6" ht="15.75" customHeight="1" x14ac:dyDescent="0.15">
      <c r="D735" s="10"/>
      <c r="E735" s="10"/>
      <c r="F735" s="10"/>
    </row>
    <row r="736" spans="4:6" ht="15.75" customHeight="1" x14ac:dyDescent="0.15">
      <c r="D736" s="10"/>
      <c r="E736" s="10"/>
      <c r="F736" s="10"/>
    </row>
    <row r="737" spans="4:6" ht="15.75" customHeight="1" x14ac:dyDescent="0.15">
      <c r="D737" s="10"/>
      <c r="E737" s="10"/>
      <c r="F737" s="10"/>
    </row>
    <row r="738" spans="4:6" ht="15.75" customHeight="1" x14ac:dyDescent="0.15">
      <c r="D738" s="10"/>
      <c r="E738" s="10"/>
      <c r="F738" s="10"/>
    </row>
    <row r="739" spans="4:6" ht="15.75" customHeight="1" x14ac:dyDescent="0.15">
      <c r="D739" s="10"/>
      <c r="E739" s="10"/>
      <c r="F739" s="10"/>
    </row>
    <row r="740" spans="4:6" ht="15.75" customHeight="1" x14ac:dyDescent="0.15">
      <c r="D740" s="10"/>
      <c r="E740" s="10"/>
      <c r="F740" s="10"/>
    </row>
    <row r="741" spans="4:6" ht="15.75" customHeight="1" x14ac:dyDescent="0.15">
      <c r="D741" s="10"/>
      <c r="E741" s="10"/>
      <c r="F741" s="10"/>
    </row>
    <row r="742" spans="4:6" ht="15.75" customHeight="1" x14ac:dyDescent="0.15">
      <c r="D742" s="10"/>
      <c r="E742" s="10"/>
      <c r="F742" s="10"/>
    </row>
    <row r="743" spans="4:6" ht="15.75" customHeight="1" x14ac:dyDescent="0.15">
      <c r="D743" s="10"/>
      <c r="E743" s="10"/>
      <c r="F743" s="10"/>
    </row>
    <row r="744" spans="4:6" ht="15.75" customHeight="1" x14ac:dyDescent="0.15">
      <c r="D744" s="10"/>
      <c r="E744" s="10"/>
      <c r="F744" s="10"/>
    </row>
    <row r="745" spans="4:6" ht="15.75" customHeight="1" x14ac:dyDescent="0.15">
      <c r="D745" s="10"/>
      <c r="E745" s="10"/>
      <c r="F745" s="10"/>
    </row>
    <row r="746" spans="4:6" ht="15.75" customHeight="1" x14ac:dyDescent="0.15">
      <c r="D746" s="10"/>
      <c r="E746" s="10"/>
      <c r="F746" s="10"/>
    </row>
    <row r="747" spans="4:6" ht="15.75" customHeight="1" x14ac:dyDescent="0.15">
      <c r="D747" s="10"/>
      <c r="E747" s="10"/>
      <c r="F747" s="10"/>
    </row>
    <row r="748" spans="4:6" ht="15.75" customHeight="1" x14ac:dyDescent="0.15">
      <c r="D748" s="10"/>
      <c r="E748" s="10"/>
      <c r="F748" s="10"/>
    </row>
    <row r="749" spans="4:6" ht="15.75" customHeight="1" x14ac:dyDescent="0.15">
      <c r="D749" s="10"/>
      <c r="E749" s="10"/>
      <c r="F749" s="10"/>
    </row>
    <row r="750" spans="4:6" ht="15.75" customHeight="1" x14ac:dyDescent="0.15">
      <c r="D750" s="10"/>
      <c r="E750" s="10"/>
      <c r="F750" s="10"/>
    </row>
    <row r="751" spans="4:6" ht="15.75" customHeight="1" x14ac:dyDescent="0.15">
      <c r="D751" s="10"/>
      <c r="E751" s="10"/>
      <c r="F751" s="10"/>
    </row>
    <row r="752" spans="4:6" ht="15.75" customHeight="1" x14ac:dyDescent="0.15">
      <c r="D752" s="10"/>
      <c r="E752" s="10"/>
      <c r="F752" s="10"/>
    </row>
    <row r="753" spans="4:6" ht="15.75" customHeight="1" x14ac:dyDescent="0.15">
      <c r="D753" s="10"/>
      <c r="E753" s="10"/>
      <c r="F753" s="10"/>
    </row>
    <row r="754" spans="4:6" ht="15.75" customHeight="1" x14ac:dyDescent="0.15">
      <c r="D754" s="10"/>
      <c r="E754" s="10"/>
      <c r="F754" s="10"/>
    </row>
    <row r="755" spans="4:6" ht="15.75" customHeight="1" x14ac:dyDescent="0.15">
      <c r="D755" s="10"/>
      <c r="E755" s="10"/>
      <c r="F755" s="10"/>
    </row>
    <row r="756" spans="4:6" ht="15.75" customHeight="1" x14ac:dyDescent="0.15">
      <c r="D756" s="10"/>
      <c r="E756" s="10"/>
      <c r="F756" s="10"/>
    </row>
    <row r="757" spans="4:6" ht="15.75" customHeight="1" x14ac:dyDescent="0.15">
      <c r="D757" s="10"/>
      <c r="E757" s="10"/>
      <c r="F757" s="10"/>
    </row>
    <row r="758" spans="4:6" ht="15.75" customHeight="1" x14ac:dyDescent="0.15">
      <c r="D758" s="10"/>
      <c r="E758" s="10"/>
      <c r="F758" s="10"/>
    </row>
    <row r="759" spans="4:6" ht="15.75" customHeight="1" x14ac:dyDescent="0.15">
      <c r="D759" s="10"/>
      <c r="E759" s="10"/>
      <c r="F759" s="10"/>
    </row>
    <row r="760" spans="4:6" ht="15.75" customHeight="1" x14ac:dyDescent="0.15">
      <c r="D760" s="10"/>
      <c r="E760" s="10"/>
      <c r="F760" s="10"/>
    </row>
    <row r="761" spans="4:6" ht="15.75" customHeight="1" x14ac:dyDescent="0.15">
      <c r="D761" s="10"/>
      <c r="E761" s="10"/>
      <c r="F761" s="10"/>
    </row>
    <row r="762" spans="4:6" ht="15.75" customHeight="1" x14ac:dyDescent="0.15">
      <c r="D762" s="10"/>
      <c r="E762" s="10"/>
      <c r="F762" s="10"/>
    </row>
    <row r="763" spans="4:6" ht="15.75" customHeight="1" x14ac:dyDescent="0.15">
      <c r="D763" s="10"/>
      <c r="E763" s="10"/>
      <c r="F763" s="10"/>
    </row>
    <row r="764" spans="4:6" ht="15.75" customHeight="1" x14ac:dyDescent="0.15">
      <c r="D764" s="10"/>
      <c r="E764" s="10"/>
      <c r="F764" s="10"/>
    </row>
    <row r="765" spans="4:6" ht="15.75" customHeight="1" x14ac:dyDescent="0.15">
      <c r="D765" s="10"/>
      <c r="E765" s="10"/>
      <c r="F765" s="10"/>
    </row>
    <row r="766" spans="4:6" ht="15.75" customHeight="1" x14ac:dyDescent="0.15">
      <c r="D766" s="10"/>
      <c r="E766" s="10"/>
      <c r="F766" s="10"/>
    </row>
    <row r="767" spans="4:6" ht="15.75" customHeight="1" x14ac:dyDescent="0.15">
      <c r="D767" s="10"/>
      <c r="E767" s="10"/>
      <c r="F767" s="10"/>
    </row>
    <row r="768" spans="4:6" ht="15.75" customHeight="1" x14ac:dyDescent="0.15">
      <c r="D768" s="10"/>
      <c r="E768" s="10"/>
      <c r="F768" s="10"/>
    </row>
    <row r="769" spans="4:6" ht="15.75" customHeight="1" x14ac:dyDescent="0.15">
      <c r="D769" s="10"/>
      <c r="E769" s="10"/>
      <c r="F769" s="10"/>
    </row>
    <row r="770" spans="4:6" ht="15.75" customHeight="1" x14ac:dyDescent="0.15">
      <c r="D770" s="10"/>
      <c r="E770" s="10"/>
      <c r="F770" s="10"/>
    </row>
    <row r="771" spans="4:6" ht="15.75" customHeight="1" x14ac:dyDescent="0.15">
      <c r="D771" s="10"/>
      <c r="E771" s="10"/>
      <c r="F771" s="10"/>
    </row>
    <row r="772" spans="4:6" ht="15.75" customHeight="1" x14ac:dyDescent="0.15">
      <c r="D772" s="10"/>
      <c r="E772" s="10"/>
      <c r="F772" s="10"/>
    </row>
    <row r="773" spans="4:6" ht="15.75" customHeight="1" x14ac:dyDescent="0.15">
      <c r="D773" s="10"/>
      <c r="E773" s="10"/>
      <c r="F773" s="10"/>
    </row>
    <row r="774" spans="4:6" ht="15.75" customHeight="1" x14ac:dyDescent="0.15">
      <c r="D774" s="10"/>
      <c r="E774" s="10"/>
      <c r="F774" s="10"/>
    </row>
    <row r="775" spans="4:6" ht="15.75" customHeight="1" x14ac:dyDescent="0.15">
      <c r="D775" s="10"/>
      <c r="E775" s="10"/>
      <c r="F775" s="10"/>
    </row>
    <row r="776" spans="4:6" ht="15.75" customHeight="1" x14ac:dyDescent="0.15">
      <c r="D776" s="10"/>
      <c r="E776" s="10"/>
      <c r="F776" s="10"/>
    </row>
    <row r="777" spans="4:6" ht="15.75" customHeight="1" x14ac:dyDescent="0.15">
      <c r="D777" s="10"/>
      <c r="E777" s="10"/>
      <c r="F777" s="10"/>
    </row>
    <row r="778" spans="4:6" ht="15.75" customHeight="1" x14ac:dyDescent="0.15">
      <c r="D778" s="10"/>
      <c r="E778" s="10"/>
      <c r="F778" s="10"/>
    </row>
    <row r="779" spans="4:6" ht="15.75" customHeight="1" x14ac:dyDescent="0.15">
      <c r="D779" s="10"/>
      <c r="E779" s="10"/>
      <c r="F779" s="10"/>
    </row>
    <row r="780" spans="4:6" ht="15.75" customHeight="1" x14ac:dyDescent="0.15">
      <c r="D780" s="10"/>
      <c r="E780" s="10"/>
      <c r="F780" s="10"/>
    </row>
    <row r="781" spans="4:6" ht="15.75" customHeight="1" x14ac:dyDescent="0.15">
      <c r="D781" s="10"/>
      <c r="E781" s="10"/>
      <c r="F781" s="10"/>
    </row>
    <row r="782" spans="4:6" ht="15.75" customHeight="1" x14ac:dyDescent="0.15">
      <c r="D782" s="10"/>
      <c r="E782" s="10"/>
      <c r="F782" s="10"/>
    </row>
    <row r="783" spans="4:6" ht="15.75" customHeight="1" x14ac:dyDescent="0.15">
      <c r="D783" s="10"/>
      <c r="E783" s="10"/>
      <c r="F783" s="10"/>
    </row>
    <row r="784" spans="4:6" ht="15.75" customHeight="1" x14ac:dyDescent="0.15">
      <c r="D784" s="10"/>
      <c r="E784" s="10"/>
      <c r="F784" s="10"/>
    </row>
    <row r="785" spans="4:6" ht="15.75" customHeight="1" x14ac:dyDescent="0.15">
      <c r="D785" s="10"/>
      <c r="E785" s="10"/>
      <c r="F785" s="10"/>
    </row>
    <row r="786" spans="4:6" ht="15.75" customHeight="1" x14ac:dyDescent="0.15">
      <c r="D786" s="10"/>
      <c r="E786" s="10"/>
      <c r="F786" s="10"/>
    </row>
    <row r="787" spans="4:6" ht="15.75" customHeight="1" x14ac:dyDescent="0.15">
      <c r="D787" s="10"/>
      <c r="E787" s="10"/>
      <c r="F787" s="10"/>
    </row>
    <row r="788" spans="4:6" ht="15.75" customHeight="1" x14ac:dyDescent="0.15">
      <c r="D788" s="10"/>
      <c r="E788" s="10"/>
      <c r="F788" s="10"/>
    </row>
    <row r="789" spans="4:6" ht="15.75" customHeight="1" x14ac:dyDescent="0.15">
      <c r="D789" s="10"/>
      <c r="E789" s="10"/>
      <c r="F789" s="10"/>
    </row>
    <row r="790" spans="4:6" ht="15.75" customHeight="1" x14ac:dyDescent="0.15">
      <c r="D790" s="10"/>
      <c r="E790" s="10"/>
      <c r="F790" s="10"/>
    </row>
    <row r="791" spans="4:6" ht="15.75" customHeight="1" x14ac:dyDescent="0.15">
      <c r="D791" s="10"/>
      <c r="E791" s="10"/>
      <c r="F791" s="10"/>
    </row>
    <row r="792" spans="4:6" ht="15.75" customHeight="1" x14ac:dyDescent="0.15">
      <c r="D792" s="10"/>
      <c r="E792" s="10"/>
      <c r="F792" s="10"/>
    </row>
    <row r="793" spans="4:6" ht="15.75" customHeight="1" x14ac:dyDescent="0.15">
      <c r="D793" s="10"/>
      <c r="E793" s="10"/>
      <c r="F793" s="10"/>
    </row>
    <row r="794" spans="4:6" ht="15.75" customHeight="1" x14ac:dyDescent="0.15">
      <c r="D794" s="10"/>
      <c r="E794" s="10"/>
      <c r="F794" s="10"/>
    </row>
    <row r="795" spans="4:6" ht="15.75" customHeight="1" x14ac:dyDescent="0.15">
      <c r="D795" s="10"/>
      <c r="E795" s="10"/>
      <c r="F795" s="10"/>
    </row>
    <row r="796" spans="4:6" ht="15.75" customHeight="1" x14ac:dyDescent="0.15">
      <c r="D796" s="10"/>
      <c r="E796" s="10"/>
      <c r="F796" s="10"/>
    </row>
    <row r="797" spans="4:6" ht="15.75" customHeight="1" x14ac:dyDescent="0.15">
      <c r="D797" s="10"/>
      <c r="E797" s="10"/>
      <c r="F797" s="10"/>
    </row>
    <row r="798" spans="4:6" ht="15.75" customHeight="1" x14ac:dyDescent="0.15">
      <c r="D798" s="10"/>
      <c r="E798" s="10"/>
      <c r="F798" s="10"/>
    </row>
    <row r="799" spans="4:6" ht="15.75" customHeight="1" x14ac:dyDescent="0.15">
      <c r="D799" s="10"/>
      <c r="E799" s="10"/>
      <c r="F799" s="10"/>
    </row>
    <row r="800" spans="4:6" ht="15.75" customHeight="1" x14ac:dyDescent="0.15">
      <c r="D800" s="10"/>
      <c r="E800" s="10"/>
      <c r="F800" s="10"/>
    </row>
    <row r="801" spans="4:6" ht="15.75" customHeight="1" x14ac:dyDescent="0.15">
      <c r="D801" s="10"/>
      <c r="E801" s="10"/>
      <c r="F801" s="10"/>
    </row>
    <row r="802" spans="4:6" ht="15.75" customHeight="1" x14ac:dyDescent="0.15">
      <c r="D802" s="10"/>
      <c r="E802" s="10"/>
      <c r="F802" s="10"/>
    </row>
    <row r="803" spans="4:6" ht="15.75" customHeight="1" x14ac:dyDescent="0.15">
      <c r="D803" s="10"/>
      <c r="E803" s="10"/>
      <c r="F803" s="10"/>
    </row>
    <row r="804" spans="4:6" ht="15.75" customHeight="1" x14ac:dyDescent="0.15">
      <c r="D804" s="10"/>
      <c r="E804" s="10"/>
      <c r="F804" s="10"/>
    </row>
    <row r="805" spans="4:6" ht="15.75" customHeight="1" x14ac:dyDescent="0.15">
      <c r="D805" s="10"/>
      <c r="E805" s="10"/>
      <c r="F805" s="10"/>
    </row>
    <row r="806" spans="4:6" ht="15.75" customHeight="1" x14ac:dyDescent="0.15">
      <c r="D806" s="10"/>
      <c r="E806" s="10"/>
      <c r="F806" s="10"/>
    </row>
    <row r="807" spans="4:6" ht="15.75" customHeight="1" x14ac:dyDescent="0.15">
      <c r="D807" s="10"/>
      <c r="E807" s="10"/>
      <c r="F807" s="10"/>
    </row>
    <row r="808" spans="4:6" ht="15.75" customHeight="1" x14ac:dyDescent="0.15">
      <c r="D808" s="10"/>
      <c r="E808" s="10"/>
      <c r="F808" s="10"/>
    </row>
    <row r="809" spans="4:6" ht="15.75" customHeight="1" x14ac:dyDescent="0.15">
      <c r="D809" s="10"/>
      <c r="E809" s="10"/>
      <c r="F809" s="10"/>
    </row>
    <row r="810" spans="4:6" ht="15.75" customHeight="1" x14ac:dyDescent="0.15">
      <c r="D810" s="10"/>
      <c r="E810" s="10"/>
      <c r="F810" s="10"/>
    </row>
    <row r="811" spans="4:6" ht="15.75" customHeight="1" x14ac:dyDescent="0.15">
      <c r="D811" s="10"/>
      <c r="E811" s="10"/>
      <c r="F811" s="10"/>
    </row>
    <row r="812" spans="4:6" ht="15.75" customHeight="1" x14ac:dyDescent="0.15">
      <c r="D812" s="10"/>
      <c r="E812" s="10"/>
      <c r="F812" s="10"/>
    </row>
    <row r="813" spans="4:6" ht="15.75" customHeight="1" x14ac:dyDescent="0.15">
      <c r="D813" s="10"/>
      <c r="E813" s="10"/>
      <c r="F813" s="10"/>
    </row>
    <row r="814" spans="4:6" ht="15.75" customHeight="1" x14ac:dyDescent="0.15">
      <c r="D814" s="10"/>
      <c r="E814" s="10"/>
      <c r="F814" s="10"/>
    </row>
    <row r="815" spans="4:6" ht="15.75" customHeight="1" x14ac:dyDescent="0.15">
      <c r="D815" s="10"/>
      <c r="E815" s="10"/>
      <c r="F815" s="10"/>
    </row>
    <row r="816" spans="4:6" ht="15.75" customHeight="1" x14ac:dyDescent="0.15">
      <c r="D816" s="10"/>
      <c r="E816" s="10"/>
      <c r="F816" s="10"/>
    </row>
    <row r="817" spans="4:6" ht="15.75" customHeight="1" x14ac:dyDescent="0.15">
      <c r="D817" s="10"/>
      <c r="E817" s="10"/>
      <c r="F817" s="10"/>
    </row>
    <row r="818" spans="4:6" ht="15.75" customHeight="1" x14ac:dyDescent="0.15">
      <c r="D818" s="10"/>
      <c r="E818" s="10"/>
      <c r="F818" s="10"/>
    </row>
    <row r="819" spans="4:6" ht="15.75" customHeight="1" x14ac:dyDescent="0.15">
      <c r="D819" s="10"/>
      <c r="E819" s="10"/>
      <c r="F819" s="10"/>
    </row>
    <row r="820" spans="4:6" ht="15.75" customHeight="1" x14ac:dyDescent="0.15">
      <c r="D820" s="10"/>
      <c r="E820" s="10"/>
      <c r="F820" s="10"/>
    </row>
    <row r="821" spans="4:6" ht="15.75" customHeight="1" x14ac:dyDescent="0.15">
      <c r="D821" s="10"/>
      <c r="E821" s="10"/>
      <c r="F821" s="10"/>
    </row>
    <row r="822" spans="4:6" ht="15.75" customHeight="1" x14ac:dyDescent="0.15">
      <c r="D822" s="10"/>
      <c r="E822" s="10"/>
      <c r="F822" s="10"/>
    </row>
    <row r="823" spans="4:6" ht="15.75" customHeight="1" x14ac:dyDescent="0.15">
      <c r="D823" s="10"/>
      <c r="E823" s="10"/>
      <c r="F823" s="10"/>
    </row>
    <row r="824" spans="4:6" ht="15.75" customHeight="1" x14ac:dyDescent="0.15">
      <c r="D824" s="10"/>
      <c r="E824" s="10"/>
      <c r="F824" s="10"/>
    </row>
    <row r="825" spans="4:6" ht="15.75" customHeight="1" x14ac:dyDescent="0.15">
      <c r="D825" s="10"/>
      <c r="E825" s="10"/>
      <c r="F825" s="10"/>
    </row>
    <row r="826" spans="4:6" ht="15.75" customHeight="1" x14ac:dyDescent="0.15">
      <c r="D826" s="10"/>
      <c r="E826" s="10"/>
      <c r="F826" s="10"/>
    </row>
    <row r="827" spans="4:6" ht="15.75" customHeight="1" x14ac:dyDescent="0.15">
      <c r="D827" s="10"/>
      <c r="E827" s="10"/>
      <c r="F827" s="10"/>
    </row>
    <row r="828" spans="4:6" ht="15.75" customHeight="1" x14ac:dyDescent="0.15">
      <c r="D828" s="10"/>
      <c r="E828" s="10"/>
      <c r="F828" s="10"/>
    </row>
    <row r="829" spans="4:6" ht="15.75" customHeight="1" x14ac:dyDescent="0.15">
      <c r="D829" s="10"/>
      <c r="E829" s="10"/>
      <c r="F829" s="10"/>
    </row>
    <row r="830" spans="4:6" ht="15.75" customHeight="1" x14ac:dyDescent="0.15">
      <c r="D830" s="10"/>
      <c r="E830" s="10"/>
      <c r="F830" s="10"/>
    </row>
    <row r="831" spans="4:6" ht="15.75" customHeight="1" x14ac:dyDescent="0.15">
      <c r="D831" s="10"/>
      <c r="E831" s="10"/>
      <c r="F831" s="10"/>
    </row>
    <row r="832" spans="4:6" ht="15.75" customHeight="1" x14ac:dyDescent="0.15">
      <c r="D832" s="10"/>
      <c r="E832" s="10"/>
      <c r="F832" s="10"/>
    </row>
    <row r="833" spans="4:6" ht="15.75" customHeight="1" x14ac:dyDescent="0.15">
      <c r="D833" s="10"/>
      <c r="E833" s="10"/>
      <c r="F833" s="10"/>
    </row>
    <row r="834" spans="4:6" ht="15.75" customHeight="1" x14ac:dyDescent="0.15">
      <c r="D834" s="10"/>
      <c r="E834" s="10"/>
      <c r="F834" s="10"/>
    </row>
    <row r="835" spans="4:6" ht="15.75" customHeight="1" x14ac:dyDescent="0.15">
      <c r="D835" s="10"/>
      <c r="E835" s="10"/>
      <c r="F835" s="10"/>
    </row>
    <row r="836" spans="4:6" ht="15.75" customHeight="1" x14ac:dyDescent="0.15">
      <c r="D836" s="10"/>
      <c r="E836" s="10"/>
      <c r="F836" s="10"/>
    </row>
    <row r="837" spans="4:6" ht="15.75" customHeight="1" x14ac:dyDescent="0.15">
      <c r="D837" s="10"/>
      <c r="E837" s="10"/>
      <c r="F837" s="10"/>
    </row>
    <row r="838" spans="4:6" ht="15.75" customHeight="1" x14ac:dyDescent="0.15">
      <c r="D838" s="10"/>
      <c r="E838" s="10"/>
      <c r="F838" s="10"/>
    </row>
    <row r="839" spans="4:6" ht="15.75" customHeight="1" x14ac:dyDescent="0.15">
      <c r="D839" s="10"/>
      <c r="E839" s="10"/>
      <c r="F839" s="10"/>
    </row>
    <row r="840" spans="4:6" ht="15.75" customHeight="1" x14ac:dyDescent="0.15">
      <c r="D840" s="10"/>
      <c r="E840" s="10"/>
      <c r="F840" s="10"/>
    </row>
    <row r="841" spans="4:6" ht="15.75" customHeight="1" x14ac:dyDescent="0.15">
      <c r="D841" s="10"/>
      <c r="E841" s="10"/>
      <c r="F841" s="10"/>
    </row>
    <row r="842" spans="4:6" ht="15.75" customHeight="1" x14ac:dyDescent="0.15">
      <c r="D842" s="10"/>
      <c r="E842" s="10"/>
      <c r="F842" s="10"/>
    </row>
    <row r="843" spans="4:6" ht="15.75" customHeight="1" x14ac:dyDescent="0.15">
      <c r="D843" s="10"/>
      <c r="E843" s="10"/>
      <c r="F843" s="10"/>
    </row>
    <row r="844" spans="4:6" ht="15.75" customHeight="1" x14ac:dyDescent="0.15">
      <c r="D844" s="10"/>
      <c r="E844" s="10"/>
      <c r="F844" s="10"/>
    </row>
    <row r="845" spans="4:6" ht="15.75" customHeight="1" x14ac:dyDescent="0.15">
      <c r="D845" s="10"/>
      <c r="E845" s="10"/>
      <c r="F845" s="10"/>
    </row>
    <row r="846" spans="4:6" ht="15.75" customHeight="1" x14ac:dyDescent="0.15">
      <c r="D846" s="10"/>
      <c r="E846" s="10"/>
      <c r="F846" s="10"/>
    </row>
    <row r="847" spans="4:6" ht="15.75" customHeight="1" x14ac:dyDescent="0.15">
      <c r="D847" s="10"/>
      <c r="E847" s="10"/>
      <c r="F847" s="10"/>
    </row>
    <row r="848" spans="4:6" ht="15.75" customHeight="1" x14ac:dyDescent="0.15">
      <c r="D848" s="10"/>
      <c r="E848" s="10"/>
      <c r="F848" s="10"/>
    </row>
    <row r="849" spans="4:6" ht="15.75" customHeight="1" x14ac:dyDescent="0.15">
      <c r="D849" s="10"/>
      <c r="E849" s="10"/>
      <c r="F849" s="10"/>
    </row>
    <row r="850" spans="4:6" ht="15.75" customHeight="1" x14ac:dyDescent="0.15">
      <c r="D850" s="10"/>
      <c r="E850" s="10"/>
      <c r="F850" s="10"/>
    </row>
    <row r="851" spans="4:6" ht="15.75" customHeight="1" x14ac:dyDescent="0.15">
      <c r="D851" s="10"/>
      <c r="E851" s="10"/>
      <c r="F851" s="10"/>
    </row>
    <row r="852" spans="4:6" ht="15.75" customHeight="1" x14ac:dyDescent="0.15">
      <c r="D852" s="10"/>
      <c r="E852" s="10"/>
      <c r="F852" s="10"/>
    </row>
    <row r="853" spans="4:6" ht="15.75" customHeight="1" x14ac:dyDescent="0.15">
      <c r="D853" s="10"/>
      <c r="E853" s="10"/>
      <c r="F853" s="10"/>
    </row>
    <row r="854" spans="4:6" ht="15.75" customHeight="1" x14ac:dyDescent="0.15">
      <c r="D854" s="10"/>
      <c r="E854" s="10"/>
      <c r="F854" s="10"/>
    </row>
    <row r="855" spans="4:6" ht="15.75" customHeight="1" x14ac:dyDescent="0.15">
      <c r="D855" s="10"/>
      <c r="E855" s="10"/>
      <c r="F855" s="10"/>
    </row>
    <row r="856" spans="4:6" ht="15.75" customHeight="1" x14ac:dyDescent="0.15">
      <c r="D856" s="10"/>
      <c r="E856" s="10"/>
      <c r="F856" s="10"/>
    </row>
    <row r="857" spans="4:6" ht="15.75" customHeight="1" x14ac:dyDescent="0.15">
      <c r="D857" s="10"/>
      <c r="E857" s="10"/>
      <c r="F857" s="10"/>
    </row>
    <row r="858" spans="4:6" ht="15.75" customHeight="1" x14ac:dyDescent="0.15">
      <c r="D858" s="10"/>
      <c r="E858" s="10"/>
      <c r="F858" s="10"/>
    </row>
    <row r="859" spans="4:6" ht="15.75" customHeight="1" x14ac:dyDescent="0.15">
      <c r="D859" s="10"/>
      <c r="E859" s="10"/>
      <c r="F859" s="10"/>
    </row>
    <row r="860" spans="4:6" ht="15.75" customHeight="1" x14ac:dyDescent="0.15">
      <c r="D860" s="10"/>
      <c r="E860" s="10"/>
      <c r="F860" s="10"/>
    </row>
    <row r="861" spans="4:6" ht="15.75" customHeight="1" x14ac:dyDescent="0.15">
      <c r="D861" s="10"/>
      <c r="E861" s="10"/>
      <c r="F861" s="10"/>
    </row>
    <row r="862" spans="4:6" ht="15.75" customHeight="1" x14ac:dyDescent="0.15">
      <c r="D862" s="10"/>
      <c r="E862" s="10"/>
      <c r="F862" s="10"/>
    </row>
    <row r="863" spans="4:6" ht="15.75" customHeight="1" x14ac:dyDescent="0.15">
      <c r="D863" s="10"/>
      <c r="E863" s="10"/>
      <c r="F863" s="10"/>
    </row>
    <row r="864" spans="4:6" ht="15.75" customHeight="1" x14ac:dyDescent="0.15">
      <c r="D864" s="10"/>
      <c r="E864" s="10"/>
      <c r="F864" s="10"/>
    </row>
    <row r="865" spans="4:6" ht="15.75" customHeight="1" x14ac:dyDescent="0.15">
      <c r="D865" s="10"/>
      <c r="E865" s="10"/>
      <c r="F865" s="10"/>
    </row>
    <row r="866" spans="4:6" ht="15.75" customHeight="1" x14ac:dyDescent="0.15">
      <c r="D866" s="10"/>
      <c r="E866" s="10"/>
      <c r="F866" s="10"/>
    </row>
    <row r="867" spans="4:6" ht="15.75" customHeight="1" x14ac:dyDescent="0.15">
      <c r="D867" s="10"/>
      <c r="E867" s="10"/>
      <c r="F867" s="10"/>
    </row>
    <row r="868" spans="4:6" ht="15.75" customHeight="1" x14ac:dyDescent="0.15">
      <c r="D868" s="10"/>
      <c r="E868" s="10"/>
      <c r="F868" s="10"/>
    </row>
    <row r="869" spans="4:6" ht="15.75" customHeight="1" x14ac:dyDescent="0.15">
      <c r="D869" s="10"/>
      <c r="E869" s="10"/>
      <c r="F869" s="10"/>
    </row>
    <row r="870" spans="4:6" ht="15.75" customHeight="1" x14ac:dyDescent="0.15">
      <c r="D870" s="10"/>
      <c r="E870" s="10"/>
      <c r="F870" s="10"/>
    </row>
    <row r="871" spans="4:6" ht="15.75" customHeight="1" x14ac:dyDescent="0.15">
      <c r="D871" s="10"/>
      <c r="E871" s="10"/>
      <c r="F871" s="10"/>
    </row>
    <row r="872" spans="4:6" ht="15.75" customHeight="1" x14ac:dyDescent="0.15">
      <c r="D872" s="10"/>
      <c r="E872" s="10"/>
      <c r="F872" s="10"/>
    </row>
    <row r="873" spans="4:6" ht="15.75" customHeight="1" x14ac:dyDescent="0.15">
      <c r="D873" s="10"/>
      <c r="E873" s="10"/>
      <c r="F873" s="10"/>
    </row>
    <row r="874" spans="4:6" ht="15.75" customHeight="1" x14ac:dyDescent="0.15">
      <c r="D874" s="10"/>
      <c r="E874" s="10"/>
      <c r="F874" s="10"/>
    </row>
    <row r="875" spans="4:6" ht="15.75" customHeight="1" x14ac:dyDescent="0.15">
      <c r="D875" s="10"/>
      <c r="E875" s="10"/>
      <c r="F875" s="10"/>
    </row>
    <row r="876" spans="4:6" ht="15.75" customHeight="1" x14ac:dyDescent="0.15">
      <c r="D876" s="10"/>
      <c r="E876" s="10"/>
      <c r="F876" s="10"/>
    </row>
    <row r="877" spans="4:6" ht="15.75" customHeight="1" x14ac:dyDescent="0.15">
      <c r="D877" s="10"/>
      <c r="E877" s="10"/>
      <c r="F877" s="10"/>
    </row>
    <row r="878" spans="4:6" ht="15.75" customHeight="1" x14ac:dyDescent="0.15">
      <c r="D878" s="10"/>
      <c r="E878" s="10"/>
      <c r="F878" s="10"/>
    </row>
    <row r="879" spans="4:6" ht="15.75" customHeight="1" x14ac:dyDescent="0.15">
      <c r="D879" s="10"/>
      <c r="E879" s="10"/>
      <c r="F879" s="10"/>
    </row>
    <row r="880" spans="4:6" ht="15.75" customHeight="1" x14ac:dyDescent="0.15">
      <c r="D880" s="10"/>
      <c r="E880" s="10"/>
      <c r="F880" s="10"/>
    </row>
    <row r="881" spans="4:6" ht="15.75" customHeight="1" x14ac:dyDescent="0.15">
      <c r="D881" s="10"/>
      <c r="E881" s="10"/>
      <c r="F881" s="10"/>
    </row>
    <row r="882" spans="4:6" ht="15.75" customHeight="1" x14ac:dyDescent="0.15">
      <c r="D882" s="10"/>
      <c r="E882" s="10"/>
      <c r="F882" s="10"/>
    </row>
    <row r="883" spans="4:6" ht="15.75" customHeight="1" x14ac:dyDescent="0.15">
      <c r="D883" s="10"/>
      <c r="E883" s="10"/>
      <c r="F883" s="10"/>
    </row>
    <row r="884" spans="4:6" ht="15.75" customHeight="1" x14ac:dyDescent="0.15">
      <c r="D884" s="10"/>
      <c r="E884" s="10"/>
      <c r="F884" s="10"/>
    </row>
    <row r="885" spans="4:6" ht="15.75" customHeight="1" x14ac:dyDescent="0.15">
      <c r="D885" s="10"/>
      <c r="E885" s="10"/>
      <c r="F885" s="10"/>
    </row>
    <row r="886" spans="4:6" ht="15.75" customHeight="1" x14ac:dyDescent="0.15">
      <c r="D886" s="10"/>
      <c r="E886" s="10"/>
      <c r="F886" s="10"/>
    </row>
    <row r="887" spans="4:6" ht="15.75" customHeight="1" x14ac:dyDescent="0.15">
      <c r="D887" s="10"/>
      <c r="E887" s="10"/>
      <c r="F887" s="10"/>
    </row>
    <row r="888" spans="4:6" ht="15.75" customHeight="1" x14ac:dyDescent="0.15">
      <c r="D888" s="10"/>
      <c r="E888" s="10"/>
      <c r="F888" s="10"/>
    </row>
    <row r="889" spans="4:6" ht="15.75" customHeight="1" x14ac:dyDescent="0.15">
      <c r="D889" s="10"/>
      <c r="E889" s="10"/>
      <c r="F889" s="10"/>
    </row>
    <row r="890" spans="4:6" ht="15.75" customHeight="1" x14ac:dyDescent="0.15">
      <c r="D890" s="10"/>
      <c r="E890" s="10"/>
      <c r="F890" s="10"/>
    </row>
    <row r="891" spans="4:6" ht="15.75" customHeight="1" x14ac:dyDescent="0.15">
      <c r="D891" s="10"/>
      <c r="E891" s="10"/>
      <c r="F891" s="10"/>
    </row>
    <row r="892" spans="4:6" ht="15.75" customHeight="1" x14ac:dyDescent="0.15">
      <c r="D892" s="10"/>
      <c r="E892" s="10"/>
      <c r="F892" s="10"/>
    </row>
    <row r="893" spans="4:6" ht="15.75" customHeight="1" x14ac:dyDescent="0.15">
      <c r="D893" s="10"/>
      <c r="E893" s="10"/>
      <c r="F893" s="10"/>
    </row>
    <row r="894" spans="4:6" ht="15.75" customHeight="1" x14ac:dyDescent="0.15">
      <c r="D894" s="10"/>
      <c r="E894" s="10"/>
      <c r="F894" s="10"/>
    </row>
    <row r="895" spans="4:6" ht="15.75" customHeight="1" x14ac:dyDescent="0.15">
      <c r="D895" s="10"/>
      <c r="E895" s="10"/>
      <c r="F895" s="10"/>
    </row>
    <row r="896" spans="4:6" ht="15.75" customHeight="1" x14ac:dyDescent="0.15">
      <c r="D896" s="10"/>
      <c r="E896" s="10"/>
      <c r="F896" s="10"/>
    </row>
    <row r="897" spans="4:6" ht="15.75" customHeight="1" x14ac:dyDescent="0.15">
      <c r="D897" s="10"/>
      <c r="E897" s="10"/>
      <c r="F897" s="10"/>
    </row>
    <row r="898" spans="4:6" ht="15.75" customHeight="1" x14ac:dyDescent="0.15">
      <c r="D898" s="10"/>
      <c r="E898" s="10"/>
      <c r="F898" s="10"/>
    </row>
    <row r="899" spans="4:6" ht="15.75" customHeight="1" x14ac:dyDescent="0.15">
      <c r="D899" s="10"/>
      <c r="E899" s="10"/>
      <c r="F899" s="10"/>
    </row>
    <row r="900" spans="4:6" ht="15.75" customHeight="1" x14ac:dyDescent="0.15">
      <c r="D900" s="10"/>
      <c r="E900" s="10"/>
      <c r="F900" s="10"/>
    </row>
    <row r="901" spans="4:6" ht="15.75" customHeight="1" x14ac:dyDescent="0.15">
      <c r="D901" s="10"/>
      <c r="E901" s="10"/>
      <c r="F901" s="10"/>
    </row>
    <row r="902" spans="4:6" ht="15.75" customHeight="1" x14ac:dyDescent="0.15">
      <c r="D902" s="10"/>
      <c r="E902" s="10"/>
      <c r="F902" s="10"/>
    </row>
    <row r="903" spans="4:6" ht="15.75" customHeight="1" x14ac:dyDescent="0.15">
      <c r="D903" s="10"/>
      <c r="E903" s="10"/>
      <c r="F903" s="10"/>
    </row>
    <row r="904" spans="4:6" ht="15.75" customHeight="1" x14ac:dyDescent="0.15">
      <c r="D904" s="10"/>
      <c r="E904" s="10"/>
      <c r="F904" s="10"/>
    </row>
    <row r="905" spans="4:6" ht="15.75" customHeight="1" x14ac:dyDescent="0.15">
      <c r="D905" s="10"/>
      <c r="E905" s="10"/>
      <c r="F905" s="10"/>
    </row>
    <row r="906" spans="4:6" ht="15.75" customHeight="1" x14ac:dyDescent="0.15">
      <c r="D906" s="10"/>
      <c r="E906" s="10"/>
      <c r="F906" s="10"/>
    </row>
    <row r="907" spans="4:6" ht="15.75" customHeight="1" x14ac:dyDescent="0.15">
      <c r="D907" s="10"/>
      <c r="E907" s="10"/>
      <c r="F907" s="10"/>
    </row>
    <row r="908" spans="4:6" ht="15.75" customHeight="1" x14ac:dyDescent="0.15">
      <c r="D908" s="10"/>
      <c r="E908" s="10"/>
      <c r="F908" s="10"/>
    </row>
    <row r="909" spans="4:6" ht="15.75" customHeight="1" x14ac:dyDescent="0.15">
      <c r="D909" s="10"/>
      <c r="E909" s="10"/>
      <c r="F909" s="10"/>
    </row>
    <row r="910" spans="4:6" ht="15.75" customHeight="1" x14ac:dyDescent="0.15">
      <c r="D910" s="10"/>
      <c r="E910" s="10"/>
      <c r="F910" s="10"/>
    </row>
    <row r="911" spans="4:6" ht="15.75" customHeight="1" x14ac:dyDescent="0.15">
      <c r="D911" s="10"/>
      <c r="E911" s="10"/>
      <c r="F911" s="10"/>
    </row>
    <row r="912" spans="4:6" ht="15.75" customHeight="1" x14ac:dyDescent="0.15">
      <c r="D912" s="10"/>
      <c r="E912" s="10"/>
      <c r="F912" s="10"/>
    </row>
    <row r="913" spans="4:6" ht="15.75" customHeight="1" x14ac:dyDescent="0.15">
      <c r="D913" s="10"/>
      <c r="E913" s="10"/>
      <c r="F913" s="10"/>
    </row>
    <row r="914" spans="4:6" ht="15.75" customHeight="1" x14ac:dyDescent="0.15">
      <c r="D914" s="10"/>
      <c r="E914" s="10"/>
      <c r="F914" s="10"/>
    </row>
    <row r="915" spans="4:6" ht="15.75" customHeight="1" x14ac:dyDescent="0.15">
      <c r="D915" s="10"/>
      <c r="E915" s="10"/>
      <c r="F915" s="10"/>
    </row>
    <row r="916" spans="4:6" ht="15.75" customHeight="1" x14ac:dyDescent="0.15">
      <c r="D916" s="10"/>
      <c r="E916" s="10"/>
      <c r="F916" s="10"/>
    </row>
    <row r="917" spans="4:6" ht="15.75" customHeight="1" x14ac:dyDescent="0.15">
      <c r="D917" s="10"/>
      <c r="E917" s="10"/>
      <c r="F917" s="10"/>
    </row>
    <row r="918" spans="4:6" ht="15.75" customHeight="1" x14ac:dyDescent="0.15">
      <c r="D918" s="10"/>
      <c r="E918" s="10"/>
      <c r="F918" s="10"/>
    </row>
    <row r="919" spans="4:6" ht="15.75" customHeight="1" x14ac:dyDescent="0.15">
      <c r="D919" s="10"/>
      <c r="E919" s="10"/>
      <c r="F919" s="10"/>
    </row>
    <row r="920" spans="4:6" ht="15.75" customHeight="1" x14ac:dyDescent="0.15">
      <c r="D920" s="10"/>
      <c r="E920" s="10"/>
      <c r="F920" s="10"/>
    </row>
    <row r="921" spans="4:6" ht="15.75" customHeight="1" x14ac:dyDescent="0.15">
      <c r="D921" s="10"/>
      <c r="E921" s="10"/>
      <c r="F921" s="10"/>
    </row>
    <row r="922" spans="4:6" ht="15.75" customHeight="1" x14ac:dyDescent="0.15">
      <c r="D922" s="10"/>
      <c r="E922" s="10"/>
      <c r="F922" s="10"/>
    </row>
    <row r="923" spans="4:6" ht="15.75" customHeight="1" x14ac:dyDescent="0.15">
      <c r="D923" s="10"/>
      <c r="E923" s="10"/>
      <c r="F923" s="10"/>
    </row>
    <row r="924" spans="4:6" ht="15.75" customHeight="1" x14ac:dyDescent="0.15">
      <c r="D924" s="10"/>
      <c r="E924" s="10"/>
      <c r="F924" s="10"/>
    </row>
    <row r="925" spans="4:6" ht="15.75" customHeight="1" x14ac:dyDescent="0.15">
      <c r="D925" s="10"/>
      <c r="E925" s="10"/>
      <c r="F925" s="10"/>
    </row>
    <row r="926" spans="4:6" ht="15.75" customHeight="1" x14ac:dyDescent="0.15">
      <c r="D926" s="10"/>
      <c r="E926" s="10"/>
      <c r="F926" s="10"/>
    </row>
    <row r="927" spans="4:6" ht="15.75" customHeight="1" x14ac:dyDescent="0.15">
      <c r="D927" s="10"/>
      <c r="E927" s="10"/>
      <c r="F927" s="10"/>
    </row>
    <row r="928" spans="4:6" ht="15.75" customHeight="1" x14ac:dyDescent="0.15">
      <c r="D928" s="10"/>
      <c r="E928" s="10"/>
      <c r="F928" s="10"/>
    </row>
    <row r="929" spans="4:6" ht="15.75" customHeight="1" x14ac:dyDescent="0.15">
      <c r="D929" s="10"/>
      <c r="E929" s="10"/>
      <c r="F929" s="10"/>
    </row>
    <row r="930" spans="4:6" ht="15.75" customHeight="1" x14ac:dyDescent="0.15">
      <c r="D930" s="10"/>
      <c r="E930" s="10"/>
      <c r="F930" s="10"/>
    </row>
    <row r="931" spans="4:6" ht="15.75" customHeight="1" x14ac:dyDescent="0.15">
      <c r="D931" s="10"/>
      <c r="E931" s="10"/>
      <c r="F931" s="10"/>
    </row>
    <row r="932" spans="4:6" ht="15.75" customHeight="1" x14ac:dyDescent="0.15">
      <c r="D932" s="10"/>
      <c r="E932" s="10"/>
      <c r="F932" s="10"/>
    </row>
    <row r="933" spans="4:6" ht="15.75" customHeight="1" x14ac:dyDescent="0.15">
      <c r="D933" s="10"/>
      <c r="E933" s="10"/>
      <c r="F933" s="10"/>
    </row>
    <row r="934" spans="4:6" ht="15.75" customHeight="1" x14ac:dyDescent="0.15">
      <c r="D934" s="10"/>
      <c r="E934" s="10"/>
      <c r="F934" s="10"/>
    </row>
    <row r="935" spans="4:6" ht="15.75" customHeight="1" x14ac:dyDescent="0.15">
      <c r="D935" s="10"/>
      <c r="E935" s="10"/>
      <c r="F935" s="10"/>
    </row>
    <row r="936" spans="4:6" ht="15.75" customHeight="1" x14ac:dyDescent="0.15">
      <c r="D936" s="10"/>
      <c r="E936" s="10"/>
      <c r="F936" s="10"/>
    </row>
    <row r="937" spans="4:6" ht="15.75" customHeight="1" x14ac:dyDescent="0.15">
      <c r="D937" s="10"/>
      <c r="E937" s="10"/>
      <c r="F937" s="10"/>
    </row>
    <row r="938" spans="4:6" ht="15.75" customHeight="1" x14ac:dyDescent="0.15">
      <c r="D938" s="10"/>
      <c r="E938" s="10"/>
      <c r="F938" s="10"/>
    </row>
    <row r="939" spans="4:6" ht="15.75" customHeight="1" x14ac:dyDescent="0.15">
      <c r="D939" s="10"/>
      <c r="E939" s="10"/>
      <c r="F939" s="10"/>
    </row>
    <row r="940" spans="4:6" ht="15.75" customHeight="1" x14ac:dyDescent="0.15">
      <c r="D940" s="10"/>
      <c r="E940" s="10"/>
      <c r="F940" s="10"/>
    </row>
    <row r="941" spans="4:6" ht="15.75" customHeight="1" x14ac:dyDescent="0.15">
      <c r="D941" s="10"/>
      <c r="E941" s="10"/>
      <c r="F941" s="10"/>
    </row>
    <row r="942" spans="4:6" ht="15.75" customHeight="1" x14ac:dyDescent="0.15">
      <c r="D942" s="10"/>
      <c r="E942" s="10"/>
      <c r="F942" s="10"/>
    </row>
    <row r="943" spans="4:6" ht="15.75" customHeight="1" x14ac:dyDescent="0.15">
      <c r="D943" s="10"/>
      <c r="E943" s="10"/>
      <c r="F943" s="10"/>
    </row>
    <row r="944" spans="4:6" ht="15.75" customHeight="1" x14ac:dyDescent="0.15">
      <c r="D944" s="10"/>
      <c r="E944" s="10"/>
      <c r="F944" s="10"/>
    </row>
    <row r="945" spans="4:6" ht="15.75" customHeight="1" x14ac:dyDescent="0.15">
      <c r="D945" s="10"/>
      <c r="E945" s="10"/>
      <c r="F945" s="10"/>
    </row>
    <row r="946" spans="4:6" ht="15.75" customHeight="1" x14ac:dyDescent="0.15">
      <c r="D946" s="10"/>
      <c r="E946" s="10"/>
      <c r="F946" s="10"/>
    </row>
    <row r="947" spans="4:6" ht="15.75" customHeight="1" x14ac:dyDescent="0.15">
      <c r="D947" s="10"/>
      <c r="E947" s="10"/>
      <c r="F947" s="10"/>
    </row>
    <row r="948" spans="4:6" ht="15.75" customHeight="1" x14ac:dyDescent="0.15">
      <c r="D948" s="10"/>
      <c r="E948" s="10"/>
      <c r="F948" s="10"/>
    </row>
    <row r="949" spans="4:6" ht="15.75" customHeight="1" x14ac:dyDescent="0.15">
      <c r="D949" s="10"/>
      <c r="E949" s="10"/>
      <c r="F949" s="10"/>
    </row>
    <row r="950" spans="4:6" ht="15.75" customHeight="1" x14ac:dyDescent="0.15">
      <c r="D950" s="10"/>
      <c r="E950" s="10"/>
      <c r="F950" s="10"/>
    </row>
    <row r="951" spans="4:6" ht="15.75" customHeight="1" x14ac:dyDescent="0.15">
      <c r="D951" s="10"/>
      <c r="E951" s="10"/>
      <c r="F951" s="10"/>
    </row>
    <row r="952" spans="4:6" ht="15.75" customHeight="1" x14ac:dyDescent="0.15">
      <c r="D952" s="10"/>
      <c r="E952" s="10"/>
      <c r="F952" s="10"/>
    </row>
    <row r="953" spans="4:6" ht="15.75" customHeight="1" x14ac:dyDescent="0.15">
      <c r="D953" s="10"/>
      <c r="E953" s="10"/>
      <c r="F953" s="10"/>
    </row>
    <row r="954" spans="4:6" ht="15.75" customHeight="1" x14ac:dyDescent="0.15">
      <c r="D954" s="10"/>
      <c r="E954" s="10"/>
      <c r="F954" s="10"/>
    </row>
    <row r="955" spans="4:6" ht="15.75" customHeight="1" x14ac:dyDescent="0.15">
      <c r="D955" s="10"/>
      <c r="E955" s="10"/>
      <c r="F955" s="10"/>
    </row>
    <row r="956" spans="4:6" ht="15.75" customHeight="1" x14ac:dyDescent="0.15">
      <c r="D956" s="10"/>
      <c r="E956" s="10"/>
      <c r="F956" s="10"/>
    </row>
    <row r="957" spans="4:6" ht="15.75" customHeight="1" x14ac:dyDescent="0.15">
      <c r="D957" s="10"/>
      <c r="E957" s="10"/>
      <c r="F957" s="10"/>
    </row>
    <row r="958" spans="4:6" ht="15.75" customHeight="1" x14ac:dyDescent="0.15">
      <c r="D958" s="10"/>
      <c r="E958" s="10"/>
      <c r="F958" s="10"/>
    </row>
    <row r="959" spans="4:6" ht="15.75" customHeight="1" x14ac:dyDescent="0.15">
      <c r="D959" s="10"/>
      <c r="E959" s="10"/>
      <c r="F959" s="10"/>
    </row>
    <row r="960" spans="4:6" ht="15.75" customHeight="1" x14ac:dyDescent="0.15">
      <c r="D960" s="10"/>
      <c r="E960" s="10"/>
      <c r="F960" s="10"/>
    </row>
    <row r="961" spans="4:6" ht="15.75" customHeight="1" x14ac:dyDescent="0.15">
      <c r="D961" s="10"/>
      <c r="E961" s="10"/>
      <c r="F961" s="10"/>
    </row>
    <row r="962" spans="4:6" ht="15.75" customHeight="1" x14ac:dyDescent="0.15">
      <c r="D962" s="10"/>
      <c r="E962" s="10"/>
      <c r="F962" s="10"/>
    </row>
    <row r="963" spans="4:6" ht="15.75" customHeight="1" x14ac:dyDescent="0.15">
      <c r="D963" s="10"/>
      <c r="E963" s="10"/>
      <c r="F963" s="10"/>
    </row>
    <row r="964" spans="4:6" ht="15.75" customHeight="1" x14ac:dyDescent="0.15">
      <c r="D964" s="10"/>
      <c r="E964" s="10"/>
      <c r="F964" s="10"/>
    </row>
    <row r="965" spans="4:6" ht="15.75" customHeight="1" x14ac:dyDescent="0.15">
      <c r="D965" s="10"/>
      <c r="E965" s="10"/>
      <c r="F965" s="10"/>
    </row>
    <row r="966" spans="4:6" ht="15.75" customHeight="1" x14ac:dyDescent="0.15">
      <c r="D966" s="10"/>
      <c r="E966" s="10"/>
      <c r="F966" s="10"/>
    </row>
    <row r="967" spans="4:6" ht="15.75" customHeight="1" x14ac:dyDescent="0.15">
      <c r="D967" s="10"/>
      <c r="E967" s="10"/>
      <c r="F967" s="10"/>
    </row>
    <row r="968" spans="4:6" ht="15.75" customHeight="1" x14ac:dyDescent="0.15">
      <c r="D968" s="10"/>
      <c r="E968" s="10"/>
      <c r="F968" s="10"/>
    </row>
    <row r="969" spans="4:6" ht="15.75" customHeight="1" x14ac:dyDescent="0.15">
      <c r="D969" s="10"/>
      <c r="E969" s="10"/>
      <c r="F969" s="10"/>
    </row>
    <row r="970" spans="4:6" ht="15.75" customHeight="1" x14ac:dyDescent="0.15">
      <c r="D970" s="10"/>
      <c r="E970" s="10"/>
      <c r="F970" s="10"/>
    </row>
    <row r="971" spans="4:6" ht="15.75" customHeight="1" x14ac:dyDescent="0.15">
      <c r="D971" s="10"/>
      <c r="E971" s="10"/>
      <c r="F971" s="10"/>
    </row>
    <row r="972" spans="4:6" ht="15.75" customHeight="1" x14ac:dyDescent="0.15">
      <c r="D972" s="10"/>
      <c r="E972" s="10"/>
      <c r="F972" s="10"/>
    </row>
    <row r="973" spans="4:6" ht="15.75" customHeight="1" x14ac:dyDescent="0.15">
      <c r="D973" s="10"/>
      <c r="E973" s="10"/>
      <c r="F973" s="10"/>
    </row>
    <row r="974" spans="4:6" ht="15.75" customHeight="1" x14ac:dyDescent="0.15">
      <c r="D974" s="10"/>
      <c r="E974" s="10"/>
      <c r="F974" s="10"/>
    </row>
    <row r="975" spans="4:6" ht="15.75" customHeight="1" x14ac:dyDescent="0.15">
      <c r="D975" s="10"/>
      <c r="E975" s="10"/>
      <c r="F975" s="10"/>
    </row>
    <row r="976" spans="4:6" ht="15.75" customHeight="1" x14ac:dyDescent="0.15">
      <c r="D976" s="10"/>
      <c r="E976" s="10"/>
      <c r="F976" s="10"/>
    </row>
    <row r="977" spans="4:6" ht="15.75" customHeight="1" x14ac:dyDescent="0.15">
      <c r="D977" s="10"/>
      <c r="E977" s="10"/>
      <c r="F977" s="10"/>
    </row>
    <row r="978" spans="4:6" ht="15.75" customHeight="1" x14ac:dyDescent="0.15">
      <c r="D978" s="10"/>
      <c r="E978" s="10"/>
      <c r="F978" s="10"/>
    </row>
    <row r="979" spans="4:6" ht="15.75" customHeight="1" x14ac:dyDescent="0.15">
      <c r="D979" s="10"/>
      <c r="E979" s="10"/>
      <c r="F979" s="10"/>
    </row>
    <row r="980" spans="4:6" ht="15.75" customHeight="1" x14ac:dyDescent="0.15">
      <c r="D980" s="10"/>
      <c r="E980" s="10"/>
      <c r="F980" s="10"/>
    </row>
    <row r="981" spans="4:6" ht="15.75" customHeight="1" x14ac:dyDescent="0.15">
      <c r="D981" s="10"/>
      <c r="E981" s="10"/>
      <c r="F981" s="10"/>
    </row>
    <row r="982" spans="4:6" ht="15.75" customHeight="1" x14ac:dyDescent="0.15">
      <c r="D982" s="10"/>
      <c r="E982" s="10"/>
      <c r="F982" s="10"/>
    </row>
    <row r="983" spans="4:6" ht="15.75" customHeight="1" x14ac:dyDescent="0.15">
      <c r="D983" s="10"/>
      <c r="E983" s="10"/>
      <c r="F983" s="10"/>
    </row>
    <row r="984" spans="4:6" ht="15.75" customHeight="1" x14ac:dyDescent="0.15">
      <c r="D984" s="10"/>
      <c r="E984" s="10"/>
      <c r="F984" s="10"/>
    </row>
    <row r="985" spans="4:6" ht="15.75" customHeight="1" x14ac:dyDescent="0.15">
      <c r="D985" s="10"/>
      <c r="E985" s="10"/>
      <c r="F985" s="10"/>
    </row>
    <row r="986" spans="4:6" ht="15.75" customHeight="1" x14ac:dyDescent="0.15">
      <c r="D986" s="10"/>
      <c r="E986" s="10"/>
      <c r="F986" s="10"/>
    </row>
    <row r="987" spans="4:6" ht="15.75" customHeight="1" x14ac:dyDescent="0.15">
      <c r="D987" s="10"/>
      <c r="E987" s="10"/>
      <c r="F987" s="10"/>
    </row>
    <row r="988" spans="4:6" ht="15.75" customHeight="1" x14ac:dyDescent="0.15">
      <c r="D988" s="10"/>
      <c r="E988" s="10"/>
      <c r="F988" s="10"/>
    </row>
    <row r="989" spans="4:6" ht="15.75" customHeight="1" x14ac:dyDescent="0.15">
      <c r="D989" s="10"/>
      <c r="E989" s="10"/>
      <c r="F989" s="10"/>
    </row>
    <row r="990" spans="4:6" ht="15.75" customHeight="1" x14ac:dyDescent="0.15">
      <c r="D990" s="10"/>
      <c r="E990" s="10"/>
      <c r="F990" s="10"/>
    </row>
    <row r="991" spans="4:6" ht="15.75" customHeight="1" x14ac:dyDescent="0.15">
      <c r="D991" s="10"/>
      <c r="E991" s="10"/>
      <c r="F991" s="10"/>
    </row>
    <row r="992" spans="4:6" ht="15.75" customHeight="1" x14ac:dyDescent="0.15">
      <c r="D992" s="10"/>
      <c r="E992" s="10"/>
      <c r="F992" s="10"/>
    </row>
    <row r="993" spans="4:6" ht="15.75" customHeight="1" x14ac:dyDescent="0.15">
      <c r="D993" s="10"/>
      <c r="E993" s="10"/>
      <c r="F993" s="10"/>
    </row>
    <row r="994" spans="4:6" ht="15.75" customHeight="1" x14ac:dyDescent="0.15">
      <c r="D994" s="10"/>
      <c r="E994" s="10"/>
      <c r="F994" s="10"/>
    </row>
    <row r="995" spans="4:6" ht="15.75" customHeight="1" x14ac:dyDescent="0.15">
      <c r="D995" s="10"/>
      <c r="E995" s="10"/>
      <c r="F995" s="10"/>
    </row>
    <row r="996" spans="4:6" ht="15.75" customHeight="1" x14ac:dyDescent="0.15">
      <c r="D996" s="10"/>
      <c r="E996" s="10"/>
      <c r="F996" s="10"/>
    </row>
    <row r="997" spans="4:6" ht="15.75" customHeight="1" x14ac:dyDescent="0.15">
      <c r="D997" s="10"/>
      <c r="E997" s="10"/>
      <c r="F997" s="10"/>
    </row>
    <row r="998" spans="4:6" ht="15.75" customHeight="1" x14ac:dyDescent="0.15">
      <c r="D998" s="10"/>
      <c r="E998" s="10"/>
      <c r="F998" s="10"/>
    </row>
    <row r="999" spans="4:6" ht="15.75" customHeight="1" x14ac:dyDescent="0.15">
      <c r="D999" s="10"/>
      <c r="E999" s="10"/>
      <c r="F999" s="10"/>
    </row>
    <row r="1000" spans="4:6" ht="15.75" customHeight="1" x14ac:dyDescent="0.15">
      <c r="D1000" s="10"/>
      <c r="E1000" s="10"/>
      <c r="F1000" s="10"/>
    </row>
    <row r="1001" spans="4:6" ht="15.75" customHeight="1" x14ac:dyDescent="0.15">
      <c r="D1001" s="10"/>
      <c r="E1001" s="10"/>
      <c r="F1001" s="10"/>
    </row>
  </sheetData>
  <autoFilter ref="A1:H1001" xr:uid="{00000000-0001-0000-0000-000000000000}"/>
  <customSheetViews>
    <customSheetView guid="{516DF7E8-17B5-47EA-93F6-52A184813808}" filter="1" showAutoFilter="1">
      <pageMargins left="0.7" right="0.7" top="0.75" bottom="0.75" header="0.3" footer="0.3"/>
      <autoFilter ref="A1:H72" xr:uid="{EA0F9354-B60C-DB41-837F-E14E4563BA54}"/>
      <extLst>
        <ext uri="GoogleSheetsCustomDataVersion1">
          <go:sheetsCustomData xmlns:go="http://customooxmlschemas.google.com/" filterViewId="1412610315"/>
        </ext>
      </extLst>
    </customSheetView>
  </customSheetView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1001"/>
  <sheetViews>
    <sheetView workbookViewId="0">
      <pane xSplit="1" ySplit="1" topLeftCell="B3" activePane="bottomRight" state="frozen"/>
      <selection pane="topRight" activeCell="B1" sqref="B1"/>
      <selection pane="bottomLeft" activeCell="A2" sqref="A2"/>
      <selection pane="bottomRight" activeCell="C1" sqref="C1"/>
    </sheetView>
  </sheetViews>
  <sheetFormatPr baseColWidth="10" defaultColWidth="12.5" defaultRowHeight="15" customHeight="1" x14ac:dyDescent="0.15"/>
  <cols>
    <col min="1" max="1" width="35.33203125" customWidth="1"/>
    <col min="2" max="2" width="12.83203125" customWidth="1"/>
    <col min="3" max="3" width="21.1640625" customWidth="1"/>
  </cols>
  <sheetData>
    <row r="1" spans="1:18" ht="144" customHeight="1" x14ac:dyDescent="0.2">
      <c r="A1" s="1" t="s">
        <v>0</v>
      </c>
      <c r="B1" s="1" t="s">
        <v>1</v>
      </c>
      <c r="C1" s="84" t="s">
        <v>419</v>
      </c>
      <c r="D1" s="2" t="s">
        <v>206</v>
      </c>
      <c r="E1" s="2" t="s">
        <v>1321</v>
      </c>
      <c r="F1" s="2" t="s">
        <v>207</v>
      </c>
      <c r="G1" s="2" t="s">
        <v>1317</v>
      </c>
      <c r="H1" s="2" t="s">
        <v>1318</v>
      </c>
      <c r="I1" s="3"/>
      <c r="J1" s="3"/>
      <c r="K1" s="3"/>
      <c r="L1" s="3"/>
      <c r="M1" s="3"/>
      <c r="N1" s="3"/>
      <c r="O1" s="3"/>
      <c r="P1" s="3"/>
      <c r="Q1" s="3"/>
      <c r="R1" s="3"/>
    </row>
    <row r="2" spans="1:18" ht="15.75" customHeight="1" x14ac:dyDescent="0.2">
      <c r="A2" s="4" t="s">
        <v>43</v>
      </c>
      <c r="B2" s="4" t="s">
        <v>3</v>
      </c>
      <c r="C2" s="4" t="s">
        <v>4</v>
      </c>
      <c r="D2" s="11" t="s">
        <v>6</v>
      </c>
      <c r="E2" s="11" t="s">
        <v>6</v>
      </c>
      <c r="F2" s="11" t="s">
        <v>6</v>
      </c>
      <c r="G2" s="93" t="s">
        <v>1232</v>
      </c>
      <c r="H2" s="93" t="s">
        <v>1231</v>
      </c>
      <c r="I2" s="3"/>
      <c r="J2" s="3"/>
      <c r="K2" s="3"/>
      <c r="L2" s="3"/>
      <c r="M2" s="3"/>
      <c r="N2" s="3"/>
      <c r="O2" s="3"/>
      <c r="P2" s="3"/>
      <c r="Q2" s="3"/>
      <c r="R2" s="3"/>
    </row>
    <row r="3" spans="1:18" ht="15.75" customHeight="1" x14ac:dyDescent="0.2">
      <c r="A3" s="4" t="s">
        <v>44</v>
      </c>
      <c r="B3" s="4" t="s">
        <v>3</v>
      </c>
      <c r="C3" s="4" t="s">
        <v>6</v>
      </c>
      <c r="D3" s="11" t="s">
        <v>6</v>
      </c>
      <c r="E3" s="11" t="s">
        <v>6</v>
      </c>
      <c r="F3" s="11" t="s">
        <v>6</v>
      </c>
      <c r="G3" s="93" t="s">
        <v>1284</v>
      </c>
      <c r="H3" s="93" t="s">
        <v>1283</v>
      </c>
      <c r="I3" s="3"/>
      <c r="J3" s="3"/>
      <c r="K3" s="3"/>
      <c r="L3" s="3"/>
      <c r="M3" s="3"/>
      <c r="N3" s="3"/>
      <c r="O3" s="3"/>
      <c r="P3" s="3"/>
      <c r="Q3" s="3"/>
      <c r="R3" s="3"/>
    </row>
    <row r="4" spans="1:18" ht="15.75" customHeight="1" x14ac:dyDescent="0.2">
      <c r="A4" s="4" t="s">
        <v>45</v>
      </c>
      <c r="B4" s="4" t="s">
        <v>3</v>
      </c>
      <c r="C4" s="4" t="s">
        <v>6</v>
      </c>
      <c r="D4" s="11" t="s">
        <v>6</v>
      </c>
      <c r="E4" s="11" t="s">
        <v>6</v>
      </c>
      <c r="F4" s="11" t="s">
        <v>6</v>
      </c>
      <c r="G4" s="93" t="s">
        <v>1236</v>
      </c>
      <c r="H4" s="93" t="s">
        <v>1235</v>
      </c>
      <c r="I4" s="3"/>
      <c r="J4" s="3"/>
      <c r="K4" s="3"/>
      <c r="L4" s="3"/>
      <c r="M4" s="3"/>
      <c r="N4" s="3"/>
      <c r="O4" s="3"/>
      <c r="P4" s="3"/>
      <c r="Q4" s="3"/>
      <c r="R4" s="3"/>
    </row>
    <row r="5" spans="1:18" ht="15.75" customHeight="1" x14ac:dyDescent="0.2">
      <c r="A5" s="4" t="s">
        <v>46</v>
      </c>
      <c r="B5" s="4" t="s">
        <v>3</v>
      </c>
      <c r="C5" s="4" t="s">
        <v>6</v>
      </c>
      <c r="D5" s="11" t="s">
        <v>6</v>
      </c>
      <c r="E5" s="11" t="s">
        <v>6</v>
      </c>
      <c r="F5" s="11" t="s">
        <v>6</v>
      </c>
      <c r="G5" s="93" t="s">
        <v>1288</v>
      </c>
      <c r="H5" s="93" t="s">
        <v>1287</v>
      </c>
      <c r="I5" s="3"/>
      <c r="J5" s="3"/>
      <c r="K5" s="3"/>
      <c r="L5" s="3"/>
      <c r="M5" s="3"/>
      <c r="N5" s="3"/>
      <c r="O5" s="3"/>
      <c r="P5" s="3"/>
      <c r="Q5" s="3"/>
      <c r="R5" s="3"/>
    </row>
    <row r="6" spans="1:18" ht="15.75" customHeight="1" x14ac:dyDescent="0.2">
      <c r="A6" s="4" t="s">
        <v>47</v>
      </c>
      <c r="B6" s="4" t="s">
        <v>3</v>
      </c>
      <c r="C6" s="4" t="s">
        <v>4</v>
      </c>
      <c r="D6" s="11" t="s">
        <v>6</v>
      </c>
      <c r="E6" s="11" t="s">
        <v>4</v>
      </c>
      <c r="F6" s="11" t="s">
        <v>4</v>
      </c>
      <c r="G6" s="93" t="s">
        <v>1240</v>
      </c>
      <c r="H6" s="93" t="s">
        <v>1239</v>
      </c>
      <c r="I6" s="3"/>
      <c r="J6" s="3"/>
      <c r="K6" s="3"/>
      <c r="L6" s="3"/>
      <c r="M6" s="3"/>
      <c r="N6" s="3"/>
      <c r="O6" s="3"/>
      <c r="P6" s="3"/>
      <c r="Q6" s="3"/>
      <c r="R6" s="3"/>
    </row>
    <row r="7" spans="1:18" ht="15.75" customHeight="1" x14ac:dyDescent="0.2">
      <c r="A7" s="4" t="s">
        <v>48</v>
      </c>
      <c r="B7" s="4" t="s">
        <v>3</v>
      </c>
      <c r="C7" s="4" t="s">
        <v>6</v>
      </c>
      <c r="D7" s="11" t="s">
        <v>6</v>
      </c>
      <c r="E7" s="11" t="s">
        <v>6</v>
      </c>
      <c r="F7" s="11" t="s">
        <v>6</v>
      </c>
      <c r="G7" s="93" t="s">
        <v>1292</v>
      </c>
      <c r="H7" s="93" t="s">
        <v>1291</v>
      </c>
      <c r="I7" s="3"/>
      <c r="J7" s="3"/>
      <c r="K7" s="3"/>
      <c r="L7" s="3"/>
      <c r="M7" s="3"/>
      <c r="N7" s="3"/>
      <c r="O7" s="3"/>
      <c r="P7" s="3"/>
      <c r="Q7" s="3"/>
      <c r="R7" s="3"/>
    </row>
    <row r="8" spans="1:18" ht="15.75" customHeight="1" x14ac:dyDescent="0.2">
      <c r="A8" s="4" t="s">
        <v>49</v>
      </c>
      <c r="B8" s="4" t="s">
        <v>3</v>
      </c>
      <c r="C8" s="4" t="s">
        <v>6</v>
      </c>
      <c r="D8" s="11" t="s">
        <v>6</v>
      </c>
      <c r="E8" s="11" t="s">
        <v>6</v>
      </c>
      <c r="F8" s="11" t="s">
        <v>6</v>
      </c>
      <c r="G8" s="93" t="s">
        <v>1250</v>
      </c>
      <c r="H8" s="93" t="s">
        <v>1249</v>
      </c>
      <c r="I8" s="3"/>
      <c r="J8" s="3"/>
      <c r="K8" s="3"/>
      <c r="L8" s="3"/>
      <c r="M8" s="3"/>
      <c r="N8" s="3"/>
      <c r="O8" s="3"/>
      <c r="P8" s="3"/>
      <c r="Q8" s="3"/>
      <c r="R8" s="3"/>
    </row>
    <row r="9" spans="1:18" ht="15.75" customHeight="1" x14ac:dyDescent="0.2">
      <c r="A9" s="4" t="s">
        <v>50</v>
      </c>
      <c r="B9" s="4" t="s">
        <v>3</v>
      </c>
      <c r="C9" s="4" t="s">
        <v>4</v>
      </c>
      <c r="D9" s="11" t="s">
        <v>6</v>
      </c>
      <c r="E9" s="11" t="s">
        <v>4</v>
      </c>
      <c r="F9" s="11" t="s">
        <v>4</v>
      </c>
      <c r="G9" s="93" t="s">
        <v>1290</v>
      </c>
      <c r="H9" s="93" t="s">
        <v>1289</v>
      </c>
      <c r="I9" s="3"/>
      <c r="J9" s="3"/>
      <c r="K9" s="3"/>
      <c r="L9" s="3"/>
      <c r="M9" s="3"/>
      <c r="N9" s="3"/>
      <c r="O9" s="3"/>
      <c r="P9" s="3"/>
      <c r="Q9" s="3"/>
      <c r="R9" s="3"/>
    </row>
    <row r="10" spans="1:18" ht="15.75" customHeight="1" x14ac:dyDescent="0.2">
      <c r="A10" s="4" t="s">
        <v>51</v>
      </c>
      <c r="B10" s="4" t="s">
        <v>3</v>
      </c>
      <c r="C10" s="4" t="s">
        <v>6</v>
      </c>
      <c r="D10" s="11" t="s">
        <v>6</v>
      </c>
      <c r="E10" s="11" t="s">
        <v>6</v>
      </c>
      <c r="F10" s="11" t="s">
        <v>6</v>
      </c>
      <c r="G10" s="93" t="s">
        <v>1244</v>
      </c>
      <c r="H10" s="93" t="s">
        <v>1243</v>
      </c>
      <c r="I10" s="3"/>
      <c r="J10" s="3"/>
      <c r="K10" s="3"/>
      <c r="L10" s="3"/>
      <c r="M10" s="3"/>
      <c r="N10" s="3"/>
      <c r="O10" s="3"/>
      <c r="P10" s="3"/>
      <c r="Q10" s="3"/>
      <c r="R10" s="3"/>
    </row>
    <row r="11" spans="1:18" ht="15.75" customHeight="1" x14ac:dyDescent="0.2">
      <c r="A11" s="4" t="s">
        <v>52</v>
      </c>
      <c r="B11" s="4" t="s">
        <v>3</v>
      </c>
      <c r="C11" s="4" t="s">
        <v>4</v>
      </c>
      <c r="D11" s="11" t="s">
        <v>6</v>
      </c>
      <c r="E11" s="11" t="s">
        <v>4</v>
      </c>
      <c r="F11" s="11" t="s">
        <v>6</v>
      </c>
      <c r="G11" s="93" t="s">
        <v>1294</v>
      </c>
      <c r="H11" s="93" t="s">
        <v>1293</v>
      </c>
      <c r="I11" s="3"/>
      <c r="J11" s="3"/>
      <c r="K11" s="3"/>
      <c r="L11" s="3"/>
      <c r="M11" s="3"/>
      <c r="N11" s="3"/>
      <c r="O11" s="3"/>
      <c r="P11" s="3"/>
      <c r="Q11" s="3"/>
      <c r="R11" s="3"/>
    </row>
    <row r="12" spans="1:18" ht="15.75" customHeight="1" x14ac:dyDescent="0.2">
      <c r="A12" s="4" t="s">
        <v>53</v>
      </c>
      <c r="B12" s="4" t="s">
        <v>3</v>
      </c>
      <c r="C12" s="4" t="s">
        <v>6</v>
      </c>
      <c r="D12" s="11" t="s">
        <v>6</v>
      </c>
      <c r="E12" s="11" t="s">
        <v>6</v>
      </c>
      <c r="F12" s="11" t="s">
        <v>6</v>
      </c>
      <c r="G12" s="93" t="s">
        <v>1262</v>
      </c>
      <c r="H12" s="93" t="s">
        <v>1261</v>
      </c>
      <c r="I12" s="3"/>
      <c r="J12" s="3"/>
      <c r="K12" s="3"/>
      <c r="L12" s="3"/>
      <c r="M12" s="3"/>
      <c r="N12" s="3"/>
      <c r="O12" s="3"/>
      <c r="P12" s="3"/>
      <c r="Q12" s="3"/>
      <c r="R12" s="3"/>
    </row>
    <row r="13" spans="1:18" ht="15.75" customHeight="1" x14ac:dyDescent="0.2">
      <c r="A13" s="4" t="s">
        <v>54</v>
      </c>
      <c r="B13" s="4" t="s">
        <v>3</v>
      </c>
      <c r="C13" s="4" t="s">
        <v>4</v>
      </c>
      <c r="D13" s="11" t="s">
        <v>6</v>
      </c>
      <c r="E13" s="11" t="s">
        <v>6</v>
      </c>
      <c r="F13" s="11" t="s">
        <v>6</v>
      </c>
      <c r="G13" s="93" t="s">
        <v>1296</v>
      </c>
      <c r="H13" s="93" t="s">
        <v>1295</v>
      </c>
      <c r="I13" s="3"/>
      <c r="J13" s="3"/>
      <c r="K13" s="3"/>
      <c r="L13" s="3"/>
      <c r="M13" s="3"/>
      <c r="N13" s="3"/>
      <c r="O13" s="3"/>
      <c r="P13" s="3"/>
      <c r="Q13" s="3"/>
      <c r="R13" s="3"/>
    </row>
    <row r="14" spans="1:18" ht="15.75" customHeight="1" x14ac:dyDescent="0.2">
      <c r="A14" s="4" t="s">
        <v>55</v>
      </c>
      <c r="B14" s="4" t="s">
        <v>3</v>
      </c>
      <c r="C14" s="4" t="s">
        <v>4</v>
      </c>
      <c r="D14" s="11" t="s">
        <v>6</v>
      </c>
      <c r="E14" s="11" t="s">
        <v>6</v>
      </c>
      <c r="F14" s="11" t="s">
        <v>4</v>
      </c>
      <c r="G14" s="93" t="s">
        <v>1226</v>
      </c>
      <c r="H14" s="93" t="s">
        <v>1225</v>
      </c>
      <c r="I14" s="3"/>
      <c r="J14" s="3"/>
      <c r="K14" s="3"/>
      <c r="L14" s="3"/>
      <c r="M14" s="3"/>
      <c r="N14" s="3"/>
      <c r="O14" s="3"/>
      <c r="P14" s="3"/>
      <c r="Q14" s="3"/>
      <c r="R14" s="3"/>
    </row>
    <row r="15" spans="1:18" ht="15.75" customHeight="1" x14ac:dyDescent="0.2">
      <c r="A15" s="4" t="s">
        <v>56</v>
      </c>
      <c r="B15" s="4" t="s">
        <v>3</v>
      </c>
      <c r="C15" s="4" t="s">
        <v>6</v>
      </c>
      <c r="D15" s="11" t="s">
        <v>6</v>
      </c>
      <c r="E15" s="11" t="s">
        <v>6</v>
      </c>
      <c r="F15" s="11" t="s">
        <v>6</v>
      </c>
      <c r="G15" s="93" t="s">
        <v>1274</v>
      </c>
      <c r="H15" s="93" t="s">
        <v>1273</v>
      </c>
      <c r="I15" s="3"/>
      <c r="J15" s="3"/>
      <c r="K15" s="3"/>
      <c r="L15" s="3"/>
      <c r="M15" s="3"/>
      <c r="N15" s="3"/>
      <c r="O15" s="3"/>
      <c r="P15" s="3"/>
      <c r="Q15" s="3"/>
      <c r="R15" s="3"/>
    </row>
    <row r="16" spans="1:18" ht="15.75" customHeight="1" x14ac:dyDescent="0.2">
      <c r="A16" s="4" t="s">
        <v>57</v>
      </c>
      <c r="B16" s="4" t="s">
        <v>3</v>
      </c>
      <c r="C16" s="4" t="s">
        <v>4</v>
      </c>
      <c r="D16" s="11" t="s">
        <v>6</v>
      </c>
      <c r="E16" s="11" t="s">
        <v>6</v>
      </c>
      <c r="F16" s="11" t="s">
        <v>6</v>
      </c>
      <c r="G16" s="93" t="s">
        <v>1234</v>
      </c>
      <c r="H16" s="93" t="s">
        <v>1233</v>
      </c>
      <c r="I16" s="3"/>
      <c r="J16" s="3"/>
      <c r="K16" s="3"/>
      <c r="L16" s="3"/>
      <c r="M16" s="3"/>
      <c r="N16" s="3"/>
      <c r="O16" s="3"/>
      <c r="P16" s="3"/>
      <c r="Q16" s="3"/>
      <c r="R16" s="3"/>
    </row>
    <row r="17" spans="1:18" ht="15.75" customHeight="1" x14ac:dyDescent="0.2">
      <c r="A17" s="4" t="s">
        <v>58</v>
      </c>
      <c r="B17" s="4" t="s">
        <v>3</v>
      </c>
      <c r="C17" s="4" t="s">
        <v>4</v>
      </c>
      <c r="D17" s="11" t="s">
        <v>6</v>
      </c>
      <c r="E17" s="11" t="s">
        <v>6</v>
      </c>
      <c r="F17" s="11" t="s">
        <v>6</v>
      </c>
      <c r="G17" s="93" t="s">
        <v>1228</v>
      </c>
      <c r="H17" s="93" t="s">
        <v>1227</v>
      </c>
      <c r="I17" s="3"/>
      <c r="J17" s="3"/>
      <c r="K17" s="3"/>
      <c r="L17" s="3"/>
      <c r="M17" s="3"/>
      <c r="N17" s="3"/>
      <c r="O17" s="3"/>
      <c r="P17" s="3"/>
      <c r="Q17" s="3"/>
      <c r="R17" s="3"/>
    </row>
    <row r="18" spans="1:18" ht="15.75" customHeight="1" x14ac:dyDescent="0.2">
      <c r="A18" s="4" t="s">
        <v>59</v>
      </c>
      <c r="B18" s="4" t="s">
        <v>3</v>
      </c>
      <c r="C18" s="4" t="s">
        <v>6</v>
      </c>
      <c r="D18" s="11" t="s">
        <v>6</v>
      </c>
      <c r="E18" s="11" t="s">
        <v>6</v>
      </c>
      <c r="F18" s="11" t="s">
        <v>6</v>
      </c>
      <c r="G18" s="93" t="s">
        <v>1280</v>
      </c>
      <c r="H18" s="93" t="s">
        <v>1279</v>
      </c>
      <c r="I18" s="3"/>
      <c r="J18" s="3"/>
      <c r="K18" s="3"/>
      <c r="L18" s="3"/>
      <c r="M18" s="3"/>
      <c r="N18" s="3"/>
      <c r="O18" s="3"/>
      <c r="P18" s="3"/>
      <c r="Q18" s="3"/>
      <c r="R18" s="3"/>
    </row>
    <row r="19" spans="1:18" ht="15.75" customHeight="1" x14ac:dyDescent="0.2">
      <c r="A19" s="6" t="s">
        <v>60</v>
      </c>
      <c r="B19" s="6" t="s">
        <v>3</v>
      </c>
      <c r="C19" s="6" t="s">
        <v>6</v>
      </c>
      <c r="D19" s="12" t="s">
        <v>6</v>
      </c>
      <c r="E19" s="12" t="s">
        <v>6</v>
      </c>
      <c r="F19" s="12" t="s">
        <v>6</v>
      </c>
      <c r="G19" s="93" t="s">
        <v>1304</v>
      </c>
      <c r="H19" s="93" t="s">
        <v>1303</v>
      </c>
      <c r="I19" s="3"/>
      <c r="J19" s="3"/>
      <c r="K19" s="3"/>
      <c r="L19" s="3"/>
      <c r="M19" s="3"/>
      <c r="N19" s="3"/>
      <c r="O19" s="3"/>
      <c r="P19" s="3"/>
      <c r="Q19" s="3"/>
      <c r="R19" s="3"/>
    </row>
    <row r="20" spans="1:18" ht="15.75" customHeight="1" x14ac:dyDescent="0.2">
      <c r="A20" s="8">
        <v>2491</v>
      </c>
      <c r="B20" s="8" t="s">
        <v>23</v>
      </c>
      <c r="C20" s="8" t="s">
        <v>4</v>
      </c>
      <c r="D20" s="13" t="s">
        <v>6</v>
      </c>
      <c r="E20" s="13" t="s">
        <v>4</v>
      </c>
      <c r="F20" s="13" t="s">
        <v>4</v>
      </c>
      <c r="G20" s="93" t="s">
        <v>528</v>
      </c>
      <c r="H20" s="93" t="s">
        <v>527</v>
      </c>
      <c r="I20" s="3"/>
      <c r="J20" s="3"/>
      <c r="K20" s="3"/>
      <c r="L20" s="3"/>
      <c r="M20" s="3"/>
      <c r="N20" s="3"/>
      <c r="O20" s="3"/>
      <c r="P20" s="3"/>
      <c r="Q20" s="3"/>
      <c r="R20" s="3"/>
    </row>
    <row r="21" spans="1:18" ht="15.75" customHeight="1" x14ac:dyDescent="0.2">
      <c r="A21" s="4">
        <v>4806</v>
      </c>
      <c r="B21" s="4" t="s">
        <v>23</v>
      </c>
      <c r="C21" s="4" t="s">
        <v>4</v>
      </c>
      <c r="D21" s="11" t="s">
        <v>4</v>
      </c>
      <c r="E21" s="11" t="s">
        <v>4</v>
      </c>
      <c r="F21" s="11" t="s">
        <v>4</v>
      </c>
      <c r="G21" s="93" t="s">
        <v>588</v>
      </c>
      <c r="H21" s="93" t="s">
        <v>587</v>
      </c>
      <c r="I21" s="3"/>
      <c r="J21" s="3"/>
      <c r="K21" s="3"/>
      <c r="L21" s="3"/>
      <c r="M21" s="3"/>
      <c r="N21" s="3"/>
      <c r="O21" s="3"/>
      <c r="P21" s="3"/>
      <c r="Q21" s="3"/>
      <c r="R21" s="3"/>
    </row>
    <row r="22" spans="1:18" ht="15.75" customHeight="1" x14ac:dyDescent="0.2">
      <c r="A22" s="4">
        <v>40</v>
      </c>
      <c r="B22" s="4" t="s">
        <v>23</v>
      </c>
      <c r="C22" s="4" t="s">
        <v>4</v>
      </c>
      <c r="D22" s="11" t="s">
        <v>6</v>
      </c>
      <c r="E22" s="11" t="s">
        <v>4</v>
      </c>
      <c r="F22" s="11" t="s">
        <v>4</v>
      </c>
      <c r="G22" s="93" t="s">
        <v>446</v>
      </c>
      <c r="H22" s="93" t="s">
        <v>445</v>
      </c>
      <c r="I22" s="3"/>
      <c r="J22" s="3"/>
      <c r="K22" s="3"/>
      <c r="L22" s="3"/>
      <c r="M22" s="3"/>
      <c r="N22" s="3"/>
      <c r="O22" s="3"/>
      <c r="P22" s="3"/>
      <c r="Q22" s="3"/>
      <c r="R22" s="3"/>
    </row>
    <row r="23" spans="1:18" ht="15.75" customHeight="1" x14ac:dyDescent="0.2">
      <c r="A23" s="4">
        <v>2568</v>
      </c>
      <c r="B23" s="4" t="s">
        <v>23</v>
      </c>
      <c r="C23" s="4" t="s">
        <v>4</v>
      </c>
      <c r="D23" s="11" t="s">
        <v>6</v>
      </c>
      <c r="E23" s="11" t="s">
        <v>4</v>
      </c>
      <c r="F23" s="11" t="s">
        <v>4</v>
      </c>
      <c r="G23" s="93" t="s">
        <v>532</v>
      </c>
      <c r="H23" s="93" t="s">
        <v>531</v>
      </c>
      <c r="I23" s="3"/>
      <c r="J23" s="3"/>
      <c r="K23" s="3"/>
      <c r="L23" s="3"/>
      <c r="M23" s="3"/>
      <c r="N23" s="3"/>
      <c r="O23" s="3"/>
      <c r="P23" s="3"/>
      <c r="Q23" s="3"/>
      <c r="R23" s="3"/>
    </row>
    <row r="24" spans="1:18" ht="15.75" customHeight="1" x14ac:dyDescent="0.2">
      <c r="A24" s="4">
        <v>317</v>
      </c>
      <c r="B24" s="4" t="s">
        <v>23</v>
      </c>
      <c r="C24" s="4" t="s">
        <v>4</v>
      </c>
      <c r="D24" s="11" t="s">
        <v>6</v>
      </c>
      <c r="E24" s="11" t="s">
        <v>4</v>
      </c>
      <c r="F24" s="11" t="s">
        <v>4</v>
      </c>
      <c r="G24" s="93" t="s">
        <v>454</v>
      </c>
      <c r="H24" s="93" t="s">
        <v>453</v>
      </c>
      <c r="I24" s="3"/>
      <c r="J24" s="3"/>
      <c r="K24" s="3"/>
      <c r="L24" s="3"/>
      <c r="M24" s="3"/>
      <c r="N24" s="3"/>
      <c r="O24" s="3"/>
      <c r="P24" s="3"/>
      <c r="Q24" s="3"/>
      <c r="R24" s="3"/>
    </row>
    <row r="25" spans="1:18" ht="15.75" customHeight="1" x14ac:dyDescent="0.2">
      <c r="A25" s="4">
        <v>2584</v>
      </c>
      <c r="B25" s="4" t="s">
        <v>23</v>
      </c>
      <c r="C25" s="4" t="s">
        <v>4</v>
      </c>
      <c r="D25" s="11" t="s">
        <v>6</v>
      </c>
      <c r="E25" s="11" t="s">
        <v>4</v>
      </c>
      <c r="F25" s="11" t="s">
        <v>4</v>
      </c>
      <c r="G25" s="93" t="s">
        <v>534</v>
      </c>
      <c r="H25" s="93" t="s">
        <v>533</v>
      </c>
      <c r="I25" s="3"/>
      <c r="J25" s="3"/>
      <c r="K25" s="3"/>
      <c r="L25" s="3"/>
      <c r="M25" s="3"/>
      <c r="N25" s="3"/>
      <c r="O25" s="3"/>
      <c r="P25" s="3"/>
      <c r="Q25" s="3"/>
      <c r="R25" s="3"/>
    </row>
    <row r="26" spans="1:18" ht="15.75" customHeight="1" x14ac:dyDescent="0.2">
      <c r="A26" s="4">
        <v>474</v>
      </c>
      <c r="B26" s="4" t="s">
        <v>23</v>
      </c>
      <c r="C26" s="4" t="s">
        <v>4</v>
      </c>
      <c r="D26" s="11" t="s">
        <v>6</v>
      </c>
      <c r="E26" s="11" t="s">
        <v>4</v>
      </c>
      <c r="F26" s="11" t="s">
        <v>4</v>
      </c>
      <c r="G26" s="93" t="s">
        <v>456</v>
      </c>
      <c r="H26" s="93" t="s">
        <v>455</v>
      </c>
      <c r="I26" s="3"/>
      <c r="J26" s="3"/>
      <c r="K26" s="3"/>
      <c r="L26" s="3"/>
      <c r="M26" s="3"/>
      <c r="N26" s="3"/>
      <c r="O26" s="3"/>
      <c r="P26" s="3"/>
      <c r="Q26" s="3"/>
      <c r="R26" s="3"/>
    </row>
    <row r="27" spans="1:18" ht="15.75" customHeight="1" x14ac:dyDescent="0.2">
      <c r="A27" s="4">
        <v>2808</v>
      </c>
      <c r="B27" s="4" t="s">
        <v>23</v>
      </c>
      <c r="C27" s="4" t="s">
        <v>4</v>
      </c>
      <c r="D27" s="11" t="s">
        <v>6</v>
      </c>
      <c r="E27" s="11" t="s">
        <v>4</v>
      </c>
      <c r="F27" s="11" t="s">
        <v>4</v>
      </c>
      <c r="G27" s="93" t="s">
        <v>540</v>
      </c>
      <c r="H27" s="93" t="s">
        <v>539</v>
      </c>
      <c r="I27" s="3"/>
      <c r="J27" s="3"/>
      <c r="K27" s="3"/>
      <c r="L27" s="3"/>
      <c r="M27" s="3"/>
      <c r="N27" s="3"/>
      <c r="O27" s="3"/>
      <c r="P27" s="3"/>
      <c r="Q27" s="3"/>
      <c r="R27" s="3"/>
    </row>
    <row r="28" spans="1:18" ht="15.75" customHeight="1" x14ac:dyDescent="0.2">
      <c r="A28" s="4">
        <v>692</v>
      </c>
      <c r="B28" s="4" t="s">
        <v>23</v>
      </c>
      <c r="C28" s="4" t="s">
        <v>4</v>
      </c>
      <c r="D28" s="11" t="s">
        <v>4</v>
      </c>
      <c r="E28" s="11" t="s">
        <v>4</v>
      </c>
      <c r="F28" s="11" t="s">
        <v>4</v>
      </c>
      <c r="G28" s="93" t="s">
        <v>458</v>
      </c>
      <c r="H28" s="93" t="s">
        <v>457</v>
      </c>
      <c r="I28" s="3"/>
      <c r="J28" s="3"/>
      <c r="K28" s="3"/>
      <c r="L28" s="3"/>
      <c r="M28" s="3"/>
      <c r="N28" s="3"/>
      <c r="O28" s="3"/>
      <c r="P28" s="3"/>
      <c r="Q28" s="3"/>
      <c r="R28" s="3"/>
    </row>
    <row r="29" spans="1:18" ht="15.75" customHeight="1" x14ac:dyDescent="0.2">
      <c r="A29" s="4">
        <v>3854</v>
      </c>
      <c r="B29" s="4" t="s">
        <v>23</v>
      </c>
      <c r="C29" s="4" t="s">
        <v>4</v>
      </c>
      <c r="D29" s="11" t="s">
        <v>6</v>
      </c>
      <c r="E29" s="11" t="s">
        <v>4</v>
      </c>
      <c r="F29" s="11" t="s">
        <v>4</v>
      </c>
      <c r="G29" s="93" t="s">
        <v>556</v>
      </c>
      <c r="H29" s="93" t="s">
        <v>555</v>
      </c>
      <c r="I29" s="3"/>
      <c r="J29" s="3"/>
      <c r="K29" s="3"/>
      <c r="L29" s="3"/>
      <c r="M29" s="3"/>
      <c r="N29" s="3"/>
      <c r="O29" s="3"/>
      <c r="P29" s="3"/>
      <c r="Q29" s="3"/>
      <c r="R29" s="3"/>
    </row>
    <row r="30" spans="1:18" ht="15.75" customHeight="1" x14ac:dyDescent="0.2">
      <c r="A30" s="4">
        <v>1047</v>
      </c>
      <c r="B30" s="4" t="s">
        <v>23</v>
      </c>
      <c r="C30" s="4" t="s">
        <v>4</v>
      </c>
      <c r="D30" s="11" t="s">
        <v>6</v>
      </c>
      <c r="E30" s="11" t="s">
        <v>4</v>
      </c>
      <c r="F30" s="11" t="s">
        <v>4</v>
      </c>
      <c r="G30" s="93" t="s">
        <v>472</v>
      </c>
      <c r="H30" s="93" t="s">
        <v>471</v>
      </c>
      <c r="I30" s="3"/>
      <c r="J30" s="3"/>
      <c r="K30" s="3"/>
      <c r="L30" s="3"/>
      <c r="M30" s="3"/>
      <c r="N30" s="3"/>
      <c r="O30" s="3"/>
      <c r="P30" s="3"/>
      <c r="Q30" s="3"/>
      <c r="R30" s="3"/>
    </row>
    <row r="31" spans="1:18" ht="15.75" customHeight="1" x14ac:dyDescent="0.2">
      <c r="A31" s="4">
        <v>3960</v>
      </c>
      <c r="B31" s="4" t="s">
        <v>23</v>
      </c>
      <c r="C31" s="4" t="s">
        <v>4</v>
      </c>
      <c r="D31" s="11" t="s">
        <v>4</v>
      </c>
      <c r="E31" s="11" t="s">
        <v>4</v>
      </c>
      <c r="F31" s="11" t="s">
        <v>4</v>
      </c>
      <c r="G31" s="93" t="s">
        <v>560</v>
      </c>
      <c r="H31" s="93" t="s">
        <v>559</v>
      </c>
      <c r="I31" s="3"/>
      <c r="J31" s="3"/>
      <c r="K31" s="3"/>
      <c r="L31" s="3"/>
      <c r="M31" s="3"/>
      <c r="N31" s="3"/>
      <c r="O31" s="3"/>
      <c r="P31" s="3"/>
      <c r="Q31" s="3"/>
      <c r="R31" s="3"/>
    </row>
    <row r="32" spans="1:18" ht="15.75" customHeight="1" x14ac:dyDescent="0.2">
      <c r="A32" s="4">
        <v>1231</v>
      </c>
      <c r="B32" s="4" t="s">
        <v>23</v>
      </c>
      <c r="C32" s="4" t="s">
        <v>4</v>
      </c>
      <c r="D32" s="11" t="s">
        <v>4</v>
      </c>
      <c r="E32" s="11" t="s">
        <v>4</v>
      </c>
      <c r="F32" s="11" t="s">
        <v>4</v>
      </c>
      <c r="G32" s="93" t="s">
        <v>482</v>
      </c>
      <c r="H32" s="93" t="s">
        <v>481</v>
      </c>
      <c r="I32" s="3"/>
      <c r="J32" s="3"/>
      <c r="K32" s="3"/>
      <c r="L32" s="3"/>
      <c r="M32" s="3"/>
      <c r="N32" s="3"/>
      <c r="O32" s="3"/>
      <c r="P32" s="3"/>
      <c r="Q32" s="3"/>
      <c r="R32" s="3"/>
    </row>
    <row r="33" spans="1:18" ht="15.75" customHeight="1" x14ac:dyDescent="0.2">
      <c r="A33" s="4">
        <v>4380</v>
      </c>
      <c r="B33" s="4" t="s">
        <v>23</v>
      </c>
      <c r="C33" s="4" t="s">
        <v>4</v>
      </c>
      <c r="D33" s="11" t="s">
        <v>6</v>
      </c>
      <c r="E33" s="11" t="s">
        <v>4</v>
      </c>
      <c r="F33" s="11" t="s">
        <v>4</v>
      </c>
      <c r="G33" s="93" t="s">
        <v>574</v>
      </c>
      <c r="H33" s="93" t="s">
        <v>573</v>
      </c>
      <c r="I33" s="3"/>
      <c r="J33" s="3"/>
      <c r="K33" s="3"/>
      <c r="L33" s="3"/>
      <c r="M33" s="3"/>
      <c r="N33" s="3"/>
      <c r="O33" s="3"/>
      <c r="P33" s="3"/>
      <c r="Q33" s="3"/>
      <c r="R33" s="3"/>
    </row>
    <row r="34" spans="1:18" ht="15.75" customHeight="1" x14ac:dyDescent="0.2">
      <c r="A34" s="4">
        <v>1524</v>
      </c>
      <c r="B34" s="4" t="s">
        <v>23</v>
      </c>
      <c r="C34" s="4" t="s">
        <v>4</v>
      </c>
      <c r="D34" s="11" t="s">
        <v>6</v>
      </c>
      <c r="E34" s="11" t="s">
        <v>4</v>
      </c>
      <c r="F34" s="11" t="s">
        <v>4</v>
      </c>
      <c r="G34" s="93" t="s">
        <v>498</v>
      </c>
      <c r="H34" s="93" t="s">
        <v>497</v>
      </c>
      <c r="I34" s="3"/>
      <c r="J34" s="3"/>
      <c r="K34" s="3"/>
      <c r="L34" s="3"/>
      <c r="M34" s="3"/>
      <c r="N34" s="3"/>
      <c r="O34" s="3"/>
      <c r="P34" s="3"/>
      <c r="Q34" s="3"/>
      <c r="R34" s="3"/>
    </row>
    <row r="35" spans="1:18" ht="15.75" customHeight="1" x14ac:dyDescent="0.2">
      <c r="A35" s="4">
        <v>4751</v>
      </c>
      <c r="B35" s="4" t="s">
        <v>23</v>
      </c>
      <c r="C35" s="4" t="s">
        <v>4</v>
      </c>
      <c r="D35" s="11" t="s">
        <v>6</v>
      </c>
      <c r="E35" s="11" t="s">
        <v>4</v>
      </c>
      <c r="F35" s="11" t="s">
        <v>4</v>
      </c>
      <c r="G35" s="93" t="s">
        <v>580</v>
      </c>
      <c r="H35" s="93" t="s">
        <v>579</v>
      </c>
      <c r="I35" s="3"/>
      <c r="J35" s="3"/>
      <c r="K35" s="3"/>
      <c r="L35" s="3"/>
      <c r="M35" s="3"/>
      <c r="N35" s="3"/>
      <c r="O35" s="3"/>
      <c r="P35" s="3"/>
      <c r="Q35" s="3"/>
      <c r="R35" s="3"/>
    </row>
    <row r="36" spans="1:18" ht="15.75" customHeight="1" x14ac:dyDescent="0.2">
      <c r="A36" s="6">
        <v>1838</v>
      </c>
      <c r="B36" s="6" t="s">
        <v>23</v>
      </c>
      <c r="C36" s="6" t="s">
        <v>4</v>
      </c>
      <c r="D36" s="12" t="s">
        <v>4</v>
      </c>
      <c r="E36" s="12" t="s">
        <v>4</v>
      </c>
      <c r="F36" s="12" t="s">
        <v>4</v>
      </c>
      <c r="G36" s="93" t="s">
        <v>512</v>
      </c>
      <c r="H36" s="93" t="s">
        <v>511</v>
      </c>
      <c r="I36" s="3"/>
      <c r="J36" s="3"/>
      <c r="K36" s="3"/>
      <c r="L36" s="3"/>
      <c r="M36" s="3"/>
      <c r="N36" s="3"/>
      <c r="O36" s="3"/>
      <c r="P36" s="3"/>
      <c r="Q36" s="3"/>
      <c r="R36" s="3"/>
    </row>
    <row r="37" spans="1:18" ht="15.75" customHeight="1" x14ac:dyDescent="0.2">
      <c r="A37" s="8">
        <v>1356</v>
      </c>
      <c r="B37" s="8" t="s">
        <v>24</v>
      </c>
      <c r="C37" s="8" t="s">
        <v>4</v>
      </c>
      <c r="D37" s="13" t="s">
        <v>6</v>
      </c>
      <c r="E37" s="13" t="s">
        <v>4</v>
      </c>
      <c r="F37" s="13" t="s">
        <v>4</v>
      </c>
      <c r="G37" s="93" t="s">
        <v>486</v>
      </c>
      <c r="H37" s="93" t="s">
        <v>485</v>
      </c>
      <c r="I37" s="3"/>
      <c r="J37" s="3"/>
      <c r="K37" s="3"/>
      <c r="L37" s="3"/>
      <c r="M37" s="3"/>
      <c r="N37" s="3"/>
      <c r="O37" s="3"/>
      <c r="P37" s="3"/>
      <c r="Q37" s="3"/>
      <c r="R37" s="3"/>
    </row>
    <row r="38" spans="1:18" ht="15.75" customHeight="1" x14ac:dyDescent="0.2">
      <c r="A38" s="4">
        <v>4109</v>
      </c>
      <c r="B38" s="4" t="s">
        <v>24</v>
      </c>
      <c r="C38" s="4" t="s">
        <v>4</v>
      </c>
      <c r="D38" s="11" t="s">
        <v>6</v>
      </c>
      <c r="E38" s="11" t="s">
        <v>4</v>
      </c>
      <c r="F38" s="11" t="s">
        <v>4</v>
      </c>
      <c r="G38" s="93" t="s">
        <v>564</v>
      </c>
      <c r="H38" s="93" t="s">
        <v>563</v>
      </c>
      <c r="I38" s="3"/>
      <c r="J38" s="3"/>
      <c r="K38" s="3"/>
      <c r="L38" s="3"/>
      <c r="M38" s="3"/>
      <c r="N38" s="3"/>
      <c r="O38" s="3"/>
      <c r="P38" s="3"/>
      <c r="Q38" s="3"/>
      <c r="R38" s="3"/>
    </row>
    <row r="39" spans="1:18" ht="15.75" customHeight="1" x14ac:dyDescent="0.2">
      <c r="A39" s="4">
        <v>1536</v>
      </c>
      <c r="B39" s="4" t="s">
        <v>24</v>
      </c>
      <c r="C39" s="4" t="s">
        <v>4</v>
      </c>
      <c r="D39" s="11" t="s">
        <v>6</v>
      </c>
      <c r="E39" s="11" t="s">
        <v>4</v>
      </c>
      <c r="F39" s="11" t="s">
        <v>4</v>
      </c>
      <c r="G39" s="93" t="s">
        <v>500</v>
      </c>
      <c r="H39" s="93" t="s">
        <v>499</v>
      </c>
      <c r="I39" s="3"/>
      <c r="J39" s="3"/>
      <c r="K39" s="3"/>
      <c r="L39" s="3"/>
      <c r="M39" s="3"/>
      <c r="N39" s="3"/>
      <c r="O39" s="3"/>
      <c r="P39" s="3"/>
      <c r="Q39" s="3"/>
      <c r="R39" s="3"/>
    </row>
    <row r="40" spans="1:18" ht="15.75" customHeight="1" x14ac:dyDescent="0.2">
      <c r="A40" s="4">
        <v>4362</v>
      </c>
      <c r="B40" s="4" t="s">
        <v>24</v>
      </c>
      <c r="C40" s="4" t="s">
        <v>4</v>
      </c>
      <c r="D40" s="11" t="s">
        <v>4</v>
      </c>
      <c r="E40" s="11" t="s">
        <v>4</v>
      </c>
      <c r="F40" s="11" t="s">
        <v>4</v>
      </c>
      <c r="G40" s="93" t="s">
        <v>572</v>
      </c>
      <c r="H40" s="93" t="s">
        <v>571</v>
      </c>
      <c r="I40" s="3"/>
      <c r="J40" s="3"/>
      <c r="K40" s="3"/>
      <c r="L40" s="3"/>
      <c r="M40" s="3"/>
      <c r="N40" s="3"/>
      <c r="O40" s="3"/>
      <c r="P40" s="3"/>
      <c r="Q40" s="3"/>
      <c r="R40" s="3"/>
    </row>
    <row r="41" spans="1:18" ht="15.75" customHeight="1" x14ac:dyDescent="0.2">
      <c r="A41" s="4">
        <v>1548</v>
      </c>
      <c r="B41" s="4" t="s">
        <v>24</v>
      </c>
      <c r="C41" s="4" t="s">
        <v>4</v>
      </c>
      <c r="D41" s="11" t="s">
        <v>4</v>
      </c>
      <c r="E41" s="11" t="s">
        <v>4</v>
      </c>
      <c r="F41" s="11" t="s">
        <v>4</v>
      </c>
      <c r="G41" s="93" t="s">
        <v>504</v>
      </c>
      <c r="H41" s="93" t="s">
        <v>503</v>
      </c>
      <c r="I41" s="3"/>
      <c r="J41" s="3"/>
      <c r="K41" s="3"/>
      <c r="L41" s="3"/>
      <c r="M41" s="3"/>
      <c r="N41" s="3"/>
      <c r="O41" s="3"/>
      <c r="P41" s="3"/>
      <c r="Q41" s="3"/>
      <c r="R41" s="3"/>
    </row>
    <row r="42" spans="1:18" ht="15.75" customHeight="1" x14ac:dyDescent="0.2">
      <c r="A42" s="4">
        <v>6565</v>
      </c>
      <c r="B42" s="4" t="s">
        <v>24</v>
      </c>
      <c r="C42" s="4" t="s">
        <v>4</v>
      </c>
      <c r="D42" s="11" t="s">
        <v>6</v>
      </c>
      <c r="E42" s="11" t="s">
        <v>4</v>
      </c>
      <c r="F42" s="11" t="s">
        <v>4</v>
      </c>
      <c r="G42" s="93" t="s">
        <v>618</v>
      </c>
      <c r="H42" s="93" t="s">
        <v>617</v>
      </c>
      <c r="I42" s="3"/>
      <c r="J42" s="3"/>
      <c r="K42" s="3"/>
      <c r="L42" s="3"/>
      <c r="M42" s="3"/>
      <c r="N42" s="3"/>
      <c r="O42" s="3"/>
      <c r="P42" s="3"/>
      <c r="Q42" s="3"/>
      <c r="R42" s="3"/>
    </row>
    <row r="43" spans="1:18" ht="15.75" customHeight="1" x14ac:dyDescent="0.2">
      <c r="A43" s="4">
        <v>38</v>
      </c>
      <c r="B43" s="4" t="s">
        <v>24</v>
      </c>
      <c r="C43" s="4" t="s">
        <v>4</v>
      </c>
      <c r="D43" s="11" t="s">
        <v>6</v>
      </c>
      <c r="E43" s="11" t="s">
        <v>4</v>
      </c>
      <c r="F43" s="11" t="s">
        <v>4</v>
      </c>
      <c r="G43" s="93" t="s">
        <v>444</v>
      </c>
      <c r="H43" s="93" t="s">
        <v>443</v>
      </c>
      <c r="I43" s="3"/>
      <c r="J43" s="3"/>
      <c r="K43" s="3"/>
      <c r="L43" s="3"/>
      <c r="M43" s="3"/>
      <c r="N43" s="3"/>
      <c r="O43" s="3"/>
      <c r="P43" s="3"/>
      <c r="Q43" s="3"/>
      <c r="R43" s="3"/>
    </row>
    <row r="44" spans="1:18" ht="15.75" customHeight="1" x14ac:dyDescent="0.2">
      <c r="A44" s="4">
        <v>1954</v>
      </c>
      <c r="B44" s="4" t="s">
        <v>24</v>
      </c>
      <c r="C44" s="4" t="s">
        <v>4</v>
      </c>
      <c r="D44" s="11" t="s">
        <v>6</v>
      </c>
      <c r="E44" s="11" t="s">
        <v>4</v>
      </c>
      <c r="F44" s="11" t="s">
        <v>4</v>
      </c>
      <c r="G44" s="93" t="s">
        <v>516</v>
      </c>
      <c r="H44" s="93" t="s">
        <v>515</v>
      </c>
      <c r="I44" s="3"/>
      <c r="J44" s="3"/>
      <c r="K44" s="3"/>
      <c r="L44" s="3"/>
      <c r="M44" s="3"/>
      <c r="N44" s="3"/>
      <c r="O44" s="3"/>
      <c r="P44" s="3"/>
      <c r="Q44" s="3"/>
      <c r="R44" s="3"/>
    </row>
    <row r="45" spans="1:18" ht="15.75" customHeight="1" x14ac:dyDescent="0.2">
      <c r="A45" s="4">
        <v>8251</v>
      </c>
      <c r="B45" s="4" t="s">
        <v>24</v>
      </c>
      <c r="C45" s="4" t="s">
        <v>4</v>
      </c>
      <c r="D45" s="11" t="s">
        <v>6</v>
      </c>
      <c r="E45" s="11" t="s">
        <v>4</v>
      </c>
      <c r="F45" s="11" t="s">
        <v>4</v>
      </c>
      <c r="G45" s="93" t="s">
        <v>640</v>
      </c>
      <c r="H45" s="93" t="s">
        <v>639</v>
      </c>
      <c r="I45" s="3"/>
      <c r="J45" s="3"/>
      <c r="K45" s="3"/>
      <c r="L45" s="3"/>
      <c r="M45" s="3"/>
      <c r="N45" s="3"/>
      <c r="O45" s="3"/>
      <c r="P45" s="3"/>
      <c r="Q45" s="3"/>
      <c r="R45" s="3"/>
    </row>
    <row r="46" spans="1:18" ht="15.75" customHeight="1" x14ac:dyDescent="0.2">
      <c r="A46" s="4">
        <v>731</v>
      </c>
      <c r="B46" s="4" t="s">
        <v>24</v>
      </c>
      <c r="C46" s="4" t="s">
        <v>4</v>
      </c>
      <c r="D46" s="11" t="s">
        <v>6</v>
      </c>
      <c r="E46" s="11" t="s">
        <v>4</v>
      </c>
      <c r="F46" s="11" t="s">
        <v>4</v>
      </c>
      <c r="G46" s="93" t="s">
        <v>462</v>
      </c>
      <c r="H46" s="93" t="s">
        <v>461</v>
      </c>
      <c r="I46" s="3"/>
      <c r="J46" s="3"/>
      <c r="K46" s="3"/>
      <c r="L46" s="3"/>
      <c r="M46" s="3"/>
      <c r="N46" s="3"/>
      <c r="O46" s="3"/>
      <c r="P46" s="3"/>
      <c r="Q46" s="3"/>
      <c r="R46" s="3"/>
    </row>
    <row r="47" spans="1:18" ht="15.75" customHeight="1" x14ac:dyDescent="0.2">
      <c r="A47" s="4">
        <v>2412</v>
      </c>
      <c r="B47" s="4" t="s">
        <v>24</v>
      </c>
      <c r="C47" s="4" t="s">
        <v>4</v>
      </c>
      <c r="D47" s="11" t="s">
        <v>4</v>
      </c>
      <c r="E47" s="11" t="s">
        <v>4</v>
      </c>
      <c r="F47" s="11" t="s">
        <v>4</v>
      </c>
      <c r="G47" s="93" t="s">
        <v>522</v>
      </c>
      <c r="H47" s="93" t="s">
        <v>521</v>
      </c>
      <c r="I47" s="3"/>
      <c r="J47" s="3"/>
      <c r="K47" s="3"/>
      <c r="L47" s="3"/>
      <c r="M47" s="3"/>
      <c r="N47" s="3"/>
      <c r="O47" s="3"/>
      <c r="P47" s="3"/>
      <c r="Q47" s="3"/>
      <c r="R47" s="3"/>
    </row>
    <row r="48" spans="1:18" ht="15.75" customHeight="1" x14ac:dyDescent="0.2">
      <c r="A48" s="4">
        <v>8941</v>
      </c>
      <c r="B48" s="4" t="s">
        <v>24</v>
      </c>
      <c r="C48" s="4" t="s">
        <v>4</v>
      </c>
      <c r="D48" s="11" t="s">
        <v>4</v>
      </c>
      <c r="E48" s="11" t="s">
        <v>4</v>
      </c>
      <c r="F48" s="11" t="s">
        <v>4</v>
      </c>
      <c r="G48" s="93" t="s">
        <v>644</v>
      </c>
      <c r="H48" s="93" t="s">
        <v>643</v>
      </c>
      <c r="I48" s="3"/>
      <c r="J48" s="3"/>
      <c r="K48" s="3"/>
      <c r="L48" s="3"/>
      <c r="M48" s="3"/>
      <c r="N48" s="3"/>
      <c r="O48" s="3"/>
      <c r="P48" s="3"/>
      <c r="Q48" s="3"/>
      <c r="R48" s="3"/>
    </row>
    <row r="49" spans="1:18" ht="15.75" customHeight="1" x14ac:dyDescent="0.2">
      <c r="A49" s="4">
        <v>766</v>
      </c>
      <c r="B49" s="4" t="s">
        <v>24</v>
      </c>
      <c r="C49" s="4" t="s">
        <v>4</v>
      </c>
      <c r="D49" s="11" t="s">
        <v>6</v>
      </c>
      <c r="E49" s="11" t="s">
        <v>4</v>
      </c>
      <c r="F49" s="11" t="s">
        <v>4</v>
      </c>
      <c r="G49" s="93" t="s">
        <v>464</v>
      </c>
      <c r="H49" s="93" t="s">
        <v>463</v>
      </c>
      <c r="I49" s="3"/>
      <c r="J49" s="3"/>
      <c r="K49" s="3"/>
      <c r="L49" s="3"/>
      <c r="M49" s="3"/>
      <c r="N49" s="3"/>
      <c r="O49" s="3"/>
      <c r="P49" s="3"/>
      <c r="Q49" s="3"/>
      <c r="R49" s="3"/>
    </row>
    <row r="50" spans="1:18" ht="15.75" customHeight="1" x14ac:dyDescent="0.2">
      <c r="A50" s="4">
        <v>2852</v>
      </c>
      <c r="B50" s="4" t="s">
        <v>24</v>
      </c>
      <c r="C50" s="4" t="s">
        <v>4</v>
      </c>
      <c r="D50" s="11" t="s">
        <v>6</v>
      </c>
      <c r="E50" s="11" t="s">
        <v>4</v>
      </c>
      <c r="F50" s="11" t="s">
        <v>4</v>
      </c>
      <c r="G50" s="93" t="s">
        <v>546</v>
      </c>
      <c r="H50" s="93" t="s">
        <v>545</v>
      </c>
      <c r="I50" s="3"/>
      <c r="J50" s="3"/>
      <c r="K50" s="3"/>
      <c r="L50" s="3"/>
      <c r="M50" s="3"/>
      <c r="N50" s="3"/>
      <c r="O50" s="3"/>
      <c r="P50" s="3"/>
      <c r="Q50" s="3"/>
      <c r="R50" s="3"/>
    </row>
    <row r="51" spans="1:18" ht="15.75" customHeight="1" x14ac:dyDescent="0.2">
      <c r="A51" s="4">
        <v>9364</v>
      </c>
      <c r="B51" s="4" t="s">
        <v>24</v>
      </c>
      <c r="C51" s="4" t="s">
        <v>4</v>
      </c>
      <c r="D51" s="11" t="s">
        <v>6</v>
      </c>
      <c r="E51" s="11" t="s">
        <v>4</v>
      </c>
      <c r="F51" s="11" t="s">
        <v>4</v>
      </c>
      <c r="G51" s="93" t="s">
        <v>652</v>
      </c>
      <c r="H51" s="93" t="s">
        <v>651</v>
      </c>
      <c r="I51" s="3"/>
      <c r="J51" s="3"/>
      <c r="K51" s="3"/>
      <c r="L51" s="3"/>
      <c r="M51" s="3"/>
      <c r="N51" s="3"/>
      <c r="O51" s="3"/>
      <c r="P51" s="3"/>
      <c r="Q51" s="3"/>
      <c r="R51" s="3"/>
    </row>
    <row r="52" spans="1:18" ht="15.75" customHeight="1" x14ac:dyDescent="0.2">
      <c r="A52" s="4">
        <v>1165</v>
      </c>
      <c r="B52" s="4" t="s">
        <v>24</v>
      </c>
      <c r="C52" s="4" t="s">
        <v>4</v>
      </c>
      <c r="D52" s="11" t="s">
        <v>6</v>
      </c>
      <c r="E52" s="11" t="s">
        <v>4</v>
      </c>
      <c r="F52" s="11" t="s">
        <v>4</v>
      </c>
      <c r="G52" s="93" t="s">
        <v>474</v>
      </c>
      <c r="H52" s="93" t="s">
        <v>473</v>
      </c>
      <c r="I52" s="3"/>
      <c r="J52" s="3"/>
      <c r="K52" s="3"/>
      <c r="L52" s="3"/>
      <c r="M52" s="3"/>
      <c r="N52" s="3"/>
      <c r="O52" s="3"/>
      <c r="P52" s="3"/>
      <c r="Q52" s="3"/>
      <c r="R52" s="3"/>
    </row>
    <row r="53" spans="1:18" ht="15.75" customHeight="1" x14ac:dyDescent="0.2">
      <c r="A53" s="4">
        <v>3902</v>
      </c>
      <c r="B53" s="4" t="s">
        <v>24</v>
      </c>
      <c r="C53" s="4" t="s">
        <v>4</v>
      </c>
      <c r="D53" s="11" t="s">
        <v>6</v>
      </c>
      <c r="E53" s="11" t="s">
        <v>4</v>
      </c>
      <c r="F53" s="11" t="s">
        <v>4</v>
      </c>
      <c r="G53" s="93" t="s">
        <v>558</v>
      </c>
      <c r="H53" s="93" t="s">
        <v>557</v>
      </c>
      <c r="I53" s="3"/>
      <c r="J53" s="3"/>
      <c r="K53" s="3"/>
      <c r="L53" s="3"/>
      <c r="M53" s="3"/>
      <c r="N53" s="3"/>
      <c r="O53" s="3"/>
      <c r="P53" s="3"/>
      <c r="Q53" s="3"/>
      <c r="R53" s="3"/>
    </row>
    <row r="54" spans="1:18" ht="15.75" customHeight="1" x14ac:dyDescent="0.2">
      <c r="A54" s="6">
        <v>4093</v>
      </c>
      <c r="B54" s="6" t="s">
        <v>24</v>
      </c>
      <c r="C54" s="6" t="s">
        <v>4</v>
      </c>
      <c r="D54" s="12" t="s">
        <v>6</v>
      </c>
      <c r="E54" s="12" t="s">
        <v>4</v>
      </c>
      <c r="F54" s="12" t="s">
        <v>4</v>
      </c>
      <c r="G54" s="93" t="s">
        <v>562</v>
      </c>
      <c r="H54" s="93" t="s">
        <v>561</v>
      </c>
      <c r="I54" s="3"/>
      <c r="J54" s="3"/>
      <c r="K54" s="3"/>
      <c r="L54" s="3"/>
      <c r="M54" s="3"/>
      <c r="N54" s="3"/>
      <c r="O54" s="3"/>
      <c r="P54" s="3"/>
      <c r="Q54" s="3"/>
      <c r="R54" s="3"/>
    </row>
    <row r="55" spans="1:18" ht="15.75" customHeight="1" x14ac:dyDescent="0.2">
      <c r="A55" s="8" t="s">
        <v>61</v>
      </c>
      <c r="B55" s="8" t="s">
        <v>26</v>
      </c>
      <c r="C55" s="8" t="s">
        <v>4</v>
      </c>
      <c r="D55" s="13" t="s">
        <v>4</v>
      </c>
      <c r="E55" s="13" t="s">
        <v>4</v>
      </c>
      <c r="F55" s="13" t="s">
        <v>4</v>
      </c>
      <c r="G55" s="93" t="s">
        <v>1160</v>
      </c>
      <c r="H55" s="93" t="s">
        <v>1159</v>
      </c>
      <c r="I55" s="3"/>
      <c r="J55" s="3"/>
      <c r="K55" s="3"/>
      <c r="L55" s="3"/>
      <c r="M55" s="3"/>
      <c r="N55" s="3"/>
      <c r="O55" s="3"/>
      <c r="P55" s="3"/>
      <c r="Q55" s="3"/>
      <c r="R55" s="3"/>
    </row>
    <row r="56" spans="1:18" ht="15.75" customHeight="1" x14ac:dyDescent="0.2">
      <c r="A56" s="4" t="s">
        <v>62</v>
      </c>
      <c r="B56" s="4" t="s">
        <v>26</v>
      </c>
      <c r="C56" s="4" t="s">
        <v>6</v>
      </c>
      <c r="D56" s="11" t="s">
        <v>6</v>
      </c>
      <c r="E56" s="11" t="s">
        <v>6</v>
      </c>
      <c r="F56" s="11" t="s">
        <v>6</v>
      </c>
      <c r="G56" s="93" t="s">
        <v>1008</v>
      </c>
      <c r="H56" s="93" t="s">
        <v>1007</v>
      </c>
      <c r="I56" s="3"/>
      <c r="J56" s="3"/>
      <c r="K56" s="3"/>
      <c r="L56" s="3"/>
      <c r="M56" s="3"/>
      <c r="N56" s="3"/>
      <c r="O56" s="3"/>
      <c r="P56" s="3"/>
      <c r="Q56" s="3"/>
      <c r="R56" s="3"/>
    </row>
    <row r="57" spans="1:18" ht="15.75" customHeight="1" x14ac:dyDescent="0.2">
      <c r="A57" s="4" t="s">
        <v>63</v>
      </c>
      <c r="B57" s="4" t="s">
        <v>26</v>
      </c>
      <c r="C57" s="4" t="s">
        <v>6</v>
      </c>
      <c r="D57" s="11" t="s">
        <v>6</v>
      </c>
      <c r="E57" s="11" t="s">
        <v>6</v>
      </c>
      <c r="F57" s="11" t="s">
        <v>6</v>
      </c>
      <c r="G57" s="93" t="s">
        <v>1316</v>
      </c>
      <c r="H57" s="93" t="s">
        <v>1315</v>
      </c>
      <c r="I57" s="3"/>
      <c r="J57" s="3"/>
      <c r="K57" s="3"/>
      <c r="L57" s="3"/>
      <c r="M57" s="3"/>
      <c r="N57" s="3"/>
      <c r="O57" s="3"/>
      <c r="P57" s="3"/>
      <c r="Q57" s="3"/>
      <c r="R57" s="3"/>
    </row>
    <row r="58" spans="1:18" ht="15.75" customHeight="1" x14ac:dyDescent="0.2">
      <c r="A58" s="4" t="s">
        <v>64</v>
      </c>
      <c r="B58" s="4" t="s">
        <v>26</v>
      </c>
      <c r="C58" s="4" t="s">
        <v>6</v>
      </c>
      <c r="D58" s="11" t="s">
        <v>6</v>
      </c>
      <c r="E58" s="11" t="s">
        <v>6</v>
      </c>
      <c r="F58" s="11" t="s">
        <v>6</v>
      </c>
      <c r="G58" s="93" t="s">
        <v>972</v>
      </c>
      <c r="H58" s="93" t="s">
        <v>971</v>
      </c>
      <c r="I58" s="3"/>
      <c r="J58" s="3"/>
      <c r="K58" s="3"/>
      <c r="L58" s="3"/>
      <c r="M58" s="3"/>
      <c r="N58" s="3"/>
      <c r="O58" s="3"/>
      <c r="P58" s="3"/>
      <c r="Q58" s="3"/>
      <c r="R58" s="3"/>
    </row>
    <row r="59" spans="1:18" ht="15.75" customHeight="1" x14ac:dyDescent="0.2">
      <c r="A59" s="4" t="s">
        <v>65</v>
      </c>
      <c r="B59" s="4" t="s">
        <v>26</v>
      </c>
      <c r="C59" s="4" t="s">
        <v>4</v>
      </c>
      <c r="D59" s="11" t="s">
        <v>6</v>
      </c>
      <c r="E59" s="11" t="s">
        <v>6</v>
      </c>
      <c r="F59" s="11" t="s">
        <v>4</v>
      </c>
      <c r="G59" s="93" t="s">
        <v>952</v>
      </c>
      <c r="H59" s="93" t="s">
        <v>951</v>
      </c>
      <c r="I59" s="3"/>
      <c r="J59" s="3"/>
      <c r="K59" s="3"/>
      <c r="L59" s="3"/>
      <c r="M59" s="3"/>
      <c r="N59" s="3"/>
      <c r="O59" s="3"/>
      <c r="P59" s="3"/>
      <c r="Q59" s="3"/>
      <c r="R59" s="3"/>
    </row>
    <row r="60" spans="1:18" ht="15.75" customHeight="1" x14ac:dyDescent="0.2">
      <c r="A60" s="4" t="s">
        <v>66</v>
      </c>
      <c r="B60" s="4" t="s">
        <v>26</v>
      </c>
      <c r="C60" s="4" t="s">
        <v>4</v>
      </c>
      <c r="D60" s="11" t="s">
        <v>4</v>
      </c>
      <c r="E60" s="11" t="s">
        <v>4</v>
      </c>
      <c r="F60" s="11" t="s">
        <v>4</v>
      </c>
      <c r="G60" s="93" t="s">
        <v>1000</v>
      </c>
      <c r="H60" s="93" t="s">
        <v>999</v>
      </c>
      <c r="I60" s="3"/>
      <c r="J60" s="3"/>
      <c r="K60" s="3"/>
      <c r="L60" s="3"/>
      <c r="M60" s="3"/>
      <c r="N60" s="3"/>
      <c r="O60" s="3"/>
      <c r="P60" s="3"/>
      <c r="Q60" s="3"/>
      <c r="R60" s="3"/>
    </row>
    <row r="61" spans="1:18" ht="15.75" customHeight="1" x14ac:dyDescent="0.2">
      <c r="A61" s="4" t="s">
        <v>67</v>
      </c>
      <c r="B61" s="4" t="s">
        <v>26</v>
      </c>
      <c r="C61" s="4" t="s">
        <v>4</v>
      </c>
      <c r="D61" s="11" t="s">
        <v>6</v>
      </c>
      <c r="E61" s="11" t="s">
        <v>4</v>
      </c>
      <c r="F61" s="11" t="s">
        <v>4</v>
      </c>
      <c r="G61" s="93" t="s">
        <v>928</v>
      </c>
      <c r="H61" s="93" t="s">
        <v>927</v>
      </c>
      <c r="I61" s="3"/>
      <c r="J61" s="3"/>
      <c r="K61" s="3"/>
      <c r="L61" s="3"/>
      <c r="M61" s="3"/>
      <c r="N61" s="3"/>
      <c r="O61" s="3"/>
      <c r="P61" s="3"/>
      <c r="Q61" s="3"/>
      <c r="R61" s="3"/>
    </row>
    <row r="62" spans="1:18" ht="15.75" customHeight="1" x14ac:dyDescent="0.2">
      <c r="A62" s="4" t="s">
        <v>68</v>
      </c>
      <c r="B62" s="4" t="s">
        <v>26</v>
      </c>
      <c r="C62" s="4" t="s">
        <v>4</v>
      </c>
      <c r="D62" s="11" t="s">
        <v>6</v>
      </c>
      <c r="E62" s="11" t="s">
        <v>4</v>
      </c>
      <c r="F62" s="11" t="s">
        <v>4</v>
      </c>
      <c r="G62" s="93" t="s">
        <v>912</v>
      </c>
      <c r="H62" s="93" t="s">
        <v>911</v>
      </c>
      <c r="I62" s="3"/>
      <c r="J62" s="3"/>
      <c r="K62" s="3"/>
      <c r="L62" s="3"/>
      <c r="M62" s="3"/>
      <c r="N62" s="3"/>
      <c r="O62" s="3"/>
      <c r="P62" s="3"/>
      <c r="Q62" s="3"/>
      <c r="R62" s="3"/>
    </row>
    <row r="63" spans="1:18" ht="15.75" customHeight="1" x14ac:dyDescent="0.2">
      <c r="A63" s="4" t="s">
        <v>69</v>
      </c>
      <c r="B63" s="4" t="s">
        <v>26</v>
      </c>
      <c r="C63" s="4" t="s">
        <v>4</v>
      </c>
      <c r="D63" s="11" t="s">
        <v>6</v>
      </c>
      <c r="E63" s="11" t="s">
        <v>4</v>
      </c>
      <c r="F63" s="11" t="s">
        <v>4</v>
      </c>
      <c r="G63" s="93" t="s">
        <v>994</v>
      </c>
      <c r="H63" s="93" t="s">
        <v>993</v>
      </c>
      <c r="I63" s="3"/>
      <c r="J63" s="3"/>
      <c r="K63" s="3"/>
      <c r="L63" s="3"/>
      <c r="M63" s="3"/>
      <c r="N63" s="3"/>
      <c r="O63" s="3"/>
      <c r="P63" s="3"/>
      <c r="Q63" s="3"/>
      <c r="R63" s="3"/>
    </row>
    <row r="64" spans="1:18" ht="15.75" customHeight="1" x14ac:dyDescent="0.2">
      <c r="A64" s="4" t="s">
        <v>70</v>
      </c>
      <c r="B64" s="4" t="s">
        <v>26</v>
      </c>
      <c r="C64" s="4" t="s">
        <v>4</v>
      </c>
      <c r="D64" s="11" t="s">
        <v>6</v>
      </c>
      <c r="E64" s="11" t="s">
        <v>4</v>
      </c>
      <c r="F64" s="11" t="s">
        <v>4</v>
      </c>
      <c r="G64" s="93" t="s">
        <v>916</v>
      </c>
      <c r="H64" s="93" t="s">
        <v>915</v>
      </c>
      <c r="I64" s="3"/>
      <c r="J64" s="3"/>
      <c r="K64" s="3"/>
      <c r="L64" s="3"/>
      <c r="M64" s="3"/>
      <c r="N64" s="3"/>
      <c r="O64" s="3"/>
      <c r="P64" s="3"/>
      <c r="Q64" s="3"/>
      <c r="R64" s="3"/>
    </row>
    <row r="65" spans="1:18" ht="15.75" customHeight="1" x14ac:dyDescent="0.2">
      <c r="A65" s="4" t="s">
        <v>71</v>
      </c>
      <c r="B65" s="4" t="s">
        <v>26</v>
      </c>
      <c r="C65" s="4" t="s">
        <v>4</v>
      </c>
      <c r="D65" s="11" t="s">
        <v>6</v>
      </c>
      <c r="E65" s="11" t="s">
        <v>4</v>
      </c>
      <c r="F65" s="11" t="s">
        <v>4</v>
      </c>
      <c r="G65" s="93" t="s">
        <v>942</v>
      </c>
      <c r="H65" s="93" t="s">
        <v>941</v>
      </c>
      <c r="I65" s="3"/>
      <c r="J65" s="3"/>
      <c r="K65" s="3"/>
      <c r="L65" s="3"/>
      <c r="M65" s="3"/>
      <c r="N65" s="3"/>
      <c r="O65" s="3"/>
      <c r="P65" s="3"/>
      <c r="Q65" s="3"/>
      <c r="R65" s="3"/>
    </row>
    <row r="66" spans="1:18" ht="15.75" customHeight="1" x14ac:dyDescent="0.2">
      <c r="A66" s="4" t="s">
        <v>72</v>
      </c>
      <c r="B66" s="4" t="s">
        <v>26</v>
      </c>
      <c r="C66" s="4" t="s">
        <v>4</v>
      </c>
      <c r="D66" s="11" t="s">
        <v>4</v>
      </c>
      <c r="E66" s="11" t="s">
        <v>4</v>
      </c>
      <c r="F66" s="11" t="s">
        <v>4</v>
      </c>
      <c r="G66" s="93" t="s">
        <v>992</v>
      </c>
      <c r="H66" s="93" t="s">
        <v>991</v>
      </c>
      <c r="I66" s="3"/>
      <c r="J66" s="3"/>
      <c r="K66" s="3"/>
      <c r="L66" s="3"/>
      <c r="M66" s="3"/>
      <c r="N66" s="3"/>
      <c r="O66" s="3"/>
      <c r="P66" s="3"/>
      <c r="Q66" s="3"/>
      <c r="R66" s="3"/>
    </row>
    <row r="67" spans="1:18" ht="15.75" customHeight="1" x14ac:dyDescent="0.2">
      <c r="A67" s="4" t="s">
        <v>73</v>
      </c>
      <c r="B67" s="4" t="s">
        <v>26</v>
      </c>
      <c r="C67" s="4" t="s">
        <v>6</v>
      </c>
      <c r="D67" s="11" t="s">
        <v>6</v>
      </c>
      <c r="E67" s="11" t="s">
        <v>6</v>
      </c>
      <c r="F67" s="11" t="s">
        <v>6</v>
      </c>
      <c r="G67" s="93" t="s">
        <v>1004</v>
      </c>
      <c r="H67" s="93" t="s">
        <v>1003</v>
      </c>
      <c r="I67" s="3"/>
      <c r="J67" s="3"/>
      <c r="K67" s="3"/>
      <c r="L67" s="3"/>
      <c r="M67" s="3"/>
      <c r="N67" s="3"/>
      <c r="O67" s="3"/>
      <c r="P67" s="3"/>
      <c r="Q67" s="3"/>
      <c r="R67" s="3"/>
    </row>
    <row r="68" spans="1:18" ht="15.75" customHeight="1" x14ac:dyDescent="0.2">
      <c r="A68" s="4" t="s">
        <v>74</v>
      </c>
      <c r="B68" s="4" t="s">
        <v>26</v>
      </c>
      <c r="C68" s="4" t="s">
        <v>6</v>
      </c>
      <c r="D68" s="11" t="s">
        <v>6</v>
      </c>
      <c r="E68" s="11" t="s">
        <v>6</v>
      </c>
      <c r="F68" s="11" t="s">
        <v>6</v>
      </c>
      <c r="G68" s="93" t="s">
        <v>968</v>
      </c>
      <c r="H68" s="93" t="s">
        <v>967</v>
      </c>
      <c r="I68" s="3"/>
      <c r="J68" s="3"/>
      <c r="K68" s="3"/>
      <c r="L68" s="3"/>
      <c r="M68" s="3"/>
      <c r="N68" s="3"/>
      <c r="O68" s="3"/>
      <c r="P68" s="3"/>
      <c r="Q68" s="3"/>
      <c r="R68" s="3"/>
    </row>
    <row r="69" spans="1:18" ht="15.75" customHeight="1" x14ac:dyDescent="0.2">
      <c r="A69" s="4" t="s">
        <v>75</v>
      </c>
      <c r="B69" s="4" t="s">
        <v>26</v>
      </c>
      <c r="C69" s="4" t="s">
        <v>4</v>
      </c>
      <c r="D69" s="11" t="s">
        <v>4</v>
      </c>
      <c r="E69" s="11" t="s">
        <v>4</v>
      </c>
      <c r="F69" s="11" t="s">
        <v>4</v>
      </c>
      <c r="G69" s="93" t="s">
        <v>970</v>
      </c>
      <c r="H69" s="93" t="s">
        <v>969</v>
      </c>
      <c r="I69" s="3"/>
      <c r="J69" s="3"/>
      <c r="K69" s="3"/>
      <c r="L69" s="3"/>
      <c r="M69" s="3"/>
      <c r="N69" s="3"/>
      <c r="O69" s="3"/>
      <c r="P69" s="3"/>
      <c r="Q69" s="3"/>
      <c r="R69" s="3"/>
    </row>
    <row r="70" spans="1:18" ht="15.75" customHeight="1" x14ac:dyDescent="0.2">
      <c r="A70" s="4" t="s">
        <v>76</v>
      </c>
      <c r="B70" s="4" t="s">
        <v>26</v>
      </c>
      <c r="C70" s="4" t="s">
        <v>4</v>
      </c>
      <c r="D70" s="11" t="s">
        <v>4</v>
      </c>
      <c r="E70" s="11" t="s">
        <v>4</v>
      </c>
      <c r="F70" s="11" t="s">
        <v>4</v>
      </c>
      <c r="G70" s="93" t="s">
        <v>948</v>
      </c>
      <c r="H70" s="93" t="s">
        <v>947</v>
      </c>
      <c r="I70" s="3"/>
      <c r="J70" s="3"/>
      <c r="K70" s="3"/>
      <c r="L70" s="3"/>
      <c r="M70" s="3"/>
      <c r="N70" s="3"/>
      <c r="O70" s="3"/>
      <c r="P70" s="3"/>
      <c r="Q70" s="3"/>
      <c r="R70" s="3"/>
    </row>
    <row r="71" spans="1:18" ht="15.75" customHeight="1" x14ac:dyDescent="0.2">
      <c r="A71" s="4" t="s">
        <v>77</v>
      </c>
      <c r="B71" s="4" t="s">
        <v>26</v>
      </c>
      <c r="C71" s="4" t="s">
        <v>6</v>
      </c>
      <c r="D71" s="11" t="s">
        <v>6</v>
      </c>
      <c r="E71" s="11" t="s">
        <v>6</v>
      </c>
      <c r="F71" s="11" t="s">
        <v>6</v>
      </c>
      <c r="G71" s="93" t="s">
        <v>918</v>
      </c>
      <c r="H71" s="93" t="s">
        <v>917</v>
      </c>
      <c r="I71" s="3"/>
      <c r="J71" s="3"/>
      <c r="K71" s="3"/>
      <c r="L71" s="3"/>
      <c r="M71" s="3"/>
      <c r="N71" s="3"/>
      <c r="O71" s="3"/>
      <c r="P71" s="3"/>
      <c r="Q71" s="3"/>
      <c r="R71" s="3"/>
    </row>
    <row r="72" spans="1:18" ht="15.75" customHeight="1" x14ac:dyDescent="0.2">
      <c r="A72" s="3"/>
      <c r="B72" s="3"/>
      <c r="C72" s="3"/>
      <c r="D72" s="10"/>
      <c r="E72" s="10"/>
      <c r="F72" s="10"/>
      <c r="G72" s="11"/>
      <c r="H72" s="11"/>
      <c r="I72" s="3"/>
      <c r="J72" s="3"/>
      <c r="K72" s="3"/>
      <c r="L72" s="3"/>
      <c r="M72" s="3"/>
      <c r="N72" s="3"/>
      <c r="O72" s="3"/>
      <c r="P72" s="3"/>
      <c r="Q72" s="3"/>
      <c r="R72" s="3"/>
    </row>
    <row r="73" spans="1:18" ht="15.75" customHeight="1" x14ac:dyDescent="0.2">
      <c r="A73" s="3"/>
      <c r="B73" s="3"/>
      <c r="C73" s="3"/>
      <c r="D73" s="10"/>
      <c r="E73" s="10"/>
      <c r="F73" s="10"/>
      <c r="G73" s="11"/>
      <c r="H73" s="11"/>
      <c r="I73" s="3"/>
      <c r="J73" s="3"/>
      <c r="K73" s="3"/>
      <c r="L73" s="3"/>
      <c r="M73" s="3"/>
      <c r="N73" s="3"/>
      <c r="O73" s="3"/>
      <c r="P73" s="3"/>
      <c r="Q73" s="3"/>
      <c r="R73" s="3"/>
    </row>
    <row r="74" spans="1:18" ht="15.75" customHeight="1" x14ac:dyDescent="0.2">
      <c r="A74" s="3"/>
      <c r="B74" s="3"/>
      <c r="C74" s="3"/>
      <c r="D74" s="10"/>
      <c r="E74" s="10"/>
      <c r="F74" s="10"/>
      <c r="G74" s="11"/>
      <c r="H74" s="11"/>
      <c r="I74" s="3"/>
      <c r="J74" s="3"/>
      <c r="K74" s="3"/>
      <c r="L74" s="3"/>
      <c r="M74" s="3"/>
      <c r="N74" s="3"/>
      <c r="O74" s="3"/>
      <c r="P74" s="3"/>
      <c r="Q74" s="3"/>
      <c r="R74" s="3"/>
    </row>
    <row r="75" spans="1:18" ht="15.75" customHeight="1" x14ac:dyDescent="0.2">
      <c r="A75" s="3"/>
      <c r="B75" s="3"/>
      <c r="C75" s="3"/>
      <c r="D75" s="10"/>
      <c r="E75" s="10"/>
      <c r="F75" s="10"/>
      <c r="G75" s="11"/>
      <c r="H75" s="11"/>
      <c r="I75" s="3"/>
      <c r="J75" s="3"/>
      <c r="K75" s="3"/>
      <c r="L75" s="3"/>
      <c r="M75" s="3"/>
      <c r="N75" s="3"/>
      <c r="O75" s="3"/>
      <c r="P75" s="3"/>
      <c r="Q75" s="3"/>
      <c r="R75" s="3"/>
    </row>
    <row r="76" spans="1:18" ht="15.75" customHeight="1" x14ac:dyDescent="0.2">
      <c r="A76" s="3"/>
      <c r="B76" s="3"/>
      <c r="C76" s="3"/>
      <c r="D76" s="10"/>
      <c r="E76" s="10"/>
      <c r="F76" s="10"/>
      <c r="G76" s="11"/>
      <c r="H76" s="11"/>
      <c r="I76" s="3"/>
      <c r="J76" s="3"/>
      <c r="K76" s="3"/>
      <c r="L76" s="3"/>
      <c r="M76" s="3"/>
      <c r="N76" s="3"/>
      <c r="O76" s="3"/>
      <c r="P76" s="3"/>
      <c r="Q76" s="3"/>
      <c r="R76" s="3"/>
    </row>
    <row r="77" spans="1:18" ht="15.75" customHeight="1" x14ac:dyDescent="0.2">
      <c r="A77" s="3"/>
      <c r="B77" s="3"/>
      <c r="C77" s="3"/>
      <c r="D77" s="10"/>
      <c r="E77" s="10"/>
      <c r="F77" s="10"/>
      <c r="G77" s="11"/>
      <c r="H77" s="11"/>
      <c r="I77" s="3"/>
      <c r="J77" s="3"/>
      <c r="K77" s="3"/>
      <c r="L77" s="3"/>
      <c r="M77" s="3"/>
      <c r="N77" s="3"/>
      <c r="O77" s="3"/>
      <c r="P77" s="3"/>
      <c r="Q77" s="3"/>
      <c r="R77" s="3"/>
    </row>
    <row r="78" spans="1:18" ht="15.75" customHeight="1" x14ac:dyDescent="0.2">
      <c r="A78" s="3"/>
      <c r="B78" s="3"/>
      <c r="C78" s="3"/>
      <c r="D78" s="10"/>
      <c r="E78" s="10"/>
      <c r="F78" s="10"/>
      <c r="G78" s="11"/>
      <c r="H78" s="11"/>
      <c r="I78" s="3"/>
      <c r="J78" s="3"/>
      <c r="K78" s="3"/>
      <c r="L78" s="3"/>
      <c r="M78" s="3"/>
      <c r="N78" s="3"/>
      <c r="O78" s="3"/>
      <c r="P78" s="3"/>
      <c r="Q78" s="3"/>
      <c r="R78" s="3"/>
    </row>
    <row r="79" spans="1:18" ht="15.75" customHeight="1" x14ac:dyDescent="0.2">
      <c r="A79" s="3"/>
      <c r="B79" s="3"/>
      <c r="C79" s="3"/>
      <c r="D79" s="10"/>
      <c r="E79" s="10"/>
      <c r="F79" s="10"/>
      <c r="G79" s="11"/>
      <c r="H79" s="11"/>
      <c r="I79" s="3"/>
      <c r="J79" s="3"/>
      <c r="K79" s="3"/>
      <c r="L79" s="3"/>
      <c r="M79" s="3"/>
      <c r="N79" s="3"/>
      <c r="O79" s="3"/>
      <c r="P79" s="3"/>
      <c r="Q79" s="3"/>
      <c r="R79" s="3"/>
    </row>
    <row r="80" spans="1:18" ht="15.75" customHeight="1" x14ac:dyDescent="0.2">
      <c r="A80" s="3"/>
      <c r="B80" s="3"/>
      <c r="C80" s="3"/>
      <c r="D80" s="10"/>
      <c r="E80" s="10"/>
      <c r="F80" s="10"/>
      <c r="G80" s="11"/>
      <c r="H80" s="11"/>
      <c r="I80" s="3"/>
      <c r="J80" s="3"/>
      <c r="K80" s="3"/>
      <c r="L80" s="3"/>
      <c r="M80" s="3"/>
      <c r="N80" s="3"/>
      <c r="O80" s="3"/>
      <c r="P80" s="3"/>
      <c r="Q80" s="3"/>
      <c r="R80" s="3"/>
    </row>
    <row r="81" spans="1:18" ht="15.75" customHeight="1" x14ac:dyDescent="0.2">
      <c r="A81" s="3"/>
      <c r="B81" s="3"/>
      <c r="C81" s="3"/>
      <c r="D81" s="10"/>
      <c r="E81" s="10"/>
      <c r="F81" s="10"/>
      <c r="G81" s="11"/>
      <c r="H81" s="11"/>
      <c r="I81" s="3"/>
      <c r="J81" s="3"/>
      <c r="K81" s="3"/>
      <c r="L81" s="3"/>
      <c r="M81" s="3"/>
      <c r="N81" s="3"/>
      <c r="O81" s="3"/>
      <c r="P81" s="3"/>
      <c r="Q81" s="3"/>
      <c r="R81" s="3"/>
    </row>
    <row r="82" spans="1:18" ht="15.75" customHeight="1" x14ac:dyDescent="0.2">
      <c r="A82" s="3"/>
      <c r="B82" s="3"/>
      <c r="C82" s="3"/>
      <c r="D82" s="10"/>
      <c r="E82" s="10"/>
      <c r="F82" s="10"/>
      <c r="G82" s="11"/>
      <c r="H82" s="11"/>
      <c r="I82" s="3"/>
      <c r="J82" s="3"/>
      <c r="K82" s="3"/>
      <c r="L82" s="3"/>
      <c r="M82" s="3"/>
      <c r="N82" s="3"/>
      <c r="O82" s="3"/>
      <c r="P82" s="3"/>
      <c r="Q82" s="3"/>
      <c r="R82" s="3"/>
    </row>
    <row r="83" spans="1:18" ht="15.75" customHeight="1" x14ac:dyDescent="0.2">
      <c r="A83" s="3"/>
      <c r="B83" s="3"/>
      <c r="C83" s="3"/>
      <c r="D83" s="10"/>
      <c r="E83" s="10"/>
      <c r="F83" s="10"/>
      <c r="G83" s="11"/>
      <c r="H83" s="11"/>
      <c r="I83" s="3"/>
      <c r="J83" s="3"/>
      <c r="K83" s="3"/>
      <c r="L83" s="3"/>
      <c r="M83" s="3"/>
      <c r="N83" s="3"/>
      <c r="O83" s="3"/>
      <c r="P83" s="3"/>
      <c r="Q83" s="3"/>
      <c r="R83" s="3"/>
    </row>
    <row r="84" spans="1:18" ht="15.75" customHeight="1" x14ac:dyDescent="0.2">
      <c r="A84" s="3"/>
      <c r="B84" s="3"/>
      <c r="C84" s="3"/>
      <c r="D84" s="10"/>
      <c r="E84" s="10"/>
      <c r="F84" s="10"/>
      <c r="G84" s="11"/>
      <c r="H84" s="11"/>
      <c r="I84" s="3"/>
      <c r="J84" s="3"/>
      <c r="K84" s="3"/>
      <c r="L84" s="3"/>
      <c r="M84" s="3"/>
      <c r="N84" s="3"/>
      <c r="O84" s="3"/>
      <c r="P84" s="3"/>
      <c r="Q84" s="3"/>
      <c r="R84" s="3"/>
    </row>
    <row r="85" spans="1:18" ht="15.75" customHeight="1" x14ac:dyDescent="0.2">
      <c r="A85" s="3"/>
      <c r="B85" s="3"/>
      <c r="C85" s="3"/>
      <c r="D85" s="10"/>
      <c r="E85" s="10"/>
      <c r="F85" s="10"/>
      <c r="G85" s="11"/>
      <c r="H85" s="11"/>
      <c r="I85" s="3"/>
      <c r="J85" s="3"/>
      <c r="K85" s="3"/>
      <c r="L85" s="3"/>
      <c r="M85" s="3"/>
      <c r="N85" s="3"/>
      <c r="O85" s="3"/>
      <c r="P85" s="3"/>
      <c r="Q85" s="3"/>
      <c r="R85" s="3"/>
    </row>
    <row r="86" spans="1:18" ht="15.75" customHeight="1" x14ac:dyDescent="0.2">
      <c r="A86" s="3"/>
      <c r="B86" s="3"/>
      <c r="C86" s="3"/>
      <c r="D86" s="10"/>
      <c r="E86" s="10"/>
      <c r="F86" s="10"/>
      <c r="G86" s="11"/>
      <c r="H86" s="11"/>
      <c r="I86" s="3"/>
      <c r="J86" s="3"/>
      <c r="K86" s="3"/>
      <c r="L86" s="3"/>
      <c r="M86" s="3"/>
      <c r="N86" s="3"/>
      <c r="O86" s="3"/>
      <c r="P86" s="3"/>
      <c r="Q86" s="3"/>
      <c r="R86" s="3"/>
    </row>
    <row r="87" spans="1:18" ht="15.75" customHeight="1" x14ac:dyDescent="0.2">
      <c r="A87" s="3"/>
      <c r="B87" s="3"/>
      <c r="C87" s="3"/>
      <c r="D87" s="10"/>
      <c r="E87" s="10"/>
      <c r="F87" s="10"/>
      <c r="G87" s="11"/>
      <c r="H87" s="11"/>
      <c r="I87" s="3"/>
      <c r="J87" s="3"/>
      <c r="K87" s="3"/>
      <c r="L87" s="3"/>
      <c r="M87" s="3"/>
      <c r="N87" s="3"/>
      <c r="O87" s="3"/>
      <c r="P87" s="3"/>
      <c r="Q87" s="3"/>
      <c r="R87" s="3"/>
    </row>
    <row r="88" spans="1:18" ht="15.75" customHeight="1" x14ac:dyDescent="0.2">
      <c r="A88" s="3"/>
      <c r="B88" s="3"/>
      <c r="C88" s="3"/>
      <c r="D88" s="10"/>
      <c r="E88" s="10"/>
      <c r="F88" s="10"/>
      <c r="G88" s="11"/>
      <c r="H88" s="11"/>
      <c r="I88" s="3"/>
      <c r="J88" s="3"/>
      <c r="K88" s="3"/>
      <c r="L88" s="3"/>
      <c r="M88" s="3"/>
      <c r="N88" s="3"/>
      <c r="O88" s="3"/>
      <c r="P88" s="3"/>
      <c r="Q88" s="3"/>
      <c r="R88" s="3"/>
    </row>
    <row r="89" spans="1:18" ht="15.75" customHeight="1" x14ac:dyDescent="0.2">
      <c r="A89" s="3"/>
      <c r="B89" s="3"/>
      <c r="C89" s="3"/>
      <c r="D89" s="10"/>
      <c r="E89" s="10"/>
      <c r="F89" s="10"/>
      <c r="G89" s="11"/>
      <c r="H89" s="11"/>
      <c r="I89" s="3"/>
      <c r="J89" s="3"/>
      <c r="K89" s="3"/>
      <c r="L89" s="3"/>
      <c r="M89" s="3"/>
      <c r="N89" s="3"/>
      <c r="O89" s="3"/>
      <c r="P89" s="3"/>
      <c r="Q89" s="3"/>
      <c r="R89" s="3"/>
    </row>
    <row r="90" spans="1:18" ht="15.75" customHeight="1" x14ac:dyDescent="0.2">
      <c r="A90" s="3"/>
      <c r="B90" s="3"/>
      <c r="C90" s="3"/>
      <c r="D90" s="10"/>
      <c r="E90" s="10"/>
      <c r="F90" s="10"/>
      <c r="G90" s="11"/>
      <c r="H90" s="11"/>
      <c r="I90" s="3"/>
      <c r="J90" s="3"/>
      <c r="K90" s="3"/>
      <c r="L90" s="3"/>
      <c r="M90" s="3"/>
      <c r="N90" s="3"/>
      <c r="O90" s="3"/>
      <c r="P90" s="3"/>
      <c r="Q90" s="3"/>
      <c r="R90" s="3"/>
    </row>
    <row r="91" spans="1:18" ht="15.75" customHeight="1" x14ac:dyDescent="0.2">
      <c r="A91" s="3"/>
      <c r="B91" s="3"/>
      <c r="C91" s="3"/>
      <c r="D91" s="10"/>
      <c r="E91" s="10"/>
      <c r="F91" s="10"/>
      <c r="G91" s="11"/>
      <c r="H91" s="11"/>
      <c r="I91" s="3"/>
      <c r="J91" s="3"/>
      <c r="K91" s="3"/>
      <c r="L91" s="3"/>
      <c r="M91" s="3"/>
      <c r="N91" s="3"/>
      <c r="O91" s="3"/>
      <c r="P91" s="3"/>
      <c r="Q91" s="3"/>
      <c r="R91" s="3"/>
    </row>
    <row r="92" spans="1:18" ht="15.75" customHeight="1" x14ac:dyDescent="0.2">
      <c r="A92" s="3"/>
      <c r="B92" s="3"/>
      <c r="C92" s="3"/>
      <c r="D92" s="10"/>
      <c r="E92" s="10"/>
      <c r="F92" s="10"/>
      <c r="G92" s="11"/>
      <c r="H92" s="11"/>
      <c r="I92" s="3"/>
      <c r="J92" s="3"/>
      <c r="K92" s="3"/>
      <c r="L92" s="3"/>
      <c r="M92" s="3"/>
      <c r="N92" s="3"/>
      <c r="O92" s="3"/>
      <c r="P92" s="3"/>
      <c r="Q92" s="3"/>
      <c r="R92" s="3"/>
    </row>
    <row r="93" spans="1:18" ht="15.75" customHeight="1" x14ac:dyDescent="0.2">
      <c r="A93" s="3"/>
      <c r="B93" s="3"/>
      <c r="C93" s="3"/>
      <c r="D93" s="10"/>
      <c r="E93" s="10"/>
      <c r="F93" s="10"/>
      <c r="G93" s="11"/>
      <c r="H93" s="11"/>
      <c r="I93" s="3"/>
      <c r="J93" s="3"/>
      <c r="K93" s="3"/>
      <c r="L93" s="3"/>
      <c r="M93" s="3"/>
      <c r="N93" s="3"/>
      <c r="O93" s="3"/>
      <c r="P93" s="3"/>
      <c r="Q93" s="3"/>
      <c r="R93" s="3"/>
    </row>
    <row r="94" spans="1:18" ht="15.75" customHeight="1" x14ac:dyDescent="0.2">
      <c r="A94" s="3"/>
      <c r="B94" s="3"/>
      <c r="C94" s="3"/>
      <c r="D94" s="10"/>
      <c r="E94" s="10"/>
      <c r="F94" s="10"/>
      <c r="G94" s="11"/>
      <c r="H94" s="11"/>
      <c r="I94" s="3"/>
      <c r="J94" s="3"/>
      <c r="K94" s="3"/>
      <c r="L94" s="3"/>
      <c r="M94" s="3"/>
      <c r="N94" s="3"/>
      <c r="O94" s="3"/>
      <c r="P94" s="3"/>
      <c r="Q94" s="3"/>
      <c r="R94" s="3"/>
    </row>
    <row r="95" spans="1:18" ht="15.75" customHeight="1" x14ac:dyDescent="0.2">
      <c r="A95" s="3"/>
      <c r="B95" s="3"/>
      <c r="C95" s="3"/>
      <c r="D95" s="10"/>
      <c r="E95" s="10"/>
      <c r="F95" s="10"/>
      <c r="G95" s="11"/>
      <c r="H95" s="11"/>
      <c r="I95" s="3"/>
      <c r="J95" s="3"/>
      <c r="K95" s="3"/>
      <c r="L95" s="3"/>
      <c r="M95" s="3"/>
      <c r="N95" s="3"/>
      <c r="O95" s="3"/>
      <c r="P95" s="3"/>
      <c r="Q95" s="3"/>
      <c r="R95" s="3"/>
    </row>
    <row r="96" spans="1:18" ht="15.75" customHeight="1" x14ac:dyDescent="0.2">
      <c r="A96" s="3"/>
      <c r="B96" s="3"/>
      <c r="C96" s="3"/>
      <c r="D96" s="10"/>
      <c r="E96" s="10"/>
      <c r="F96" s="10"/>
      <c r="G96" s="11"/>
      <c r="H96" s="11"/>
      <c r="I96" s="3"/>
      <c r="J96" s="3"/>
      <c r="K96" s="3"/>
      <c r="L96" s="3"/>
      <c r="M96" s="3"/>
      <c r="N96" s="3"/>
      <c r="O96" s="3"/>
      <c r="P96" s="3"/>
      <c r="Q96" s="3"/>
      <c r="R96" s="3"/>
    </row>
    <row r="97" spans="1:18" ht="15.75" customHeight="1" x14ac:dyDescent="0.2">
      <c r="A97" s="3"/>
      <c r="B97" s="3"/>
      <c r="C97" s="3"/>
      <c r="D97" s="10"/>
      <c r="E97" s="10"/>
      <c r="F97" s="10"/>
      <c r="G97" s="11"/>
      <c r="H97" s="11"/>
      <c r="I97" s="3"/>
      <c r="J97" s="3"/>
      <c r="K97" s="3"/>
      <c r="L97" s="3"/>
      <c r="M97" s="3"/>
      <c r="N97" s="3"/>
      <c r="O97" s="3"/>
      <c r="P97" s="3"/>
      <c r="Q97" s="3"/>
      <c r="R97" s="3"/>
    </row>
    <row r="98" spans="1:18" ht="15.75" customHeight="1" x14ac:dyDescent="0.2">
      <c r="A98" s="3"/>
      <c r="B98" s="3"/>
      <c r="C98" s="3"/>
      <c r="D98" s="10"/>
      <c r="E98" s="10"/>
      <c r="F98" s="10"/>
      <c r="G98" s="11"/>
      <c r="H98" s="11"/>
      <c r="I98" s="3"/>
      <c r="J98" s="3"/>
      <c r="K98" s="3"/>
      <c r="L98" s="3"/>
      <c r="M98" s="3"/>
      <c r="N98" s="3"/>
      <c r="O98" s="3"/>
      <c r="P98" s="3"/>
      <c r="Q98" s="3"/>
      <c r="R98" s="3"/>
    </row>
    <row r="99" spans="1:18" ht="15.75" customHeight="1" x14ac:dyDescent="0.2">
      <c r="A99" s="3"/>
      <c r="B99" s="3"/>
      <c r="C99" s="3"/>
      <c r="D99" s="10"/>
      <c r="E99" s="10"/>
      <c r="F99" s="10"/>
      <c r="G99" s="11"/>
      <c r="H99" s="11"/>
      <c r="I99" s="3"/>
      <c r="J99" s="3"/>
      <c r="K99" s="3"/>
      <c r="L99" s="3"/>
      <c r="M99" s="3"/>
      <c r="N99" s="3"/>
      <c r="O99" s="3"/>
      <c r="P99" s="3"/>
      <c r="Q99" s="3"/>
      <c r="R99" s="3"/>
    </row>
    <row r="100" spans="1:18" ht="15.75" customHeight="1" x14ac:dyDescent="0.2">
      <c r="A100" s="3"/>
      <c r="B100" s="3"/>
      <c r="C100" s="3"/>
      <c r="D100" s="10"/>
      <c r="E100" s="10"/>
      <c r="F100" s="10"/>
      <c r="G100" s="11"/>
      <c r="H100" s="11"/>
      <c r="I100" s="3"/>
      <c r="J100" s="3"/>
      <c r="K100" s="3"/>
      <c r="L100" s="3"/>
      <c r="M100" s="3"/>
      <c r="N100" s="3"/>
      <c r="O100" s="3"/>
      <c r="P100" s="3"/>
      <c r="Q100" s="3"/>
      <c r="R100" s="3"/>
    </row>
    <row r="101" spans="1:18" ht="15.75" customHeight="1" x14ac:dyDescent="0.2">
      <c r="A101" s="3"/>
      <c r="B101" s="3"/>
      <c r="C101" s="3"/>
      <c r="D101" s="10"/>
      <c r="E101" s="10"/>
      <c r="F101" s="10"/>
      <c r="G101" s="11"/>
      <c r="H101" s="11"/>
      <c r="I101" s="3"/>
      <c r="J101" s="3"/>
      <c r="K101" s="3"/>
      <c r="L101" s="3"/>
      <c r="M101" s="3"/>
      <c r="N101" s="3"/>
      <c r="O101" s="3"/>
      <c r="P101" s="3"/>
      <c r="Q101" s="3"/>
      <c r="R101" s="3"/>
    </row>
    <row r="102" spans="1:18" ht="15.75" customHeight="1" x14ac:dyDescent="0.2">
      <c r="A102" s="3"/>
      <c r="B102" s="3"/>
      <c r="C102" s="3"/>
      <c r="D102" s="10"/>
      <c r="E102" s="10"/>
      <c r="F102" s="10"/>
      <c r="G102" s="11"/>
      <c r="H102" s="11"/>
      <c r="I102" s="3"/>
      <c r="J102" s="3"/>
      <c r="K102" s="3"/>
      <c r="L102" s="3"/>
      <c r="M102" s="3"/>
      <c r="N102" s="3"/>
      <c r="O102" s="3"/>
      <c r="P102" s="3"/>
      <c r="Q102" s="3"/>
      <c r="R102" s="3"/>
    </row>
    <row r="103" spans="1:18" ht="15.75" customHeight="1" x14ac:dyDescent="0.2">
      <c r="A103" s="3"/>
      <c r="B103" s="3"/>
      <c r="C103" s="3"/>
      <c r="D103" s="10"/>
      <c r="E103" s="10"/>
      <c r="F103" s="10"/>
      <c r="G103" s="11"/>
      <c r="H103" s="11"/>
      <c r="I103" s="3"/>
      <c r="J103" s="3"/>
      <c r="K103" s="3"/>
      <c r="L103" s="3"/>
      <c r="M103" s="3"/>
      <c r="N103" s="3"/>
      <c r="O103" s="3"/>
      <c r="P103" s="3"/>
      <c r="Q103" s="3"/>
      <c r="R103" s="3"/>
    </row>
    <row r="104" spans="1:18" ht="15.75" customHeight="1" x14ac:dyDescent="0.2">
      <c r="A104" s="3"/>
      <c r="B104" s="3"/>
      <c r="C104" s="3"/>
      <c r="D104" s="10"/>
      <c r="E104" s="10"/>
      <c r="F104" s="10"/>
      <c r="G104" s="11"/>
      <c r="H104" s="11"/>
      <c r="I104" s="3"/>
      <c r="J104" s="3"/>
      <c r="K104" s="3"/>
      <c r="L104" s="3"/>
      <c r="M104" s="3"/>
      <c r="N104" s="3"/>
      <c r="O104" s="3"/>
      <c r="P104" s="3"/>
      <c r="Q104" s="3"/>
      <c r="R104" s="3"/>
    </row>
    <row r="105" spans="1:18" ht="15.75" customHeight="1" x14ac:dyDescent="0.2">
      <c r="A105" s="3"/>
      <c r="B105" s="3"/>
      <c r="C105" s="3"/>
      <c r="D105" s="10"/>
      <c r="E105" s="10"/>
      <c r="F105" s="10"/>
      <c r="G105" s="11"/>
      <c r="H105" s="11"/>
      <c r="I105" s="3"/>
      <c r="J105" s="3"/>
      <c r="K105" s="3"/>
      <c r="L105" s="3"/>
      <c r="M105" s="3"/>
      <c r="N105" s="3"/>
      <c r="O105" s="3"/>
      <c r="P105" s="3"/>
      <c r="Q105" s="3"/>
      <c r="R105" s="3"/>
    </row>
    <row r="106" spans="1:18" ht="15.75" customHeight="1" x14ac:dyDescent="0.2">
      <c r="A106" s="3"/>
      <c r="B106" s="3"/>
      <c r="C106" s="3"/>
      <c r="D106" s="10"/>
      <c r="E106" s="10"/>
      <c r="F106" s="10"/>
      <c r="G106" s="11"/>
      <c r="H106" s="11"/>
      <c r="I106" s="3"/>
      <c r="J106" s="3"/>
      <c r="K106" s="3"/>
      <c r="L106" s="3"/>
      <c r="M106" s="3"/>
      <c r="N106" s="3"/>
      <c r="O106" s="3"/>
      <c r="P106" s="3"/>
      <c r="Q106" s="3"/>
      <c r="R106" s="3"/>
    </row>
    <row r="107" spans="1:18" ht="15.75" customHeight="1" x14ac:dyDescent="0.2">
      <c r="A107" s="3"/>
      <c r="B107" s="3"/>
      <c r="C107" s="3"/>
      <c r="D107" s="10"/>
      <c r="E107" s="10"/>
      <c r="F107" s="10"/>
      <c r="G107" s="11"/>
      <c r="H107" s="11"/>
      <c r="I107" s="3"/>
      <c r="J107" s="3"/>
      <c r="K107" s="3"/>
      <c r="L107" s="3"/>
      <c r="M107" s="3"/>
      <c r="N107" s="3"/>
      <c r="O107" s="3"/>
      <c r="P107" s="3"/>
      <c r="Q107" s="3"/>
      <c r="R107" s="3"/>
    </row>
    <row r="108" spans="1:18" ht="15.75" customHeight="1" x14ac:dyDescent="0.2">
      <c r="A108" s="3"/>
      <c r="B108" s="3"/>
      <c r="C108" s="3"/>
      <c r="D108" s="10"/>
      <c r="E108" s="10"/>
      <c r="F108" s="10"/>
      <c r="G108" s="11"/>
      <c r="H108" s="11"/>
      <c r="I108" s="3"/>
      <c r="J108" s="3"/>
      <c r="K108" s="3"/>
      <c r="L108" s="3"/>
      <c r="M108" s="3"/>
      <c r="N108" s="3"/>
      <c r="O108" s="3"/>
      <c r="P108" s="3"/>
      <c r="Q108" s="3"/>
      <c r="R108" s="3"/>
    </row>
    <row r="109" spans="1:18" ht="15.75" customHeight="1" x14ac:dyDescent="0.2">
      <c r="A109" s="3"/>
      <c r="B109" s="3"/>
      <c r="C109" s="3"/>
      <c r="D109" s="10"/>
      <c r="E109" s="10"/>
      <c r="F109" s="10"/>
      <c r="G109" s="11"/>
      <c r="H109" s="11"/>
      <c r="I109" s="3"/>
      <c r="J109" s="3"/>
      <c r="K109" s="3"/>
      <c r="L109" s="3"/>
      <c r="M109" s="3"/>
      <c r="N109" s="3"/>
      <c r="O109" s="3"/>
      <c r="P109" s="3"/>
      <c r="Q109" s="3"/>
      <c r="R109" s="3"/>
    </row>
    <row r="110" spans="1:18" ht="15.75" customHeight="1" x14ac:dyDescent="0.2">
      <c r="A110" s="3"/>
      <c r="B110" s="3"/>
      <c r="C110" s="3"/>
      <c r="D110" s="10"/>
      <c r="E110" s="10"/>
      <c r="F110" s="10"/>
      <c r="G110" s="11"/>
      <c r="H110" s="11"/>
      <c r="I110" s="3"/>
      <c r="J110" s="3"/>
      <c r="K110" s="3"/>
      <c r="L110" s="3"/>
      <c r="M110" s="3"/>
      <c r="N110" s="3"/>
      <c r="O110" s="3"/>
      <c r="P110" s="3"/>
      <c r="Q110" s="3"/>
      <c r="R110" s="3"/>
    </row>
    <row r="111" spans="1:18" ht="15.75" customHeight="1" x14ac:dyDescent="0.2">
      <c r="A111" s="3"/>
      <c r="B111" s="3"/>
      <c r="C111" s="3"/>
      <c r="D111" s="10"/>
      <c r="E111" s="10"/>
      <c r="F111" s="10"/>
      <c r="G111" s="11"/>
      <c r="H111" s="11"/>
      <c r="I111" s="3"/>
      <c r="J111" s="3"/>
      <c r="K111" s="3"/>
      <c r="L111" s="3"/>
      <c r="M111" s="3"/>
      <c r="N111" s="3"/>
      <c r="O111" s="3"/>
      <c r="P111" s="3"/>
      <c r="Q111" s="3"/>
      <c r="R111" s="3"/>
    </row>
    <row r="112" spans="1:18" ht="15.75" customHeight="1" x14ac:dyDescent="0.2">
      <c r="A112" s="3"/>
      <c r="B112" s="3"/>
      <c r="C112" s="3"/>
      <c r="D112" s="10"/>
      <c r="E112" s="10"/>
      <c r="F112" s="10"/>
      <c r="G112" s="11"/>
      <c r="H112" s="11"/>
      <c r="I112" s="3"/>
      <c r="J112" s="3"/>
      <c r="K112" s="3"/>
      <c r="L112" s="3"/>
      <c r="M112" s="3"/>
      <c r="N112" s="3"/>
      <c r="O112" s="3"/>
      <c r="P112" s="3"/>
      <c r="Q112" s="3"/>
      <c r="R112" s="3"/>
    </row>
    <row r="113" spans="1:18" ht="15.75" customHeight="1" x14ac:dyDescent="0.2">
      <c r="A113" s="3"/>
      <c r="B113" s="3"/>
      <c r="C113" s="3"/>
      <c r="D113" s="10"/>
      <c r="E113" s="10"/>
      <c r="F113" s="10"/>
      <c r="G113" s="11"/>
      <c r="H113" s="11"/>
      <c r="I113" s="3"/>
      <c r="J113" s="3"/>
      <c r="K113" s="3"/>
      <c r="L113" s="3"/>
      <c r="M113" s="3"/>
      <c r="N113" s="3"/>
      <c r="O113" s="3"/>
      <c r="P113" s="3"/>
      <c r="Q113" s="3"/>
      <c r="R113" s="3"/>
    </row>
    <row r="114" spans="1:18" ht="15.75" customHeight="1" x14ac:dyDescent="0.2">
      <c r="A114" s="3"/>
      <c r="B114" s="3"/>
      <c r="C114" s="3"/>
      <c r="D114" s="10"/>
      <c r="E114" s="10"/>
      <c r="F114" s="10"/>
      <c r="G114" s="11"/>
      <c r="H114" s="11"/>
      <c r="I114" s="3"/>
      <c r="J114" s="3"/>
      <c r="K114" s="3"/>
      <c r="L114" s="3"/>
      <c r="M114" s="3"/>
      <c r="N114" s="3"/>
      <c r="O114" s="3"/>
      <c r="P114" s="3"/>
      <c r="Q114" s="3"/>
      <c r="R114" s="3"/>
    </row>
    <row r="115" spans="1:18" ht="15.75" customHeight="1" x14ac:dyDescent="0.2">
      <c r="A115" s="3"/>
      <c r="B115" s="3"/>
      <c r="C115" s="3"/>
      <c r="D115" s="10"/>
      <c r="E115" s="10"/>
      <c r="F115" s="10"/>
      <c r="G115" s="11"/>
      <c r="H115" s="11"/>
      <c r="I115" s="3"/>
      <c r="J115" s="3"/>
      <c r="K115" s="3"/>
      <c r="L115" s="3"/>
      <c r="M115" s="3"/>
      <c r="N115" s="3"/>
      <c r="O115" s="3"/>
      <c r="P115" s="3"/>
      <c r="Q115" s="3"/>
      <c r="R115" s="3"/>
    </row>
    <row r="116" spans="1:18" ht="15.75" customHeight="1" x14ac:dyDescent="0.2">
      <c r="A116" s="3"/>
      <c r="B116" s="3"/>
      <c r="C116" s="3"/>
      <c r="D116" s="10"/>
      <c r="E116" s="10"/>
      <c r="F116" s="10"/>
      <c r="G116" s="11"/>
      <c r="H116" s="11"/>
      <c r="I116" s="3"/>
      <c r="J116" s="3"/>
      <c r="K116" s="3"/>
      <c r="L116" s="3"/>
      <c r="M116" s="3"/>
      <c r="N116" s="3"/>
      <c r="O116" s="3"/>
      <c r="P116" s="3"/>
      <c r="Q116" s="3"/>
      <c r="R116" s="3"/>
    </row>
    <row r="117" spans="1:18" ht="15.75" customHeight="1" x14ac:dyDescent="0.2">
      <c r="A117" s="3"/>
      <c r="B117" s="3"/>
      <c r="C117" s="3"/>
      <c r="D117" s="10"/>
      <c r="E117" s="10"/>
      <c r="F117" s="10"/>
      <c r="G117" s="11"/>
      <c r="H117" s="11"/>
      <c r="I117" s="3"/>
      <c r="J117" s="3"/>
      <c r="K117" s="3"/>
      <c r="L117" s="3"/>
      <c r="M117" s="3"/>
      <c r="N117" s="3"/>
      <c r="O117" s="3"/>
      <c r="P117" s="3"/>
      <c r="Q117" s="3"/>
      <c r="R117" s="3"/>
    </row>
    <row r="118" spans="1:18" ht="15.75" customHeight="1" x14ac:dyDescent="0.2">
      <c r="A118" s="3"/>
      <c r="B118" s="3"/>
      <c r="C118" s="3"/>
      <c r="D118" s="10"/>
      <c r="E118" s="10"/>
      <c r="F118" s="10"/>
      <c r="G118" s="11"/>
      <c r="H118" s="11"/>
      <c r="I118" s="3"/>
      <c r="J118" s="3"/>
      <c r="K118" s="3"/>
      <c r="L118" s="3"/>
      <c r="M118" s="3"/>
      <c r="N118" s="3"/>
      <c r="O118" s="3"/>
      <c r="P118" s="3"/>
      <c r="Q118" s="3"/>
      <c r="R118" s="3"/>
    </row>
    <row r="119" spans="1:18" ht="15.75" customHeight="1" x14ac:dyDescent="0.2">
      <c r="A119" s="3"/>
      <c r="B119" s="3"/>
      <c r="C119" s="3"/>
      <c r="D119" s="10"/>
      <c r="E119" s="10"/>
      <c r="F119" s="10"/>
      <c r="G119" s="11"/>
      <c r="H119" s="11"/>
      <c r="I119" s="3"/>
      <c r="J119" s="3"/>
      <c r="K119" s="3"/>
      <c r="L119" s="3"/>
      <c r="M119" s="3"/>
      <c r="N119" s="3"/>
      <c r="O119" s="3"/>
      <c r="P119" s="3"/>
      <c r="Q119" s="3"/>
      <c r="R119" s="3"/>
    </row>
    <row r="120" spans="1:18" ht="15.75" customHeight="1" x14ac:dyDescent="0.2">
      <c r="A120" s="3"/>
      <c r="B120" s="3"/>
      <c r="C120" s="3"/>
      <c r="D120" s="10"/>
      <c r="E120" s="10"/>
      <c r="F120" s="10"/>
      <c r="G120" s="11"/>
      <c r="H120" s="11"/>
      <c r="I120" s="3"/>
      <c r="J120" s="3"/>
      <c r="K120" s="3"/>
      <c r="L120" s="3"/>
      <c r="M120" s="3"/>
      <c r="N120" s="3"/>
      <c r="O120" s="3"/>
      <c r="P120" s="3"/>
      <c r="Q120" s="3"/>
      <c r="R120" s="3"/>
    </row>
    <row r="121" spans="1:18" ht="15.75" customHeight="1" x14ac:dyDescent="0.2">
      <c r="A121" s="3"/>
      <c r="B121" s="3"/>
      <c r="C121" s="3"/>
      <c r="D121" s="10"/>
      <c r="E121" s="10"/>
      <c r="F121" s="10"/>
      <c r="G121" s="11"/>
      <c r="H121" s="11"/>
      <c r="I121" s="3"/>
      <c r="J121" s="3"/>
      <c r="K121" s="3"/>
      <c r="L121" s="3"/>
      <c r="M121" s="3"/>
      <c r="N121" s="3"/>
      <c r="O121" s="3"/>
      <c r="P121" s="3"/>
      <c r="Q121" s="3"/>
      <c r="R121" s="3"/>
    </row>
    <row r="122" spans="1:18" ht="15.75" customHeight="1" x14ac:dyDescent="0.2">
      <c r="A122" s="3"/>
      <c r="B122" s="3"/>
      <c r="C122" s="3"/>
      <c r="D122" s="10"/>
      <c r="E122" s="10"/>
      <c r="F122" s="10"/>
      <c r="G122" s="11"/>
      <c r="H122" s="11"/>
      <c r="I122" s="3"/>
      <c r="J122" s="3"/>
      <c r="K122" s="3"/>
      <c r="L122" s="3"/>
      <c r="M122" s="3"/>
      <c r="N122" s="3"/>
      <c r="O122" s="3"/>
      <c r="P122" s="3"/>
      <c r="Q122" s="3"/>
      <c r="R122" s="3"/>
    </row>
    <row r="123" spans="1:18" ht="15.75" customHeight="1" x14ac:dyDescent="0.2">
      <c r="A123" s="3"/>
      <c r="B123" s="3"/>
      <c r="C123" s="3"/>
      <c r="D123" s="10"/>
      <c r="E123" s="10"/>
      <c r="F123" s="10"/>
      <c r="G123" s="11"/>
      <c r="H123" s="11"/>
      <c r="I123" s="3"/>
      <c r="J123" s="3"/>
      <c r="K123" s="3"/>
      <c r="L123" s="3"/>
      <c r="M123" s="3"/>
      <c r="N123" s="3"/>
      <c r="O123" s="3"/>
      <c r="P123" s="3"/>
      <c r="Q123" s="3"/>
      <c r="R123" s="3"/>
    </row>
    <row r="124" spans="1:18" ht="15.75" customHeight="1" x14ac:dyDescent="0.2">
      <c r="A124" s="3"/>
      <c r="B124" s="3"/>
      <c r="C124" s="3"/>
      <c r="D124" s="10"/>
      <c r="E124" s="10"/>
      <c r="F124" s="10"/>
      <c r="G124" s="11"/>
      <c r="H124" s="11"/>
      <c r="I124" s="3"/>
      <c r="J124" s="3"/>
      <c r="K124" s="3"/>
      <c r="L124" s="3"/>
      <c r="M124" s="3"/>
      <c r="N124" s="3"/>
      <c r="O124" s="3"/>
      <c r="P124" s="3"/>
      <c r="Q124" s="3"/>
      <c r="R124" s="3"/>
    </row>
    <row r="125" spans="1:18" ht="15.75" customHeight="1" x14ac:dyDescent="0.2">
      <c r="A125" s="3"/>
      <c r="B125" s="3"/>
      <c r="C125" s="3"/>
      <c r="D125" s="10"/>
      <c r="E125" s="10"/>
      <c r="F125" s="10"/>
      <c r="G125" s="11"/>
      <c r="H125" s="11"/>
      <c r="I125" s="3"/>
      <c r="J125" s="3"/>
      <c r="K125" s="3"/>
      <c r="L125" s="3"/>
      <c r="M125" s="3"/>
      <c r="N125" s="3"/>
      <c r="O125" s="3"/>
      <c r="P125" s="3"/>
      <c r="Q125" s="3"/>
      <c r="R125" s="3"/>
    </row>
    <row r="126" spans="1:18" ht="15.75" customHeight="1" x14ac:dyDescent="0.2">
      <c r="A126" s="3"/>
      <c r="B126" s="3"/>
      <c r="C126" s="3"/>
      <c r="D126" s="10"/>
      <c r="E126" s="10"/>
      <c r="F126" s="10"/>
      <c r="G126" s="11"/>
      <c r="H126" s="11"/>
      <c r="I126" s="3"/>
      <c r="J126" s="3"/>
      <c r="K126" s="3"/>
      <c r="L126" s="3"/>
      <c r="M126" s="3"/>
      <c r="N126" s="3"/>
      <c r="O126" s="3"/>
      <c r="P126" s="3"/>
      <c r="Q126" s="3"/>
      <c r="R126" s="3"/>
    </row>
    <row r="127" spans="1:18" ht="15.75" customHeight="1" x14ac:dyDescent="0.2">
      <c r="A127" s="3"/>
      <c r="B127" s="3"/>
      <c r="C127" s="3"/>
      <c r="D127" s="10"/>
      <c r="E127" s="10"/>
      <c r="F127" s="10"/>
      <c r="G127" s="11"/>
      <c r="H127" s="11"/>
      <c r="I127" s="3"/>
      <c r="J127" s="3"/>
      <c r="K127" s="3"/>
      <c r="L127" s="3"/>
      <c r="M127" s="3"/>
      <c r="N127" s="3"/>
      <c r="O127" s="3"/>
      <c r="P127" s="3"/>
      <c r="Q127" s="3"/>
      <c r="R127" s="3"/>
    </row>
    <row r="128" spans="1:18" ht="15.75" customHeight="1" x14ac:dyDescent="0.2">
      <c r="A128" s="3"/>
      <c r="B128" s="3"/>
      <c r="C128" s="3"/>
      <c r="D128" s="10"/>
      <c r="E128" s="10"/>
      <c r="F128" s="10"/>
      <c r="G128" s="11"/>
      <c r="H128" s="11"/>
      <c r="I128" s="3"/>
      <c r="J128" s="3"/>
      <c r="K128" s="3"/>
      <c r="L128" s="3"/>
      <c r="M128" s="3"/>
      <c r="N128" s="3"/>
      <c r="O128" s="3"/>
      <c r="P128" s="3"/>
      <c r="Q128" s="3"/>
      <c r="R128" s="3"/>
    </row>
    <row r="129" spans="1:18" ht="15.75" customHeight="1" x14ac:dyDescent="0.2">
      <c r="A129" s="3"/>
      <c r="B129" s="3"/>
      <c r="C129" s="3"/>
      <c r="D129" s="10"/>
      <c r="E129" s="10"/>
      <c r="F129" s="10"/>
      <c r="G129" s="11"/>
      <c r="H129" s="11"/>
      <c r="I129" s="3"/>
      <c r="J129" s="3"/>
      <c r="K129" s="3"/>
      <c r="L129" s="3"/>
      <c r="M129" s="3"/>
      <c r="N129" s="3"/>
      <c r="O129" s="3"/>
      <c r="P129" s="3"/>
      <c r="Q129" s="3"/>
      <c r="R129" s="3"/>
    </row>
    <row r="130" spans="1:18" ht="15.75" customHeight="1" x14ac:dyDescent="0.2">
      <c r="A130" s="3"/>
      <c r="B130" s="3"/>
      <c r="C130" s="3"/>
      <c r="D130" s="10"/>
      <c r="E130" s="10"/>
      <c r="F130" s="10"/>
      <c r="G130" s="11"/>
      <c r="H130" s="11"/>
      <c r="I130" s="3"/>
      <c r="J130" s="3"/>
      <c r="K130" s="3"/>
      <c r="L130" s="3"/>
      <c r="M130" s="3"/>
      <c r="N130" s="3"/>
      <c r="O130" s="3"/>
      <c r="P130" s="3"/>
      <c r="Q130" s="3"/>
      <c r="R130" s="3"/>
    </row>
    <row r="131" spans="1:18" ht="15.75" customHeight="1" x14ac:dyDescent="0.2">
      <c r="A131" s="3"/>
      <c r="B131" s="3"/>
      <c r="C131" s="3"/>
      <c r="D131" s="10"/>
      <c r="E131" s="10"/>
      <c r="F131" s="10"/>
      <c r="G131" s="11"/>
      <c r="H131" s="11"/>
      <c r="I131" s="3"/>
      <c r="J131" s="3"/>
      <c r="K131" s="3"/>
      <c r="L131" s="3"/>
      <c r="M131" s="3"/>
      <c r="N131" s="3"/>
      <c r="O131" s="3"/>
      <c r="P131" s="3"/>
      <c r="Q131" s="3"/>
      <c r="R131" s="3"/>
    </row>
    <row r="132" spans="1:18" ht="15.75" customHeight="1" x14ac:dyDescent="0.2">
      <c r="A132" s="3"/>
      <c r="B132" s="3"/>
      <c r="C132" s="3"/>
      <c r="D132" s="10"/>
      <c r="E132" s="10"/>
      <c r="F132" s="10"/>
      <c r="G132" s="11"/>
      <c r="H132" s="11"/>
      <c r="I132" s="3"/>
      <c r="J132" s="3"/>
      <c r="K132" s="3"/>
      <c r="L132" s="3"/>
      <c r="M132" s="3"/>
      <c r="N132" s="3"/>
      <c r="O132" s="3"/>
      <c r="P132" s="3"/>
      <c r="Q132" s="3"/>
      <c r="R132" s="3"/>
    </row>
    <row r="133" spans="1:18" ht="15.75" customHeight="1" x14ac:dyDescent="0.2">
      <c r="A133" s="3"/>
      <c r="B133" s="3"/>
      <c r="C133" s="3"/>
      <c r="D133" s="10"/>
      <c r="E133" s="10"/>
      <c r="F133" s="10"/>
      <c r="G133" s="11"/>
      <c r="H133" s="11"/>
      <c r="I133" s="3"/>
      <c r="J133" s="3"/>
      <c r="K133" s="3"/>
      <c r="L133" s="3"/>
      <c r="M133" s="3"/>
      <c r="N133" s="3"/>
      <c r="O133" s="3"/>
      <c r="P133" s="3"/>
      <c r="Q133" s="3"/>
      <c r="R133" s="3"/>
    </row>
    <row r="134" spans="1:18" ht="15.75" customHeight="1" x14ac:dyDescent="0.2">
      <c r="A134" s="3"/>
      <c r="B134" s="3"/>
      <c r="C134" s="3"/>
      <c r="D134" s="10"/>
      <c r="E134" s="10"/>
      <c r="F134" s="10"/>
      <c r="G134" s="11"/>
      <c r="H134" s="11"/>
      <c r="I134" s="3"/>
      <c r="J134" s="3"/>
      <c r="K134" s="3"/>
      <c r="L134" s="3"/>
      <c r="M134" s="3"/>
      <c r="N134" s="3"/>
      <c r="O134" s="3"/>
      <c r="P134" s="3"/>
      <c r="Q134" s="3"/>
      <c r="R134" s="3"/>
    </row>
    <row r="135" spans="1:18" ht="15.75" customHeight="1" x14ac:dyDescent="0.2">
      <c r="A135" s="3"/>
      <c r="B135" s="3"/>
      <c r="C135" s="3"/>
      <c r="D135" s="10"/>
      <c r="E135" s="10"/>
      <c r="F135" s="10"/>
      <c r="G135" s="11"/>
      <c r="H135" s="11"/>
      <c r="I135" s="3"/>
      <c r="J135" s="3"/>
      <c r="K135" s="3"/>
      <c r="L135" s="3"/>
      <c r="M135" s="3"/>
      <c r="N135" s="3"/>
      <c r="O135" s="3"/>
      <c r="P135" s="3"/>
      <c r="Q135" s="3"/>
      <c r="R135" s="3"/>
    </row>
    <row r="136" spans="1:18" ht="15.75" customHeight="1" x14ac:dyDescent="0.2">
      <c r="A136" s="3"/>
      <c r="B136" s="3"/>
      <c r="C136" s="3"/>
      <c r="D136" s="10"/>
      <c r="E136" s="10"/>
      <c r="F136" s="10"/>
      <c r="G136" s="11"/>
      <c r="H136" s="11"/>
      <c r="I136" s="3"/>
      <c r="J136" s="3"/>
      <c r="K136" s="3"/>
      <c r="L136" s="3"/>
      <c r="M136" s="3"/>
      <c r="N136" s="3"/>
      <c r="O136" s="3"/>
      <c r="P136" s="3"/>
      <c r="Q136" s="3"/>
      <c r="R136" s="3"/>
    </row>
    <row r="137" spans="1:18" ht="15.75" customHeight="1" x14ac:dyDescent="0.2">
      <c r="A137" s="3"/>
      <c r="B137" s="3"/>
      <c r="C137" s="3"/>
      <c r="D137" s="10"/>
      <c r="E137" s="10"/>
      <c r="F137" s="10"/>
      <c r="G137" s="11"/>
      <c r="H137" s="11"/>
      <c r="I137" s="3"/>
      <c r="J137" s="3"/>
      <c r="K137" s="3"/>
      <c r="L137" s="3"/>
      <c r="M137" s="3"/>
      <c r="N137" s="3"/>
      <c r="O137" s="3"/>
      <c r="P137" s="3"/>
      <c r="Q137" s="3"/>
      <c r="R137" s="3"/>
    </row>
    <row r="138" spans="1:18" ht="15.75" customHeight="1" x14ac:dyDescent="0.2">
      <c r="A138" s="3"/>
      <c r="B138" s="3"/>
      <c r="C138" s="3"/>
      <c r="D138" s="10"/>
      <c r="E138" s="10"/>
      <c r="F138" s="10"/>
      <c r="G138" s="11"/>
      <c r="H138" s="11"/>
      <c r="I138" s="3"/>
      <c r="J138" s="3"/>
      <c r="K138" s="3"/>
      <c r="L138" s="3"/>
      <c r="M138" s="3"/>
      <c r="N138" s="3"/>
      <c r="O138" s="3"/>
      <c r="P138" s="3"/>
      <c r="Q138" s="3"/>
      <c r="R138" s="3"/>
    </row>
    <row r="139" spans="1:18" ht="15.75" customHeight="1" x14ac:dyDescent="0.2">
      <c r="A139" s="3"/>
      <c r="B139" s="3"/>
      <c r="C139" s="3"/>
      <c r="D139" s="10"/>
      <c r="E139" s="10"/>
      <c r="F139" s="10"/>
      <c r="G139" s="11"/>
      <c r="H139" s="11"/>
      <c r="I139" s="3"/>
      <c r="J139" s="3"/>
      <c r="K139" s="3"/>
      <c r="L139" s="3"/>
      <c r="M139" s="3"/>
      <c r="N139" s="3"/>
      <c r="O139" s="3"/>
      <c r="P139" s="3"/>
      <c r="Q139" s="3"/>
      <c r="R139" s="3"/>
    </row>
    <row r="140" spans="1:18" ht="15.75" customHeight="1" x14ac:dyDescent="0.2">
      <c r="A140" s="3"/>
      <c r="B140" s="3"/>
      <c r="C140" s="3"/>
      <c r="D140" s="10"/>
      <c r="E140" s="10"/>
      <c r="F140" s="10"/>
      <c r="G140" s="11"/>
      <c r="H140" s="11"/>
      <c r="I140" s="3"/>
      <c r="J140" s="3"/>
      <c r="K140" s="3"/>
      <c r="L140" s="3"/>
      <c r="M140" s="3"/>
      <c r="N140" s="3"/>
      <c r="O140" s="3"/>
      <c r="P140" s="3"/>
      <c r="Q140" s="3"/>
      <c r="R140" s="3"/>
    </row>
    <row r="141" spans="1:18" ht="15.75" customHeight="1" x14ac:dyDescent="0.2">
      <c r="A141" s="3"/>
      <c r="B141" s="3"/>
      <c r="C141" s="3"/>
      <c r="D141" s="10"/>
      <c r="E141" s="10"/>
      <c r="F141" s="10"/>
      <c r="G141" s="11"/>
      <c r="H141" s="11"/>
      <c r="I141" s="3"/>
      <c r="J141" s="3"/>
      <c r="K141" s="3"/>
      <c r="L141" s="3"/>
      <c r="M141" s="3"/>
      <c r="N141" s="3"/>
      <c r="O141" s="3"/>
      <c r="P141" s="3"/>
      <c r="Q141" s="3"/>
      <c r="R141" s="3"/>
    </row>
    <row r="142" spans="1:18" ht="15.75" customHeight="1" x14ac:dyDescent="0.2">
      <c r="A142" s="3"/>
      <c r="B142" s="3"/>
      <c r="C142" s="3"/>
      <c r="D142" s="10"/>
      <c r="E142" s="10"/>
      <c r="F142" s="10"/>
      <c r="G142" s="11"/>
      <c r="H142" s="11"/>
      <c r="I142" s="3"/>
      <c r="J142" s="3"/>
      <c r="K142" s="3"/>
      <c r="L142" s="3"/>
      <c r="M142" s="3"/>
      <c r="N142" s="3"/>
      <c r="O142" s="3"/>
      <c r="P142" s="3"/>
      <c r="Q142" s="3"/>
      <c r="R142" s="3"/>
    </row>
    <row r="143" spans="1:18" ht="15.75" customHeight="1" x14ac:dyDescent="0.2">
      <c r="A143" s="3"/>
      <c r="B143" s="3"/>
      <c r="C143" s="3"/>
      <c r="D143" s="10"/>
      <c r="E143" s="10"/>
      <c r="F143" s="10"/>
      <c r="G143" s="11"/>
      <c r="H143" s="11"/>
      <c r="I143" s="3"/>
      <c r="J143" s="3"/>
      <c r="K143" s="3"/>
      <c r="L143" s="3"/>
      <c r="M143" s="3"/>
      <c r="N143" s="3"/>
      <c r="O143" s="3"/>
      <c r="P143" s="3"/>
      <c r="Q143" s="3"/>
      <c r="R143" s="3"/>
    </row>
    <row r="144" spans="1:18" ht="15.75" customHeight="1" x14ac:dyDescent="0.2">
      <c r="A144" s="3"/>
      <c r="B144" s="3"/>
      <c r="C144" s="3"/>
      <c r="D144" s="10"/>
      <c r="E144" s="10"/>
      <c r="F144" s="10"/>
      <c r="G144" s="11"/>
      <c r="H144" s="11"/>
      <c r="I144" s="3"/>
      <c r="J144" s="3"/>
      <c r="K144" s="3"/>
      <c r="L144" s="3"/>
      <c r="M144" s="3"/>
      <c r="N144" s="3"/>
      <c r="O144" s="3"/>
      <c r="P144" s="3"/>
      <c r="Q144" s="3"/>
      <c r="R144" s="3"/>
    </row>
    <row r="145" spans="1:18" ht="15.75" customHeight="1" x14ac:dyDescent="0.2">
      <c r="A145" s="3"/>
      <c r="B145" s="3"/>
      <c r="C145" s="3"/>
      <c r="D145" s="10"/>
      <c r="E145" s="10"/>
      <c r="F145" s="10"/>
      <c r="G145" s="11"/>
      <c r="H145" s="11"/>
      <c r="I145" s="3"/>
      <c r="J145" s="3"/>
      <c r="K145" s="3"/>
      <c r="L145" s="3"/>
      <c r="M145" s="3"/>
      <c r="N145" s="3"/>
      <c r="O145" s="3"/>
      <c r="P145" s="3"/>
      <c r="Q145" s="3"/>
      <c r="R145" s="3"/>
    </row>
    <row r="146" spans="1:18" ht="15.75" customHeight="1" x14ac:dyDescent="0.2">
      <c r="A146" s="3"/>
      <c r="B146" s="3"/>
      <c r="C146" s="3"/>
      <c r="D146" s="10"/>
      <c r="E146" s="10"/>
      <c r="F146" s="10"/>
      <c r="G146" s="11"/>
      <c r="H146" s="11"/>
      <c r="I146" s="3"/>
      <c r="J146" s="3"/>
      <c r="K146" s="3"/>
      <c r="L146" s="3"/>
      <c r="M146" s="3"/>
      <c r="N146" s="3"/>
      <c r="O146" s="3"/>
      <c r="P146" s="3"/>
      <c r="Q146" s="3"/>
      <c r="R146" s="3"/>
    </row>
    <row r="147" spans="1:18" ht="15.75" customHeight="1" x14ac:dyDescent="0.2">
      <c r="A147" s="3"/>
      <c r="B147" s="3"/>
      <c r="C147" s="3"/>
      <c r="D147" s="10"/>
      <c r="E147" s="10"/>
      <c r="F147" s="10"/>
      <c r="G147" s="11"/>
      <c r="H147" s="11"/>
      <c r="I147" s="3"/>
      <c r="J147" s="3"/>
      <c r="K147" s="3"/>
      <c r="L147" s="3"/>
      <c r="M147" s="3"/>
      <c r="N147" s="3"/>
      <c r="O147" s="3"/>
      <c r="P147" s="3"/>
      <c r="Q147" s="3"/>
      <c r="R147" s="3"/>
    </row>
    <row r="148" spans="1:18" ht="15.75" customHeight="1" x14ac:dyDescent="0.2">
      <c r="A148" s="3"/>
      <c r="B148" s="3"/>
      <c r="C148" s="3"/>
      <c r="D148" s="10"/>
      <c r="E148" s="10"/>
      <c r="F148" s="10"/>
      <c r="G148" s="11"/>
      <c r="H148" s="11"/>
      <c r="I148" s="3"/>
      <c r="J148" s="3"/>
      <c r="K148" s="3"/>
      <c r="L148" s="3"/>
      <c r="M148" s="3"/>
      <c r="N148" s="3"/>
      <c r="O148" s="3"/>
      <c r="P148" s="3"/>
      <c r="Q148" s="3"/>
      <c r="R148" s="3"/>
    </row>
    <row r="149" spans="1:18" ht="15.75" customHeight="1" x14ac:dyDescent="0.2">
      <c r="A149" s="3"/>
      <c r="B149" s="3"/>
      <c r="C149" s="3"/>
      <c r="D149" s="10"/>
      <c r="E149" s="10"/>
      <c r="F149" s="10"/>
      <c r="G149" s="11"/>
      <c r="H149" s="11"/>
      <c r="I149" s="3"/>
      <c r="J149" s="3"/>
      <c r="K149" s="3"/>
      <c r="L149" s="3"/>
      <c r="M149" s="3"/>
      <c r="N149" s="3"/>
      <c r="O149" s="3"/>
      <c r="P149" s="3"/>
      <c r="Q149" s="3"/>
      <c r="R149" s="3"/>
    </row>
    <row r="150" spans="1:18" ht="15.75" customHeight="1" x14ac:dyDescent="0.2">
      <c r="A150" s="3"/>
      <c r="B150" s="3"/>
      <c r="C150" s="3"/>
      <c r="D150" s="10"/>
      <c r="E150" s="10"/>
      <c r="F150" s="10"/>
      <c r="G150" s="11"/>
      <c r="H150" s="11"/>
      <c r="I150" s="3"/>
      <c r="J150" s="3"/>
      <c r="K150" s="3"/>
      <c r="L150" s="3"/>
      <c r="M150" s="3"/>
      <c r="N150" s="3"/>
      <c r="O150" s="3"/>
      <c r="P150" s="3"/>
      <c r="Q150" s="3"/>
      <c r="R150" s="3"/>
    </row>
    <row r="151" spans="1:18" ht="15.75" customHeight="1" x14ac:dyDescent="0.2">
      <c r="A151" s="3"/>
      <c r="B151" s="3"/>
      <c r="C151" s="3"/>
      <c r="D151" s="10"/>
      <c r="E151" s="10"/>
      <c r="F151" s="10"/>
      <c r="G151" s="11"/>
      <c r="H151" s="11"/>
      <c r="I151" s="3"/>
      <c r="J151" s="3"/>
      <c r="K151" s="3"/>
      <c r="L151" s="3"/>
      <c r="M151" s="3"/>
      <c r="N151" s="3"/>
      <c r="O151" s="3"/>
      <c r="P151" s="3"/>
      <c r="Q151" s="3"/>
      <c r="R151" s="3"/>
    </row>
    <row r="152" spans="1:18" ht="15.75" customHeight="1" x14ac:dyDescent="0.2">
      <c r="A152" s="3"/>
      <c r="B152" s="3"/>
      <c r="C152" s="3"/>
      <c r="D152" s="10"/>
      <c r="E152" s="10"/>
      <c r="F152" s="10"/>
      <c r="G152" s="11"/>
      <c r="H152" s="11"/>
      <c r="I152" s="3"/>
      <c r="J152" s="3"/>
      <c r="K152" s="3"/>
      <c r="L152" s="3"/>
      <c r="M152" s="3"/>
      <c r="N152" s="3"/>
      <c r="O152" s="3"/>
      <c r="P152" s="3"/>
      <c r="Q152" s="3"/>
      <c r="R152" s="3"/>
    </row>
    <row r="153" spans="1:18" ht="15.75" customHeight="1" x14ac:dyDescent="0.2">
      <c r="A153" s="3"/>
      <c r="B153" s="3"/>
      <c r="C153" s="3"/>
      <c r="D153" s="10"/>
      <c r="E153" s="10"/>
      <c r="F153" s="10"/>
      <c r="G153" s="11"/>
      <c r="H153" s="11"/>
      <c r="I153" s="3"/>
      <c r="J153" s="3"/>
      <c r="K153" s="3"/>
      <c r="L153" s="3"/>
      <c r="M153" s="3"/>
      <c r="N153" s="3"/>
      <c r="O153" s="3"/>
      <c r="P153" s="3"/>
      <c r="Q153" s="3"/>
      <c r="R153" s="3"/>
    </row>
    <row r="154" spans="1:18" ht="15.75" customHeight="1" x14ac:dyDescent="0.2">
      <c r="A154" s="3"/>
      <c r="B154" s="3"/>
      <c r="C154" s="3"/>
      <c r="D154" s="10"/>
      <c r="E154" s="10"/>
      <c r="F154" s="10"/>
      <c r="G154" s="11"/>
      <c r="H154" s="11"/>
      <c r="I154" s="3"/>
      <c r="J154" s="3"/>
      <c r="K154" s="3"/>
      <c r="L154" s="3"/>
      <c r="M154" s="3"/>
      <c r="N154" s="3"/>
      <c r="O154" s="3"/>
      <c r="P154" s="3"/>
      <c r="Q154" s="3"/>
      <c r="R154" s="3"/>
    </row>
    <row r="155" spans="1:18" ht="15.75" customHeight="1" x14ac:dyDescent="0.2">
      <c r="A155" s="3"/>
      <c r="B155" s="3"/>
      <c r="C155" s="3"/>
      <c r="D155" s="10"/>
      <c r="E155" s="10"/>
      <c r="F155" s="10"/>
      <c r="G155" s="11"/>
      <c r="H155" s="11"/>
      <c r="I155" s="3"/>
      <c r="J155" s="3"/>
      <c r="K155" s="3"/>
      <c r="L155" s="3"/>
      <c r="M155" s="3"/>
      <c r="N155" s="3"/>
      <c r="O155" s="3"/>
      <c r="P155" s="3"/>
      <c r="Q155" s="3"/>
      <c r="R155" s="3"/>
    </row>
    <row r="156" spans="1:18" ht="15.75" customHeight="1" x14ac:dyDescent="0.2">
      <c r="A156" s="3"/>
      <c r="B156" s="3"/>
      <c r="C156" s="3"/>
      <c r="D156" s="10"/>
      <c r="E156" s="10"/>
      <c r="F156" s="10"/>
      <c r="G156" s="11"/>
      <c r="H156" s="11"/>
      <c r="I156" s="3"/>
      <c r="J156" s="3"/>
      <c r="K156" s="3"/>
      <c r="L156" s="3"/>
      <c r="M156" s="3"/>
      <c r="N156" s="3"/>
      <c r="O156" s="3"/>
      <c r="P156" s="3"/>
      <c r="Q156" s="3"/>
      <c r="R156" s="3"/>
    </row>
    <row r="157" spans="1:18" ht="15.75" customHeight="1" x14ac:dyDescent="0.2">
      <c r="A157" s="3"/>
      <c r="B157" s="3"/>
      <c r="C157" s="3"/>
      <c r="D157" s="10"/>
      <c r="E157" s="10"/>
      <c r="F157" s="10"/>
      <c r="G157" s="11"/>
      <c r="H157" s="11"/>
      <c r="I157" s="3"/>
      <c r="J157" s="3"/>
      <c r="K157" s="3"/>
      <c r="L157" s="3"/>
      <c r="M157" s="3"/>
      <c r="N157" s="3"/>
      <c r="O157" s="3"/>
      <c r="P157" s="3"/>
      <c r="Q157" s="3"/>
      <c r="R157" s="3"/>
    </row>
    <row r="158" spans="1:18" ht="15.75" customHeight="1" x14ac:dyDescent="0.2">
      <c r="A158" s="3"/>
      <c r="B158" s="3"/>
      <c r="C158" s="3"/>
      <c r="D158" s="10"/>
      <c r="E158" s="10"/>
      <c r="F158" s="10"/>
      <c r="G158" s="11"/>
      <c r="H158" s="11"/>
      <c r="I158" s="3"/>
      <c r="J158" s="3"/>
      <c r="K158" s="3"/>
      <c r="L158" s="3"/>
      <c r="M158" s="3"/>
      <c r="N158" s="3"/>
      <c r="O158" s="3"/>
      <c r="P158" s="3"/>
      <c r="Q158" s="3"/>
      <c r="R158" s="3"/>
    </row>
    <row r="159" spans="1:18" ht="15.75" customHeight="1" x14ac:dyDescent="0.2">
      <c r="A159" s="3"/>
      <c r="B159" s="3"/>
      <c r="C159" s="3"/>
      <c r="D159" s="10"/>
      <c r="E159" s="10"/>
      <c r="F159" s="10"/>
      <c r="G159" s="11"/>
      <c r="H159" s="11"/>
      <c r="I159" s="3"/>
      <c r="J159" s="3"/>
      <c r="K159" s="3"/>
      <c r="L159" s="3"/>
      <c r="M159" s="3"/>
      <c r="N159" s="3"/>
      <c r="O159" s="3"/>
      <c r="P159" s="3"/>
      <c r="Q159" s="3"/>
      <c r="R159" s="3"/>
    </row>
    <row r="160" spans="1:18" ht="15.75" customHeight="1" x14ac:dyDescent="0.2">
      <c r="A160" s="3"/>
      <c r="B160" s="3"/>
      <c r="C160" s="3"/>
      <c r="D160" s="10"/>
      <c r="E160" s="10"/>
      <c r="F160" s="10"/>
      <c r="G160" s="11"/>
      <c r="H160" s="11"/>
      <c r="I160" s="3"/>
      <c r="J160" s="3"/>
      <c r="K160" s="3"/>
      <c r="L160" s="3"/>
      <c r="M160" s="3"/>
      <c r="N160" s="3"/>
      <c r="O160" s="3"/>
      <c r="P160" s="3"/>
      <c r="Q160" s="3"/>
      <c r="R160" s="3"/>
    </row>
    <row r="161" spans="1:18" ht="15.75" customHeight="1" x14ac:dyDescent="0.2">
      <c r="A161" s="3"/>
      <c r="B161" s="3"/>
      <c r="C161" s="3"/>
      <c r="D161" s="10"/>
      <c r="E161" s="10"/>
      <c r="F161" s="10"/>
      <c r="G161" s="11"/>
      <c r="H161" s="11"/>
      <c r="I161" s="3"/>
      <c r="J161" s="3"/>
      <c r="K161" s="3"/>
      <c r="L161" s="3"/>
      <c r="M161" s="3"/>
      <c r="N161" s="3"/>
      <c r="O161" s="3"/>
      <c r="P161" s="3"/>
      <c r="Q161" s="3"/>
      <c r="R161" s="3"/>
    </row>
    <row r="162" spans="1:18" ht="15.75" customHeight="1" x14ac:dyDescent="0.2">
      <c r="A162" s="3"/>
      <c r="B162" s="3"/>
      <c r="C162" s="3"/>
      <c r="D162" s="10"/>
      <c r="E162" s="10"/>
      <c r="F162" s="10"/>
      <c r="G162" s="11"/>
      <c r="H162" s="11"/>
      <c r="I162" s="3"/>
      <c r="J162" s="3"/>
      <c r="K162" s="3"/>
      <c r="L162" s="3"/>
      <c r="M162" s="3"/>
      <c r="N162" s="3"/>
      <c r="O162" s="3"/>
      <c r="P162" s="3"/>
      <c r="Q162" s="3"/>
      <c r="R162" s="3"/>
    </row>
    <row r="163" spans="1:18" ht="15.75" customHeight="1" x14ac:dyDescent="0.2">
      <c r="A163" s="3"/>
      <c r="B163" s="3"/>
      <c r="C163" s="3"/>
      <c r="D163" s="10"/>
      <c r="E163" s="10"/>
      <c r="F163" s="10"/>
      <c r="G163" s="11"/>
      <c r="H163" s="11"/>
      <c r="I163" s="3"/>
      <c r="J163" s="3"/>
      <c r="K163" s="3"/>
      <c r="L163" s="3"/>
      <c r="M163" s="3"/>
      <c r="N163" s="3"/>
      <c r="O163" s="3"/>
      <c r="P163" s="3"/>
      <c r="Q163" s="3"/>
      <c r="R163" s="3"/>
    </row>
    <row r="164" spans="1:18" ht="15.75" customHeight="1" x14ac:dyDescent="0.2">
      <c r="A164" s="3"/>
      <c r="B164" s="3"/>
      <c r="C164" s="3"/>
      <c r="D164" s="10"/>
      <c r="E164" s="10"/>
      <c r="F164" s="10"/>
      <c r="G164" s="11"/>
      <c r="H164" s="11"/>
      <c r="I164" s="3"/>
      <c r="J164" s="3"/>
      <c r="K164" s="3"/>
      <c r="L164" s="3"/>
      <c r="M164" s="3"/>
      <c r="N164" s="3"/>
      <c r="O164" s="3"/>
      <c r="P164" s="3"/>
      <c r="Q164" s="3"/>
      <c r="R164" s="3"/>
    </row>
    <row r="165" spans="1:18" ht="15.75" customHeight="1" x14ac:dyDescent="0.2">
      <c r="A165" s="3"/>
      <c r="B165" s="3"/>
      <c r="C165" s="3"/>
      <c r="D165" s="10"/>
      <c r="E165" s="10"/>
      <c r="F165" s="10"/>
      <c r="G165" s="11"/>
      <c r="H165" s="11"/>
      <c r="I165" s="3"/>
      <c r="J165" s="3"/>
      <c r="K165" s="3"/>
      <c r="L165" s="3"/>
      <c r="M165" s="3"/>
      <c r="N165" s="3"/>
      <c r="O165" s="3"/>
      <c r="P165" s="3"/>
      <c r="Q165" s="3"/>
      <c r="R165" s="3"/>
    </row>
    <row r="166" spans="1:18" ht="15.75" customHeight="1" x14ac:dyDescent="0.2">
      <c r="A166" s="3"/>
      <c r="B166" s="3"/>
      <c r="C166" s="3"/>
      <c r="D166" s="10"/>
      <c r="E166" s="10"/>
      <c r="F166" s="10"/>
      <c r="G166" s="11"/>
      <c r="H166" s="11"/>
      <c r="I166" s="3"/>
      <c r="J166" s="3"/>
      <c r="K166" s="3"/>
      <c r="L166" s="3"/>
      <c r="M166" s="3"/>
      <c r="N166" s="3"/>
      <c r="O166" s="3"/>
      <c r="P166" s="3"/>
      <c r="Q166" s="3"/>
      <c r="R166" s="3"/>
    </row>
    <row r="167" spans="1:18" ht="15.75" customHeight="1" x14ac:dyDescent="0.2">
      <c r="A167" s="3"/>
      <c r="B167" s="3"/>
      <c r="C167" s="3"/>
      <c r="D167" s="10"/>
      <c r="E167" s="10"/>
      <c r="F167" s="10"/>
      <c r="G167" s="11"/>
      <c r="H167" s="11"/>
      <c r="I167" s="3"/>
      <c r="J167" s="3"/>
      <c r="K167" s="3"/>
      <c r="L167" s="3"/>
      <c r="M167" s="3"/>
      <c r="N167" s="3"/>
      <c r="O167" s="3"/>
      <c r="P167" s="3"/>
      <c r="Q167" s="3"/>
      <c r="R167" s="3"/>
    </row>
    <row r="168" spans="1:18" ht="15.75" customHeight="1" x14ac:dyDescent="0.2">
      <c r="A168" s="3"/>
      <c r="B168" s="3"/>
      <c r="C168" s="3"/>
      <c r="D168" s="10"/>
      <c r="E168" s="10"/>
      <c r="F168" s="10"/>
      <c r="G168" s="11"/>
      <c r="H168" s="11"/>
      <c r="I168" s="3"/>
      <c r="J168" s="3"/>
      <c r="K168" s="3"/>
      <c r="L168" s="3"/>
      <c r="M168" s="3"/>
      <c r="N168" s="3"/>
      <c r="O168" s="3"/>
      <c r="P168" s="3"/>
      <c r="Q168" s="3"/>
      <c r="R168" s="3"/>
    </row>
    <row r="169" spans="1:18" ht="15.75" customHeight="1" x14ac:dyDescent="0.2">
      <c r="A169" s="3"/>
      <c r="B169" s="3"/>
      <c r="C169" s="3"/>
      <c r="D169" s="10"/>
      <c r="E169" s="10"/>
      <c r="F169" s="10"/>
      <c r="G169" s="11"/>
      <c r="H169" s="11"/>
      <c r="I169" s="3"/>
      <c r="J169" s="3"/>
      <c r="K169" s="3"/>
      <c r="L169" s="3"/>
      <c r="M169" s="3"/>
      <c r="N169" s="3"/>
      <c r="O169" s="3"/>
      <c r="P169" s="3"/>
      <c r="Q169" s="3"/>
      <c r="R169" s="3"/>
    </row>
    <row r="170" spans="1:18" ht="15.75" customHeight="1" x14ac:dyDescent="0.2">
      <c r="A170" s="3"/>
      <c r="B170" s="3"/>
      <c r="C170" s="3"/>
      <c r="D170" s="10"/>
      <c r="E170" s="10"/>
      <c r="F170" s="10"/>
      <c r="G170" s="11"/>
      <c r="H170" s="11"/>
      <c r="I170" s="3"/>
      <c r="J170" s="3"/>
      <c r="K170" s="3"/>
      <c r="L170" s="3"/>
      <c r="M170" s="3"/>
      <c r="N170" s="3"/>
      <c r="O170" s="3"/>
      <c r="P170" s="3"/>
      <c r="Q170" s="3"/>
      <c r="R170" s="3"/>
    </row>
    <row r="171" spans="1:18" ht="15.75" customHeight="1" x14ac:dyDescent="0.2">
      <c r="A171" s="3"/>
      <c r="B171" s="3"/>
      <c r="C171" s="3"/>
      <c r="D171" s="10"/>
      <c r="E171" s="10"/>
      <c r="F171" s="10"/>
      <c r="G171" s="11"/>
      <c r="H171" s="11"/>
      <c r="I171" s="3"/>
      <c r="J171" s="3"/>
      <c r="K171" s="3"/>
      <c r="L171" s="3"/>
      <c r="M171" s="3"/>
      <c r="N171" s="3"/>
      <c r="O171" s="3"/>
      <c r="P171" s="3"/>
      <c r="Q171" s="3"/>
      <c r="R171" s="3"/>
    </row>
    <row r="172" spans="1:18" ht="15.75" customHeight="1" x14ac:dyDescent="0.2">
      <c r="A172" s="3"/>
      <c r="B172" s="3"/>
      <c r="C172" s="3"/>
      <c r="D172" s="10"/>
      <c r="E172" s="10"/>
      <c r="F172" s="10"/>
      <c r="G172" s="11"/>
      <c r="H172" s="11"/>
      <c r="I172" s="3"/>
      <c r="J172" s="3"/>
      <c r="K172" s="3"/>
      <c r="L172" s="3"/>
      <c r="M172" s="3"/>
      <c r="N172" s="3"/>
      <c r="O172" s="3"/>
      <c r="P172" s="3"/>
      <c r="Q172" s="3"/>
      <c r="R172" s="3"/>
    </row>
    <row r="173" spans="1:18" ht="15.75" customHeight="1" x14ac:dyDescent="0.2">
      <c r="A173" s="3"/>
      <c r="B173" s="3"/>
      <c r="C173" s="3"/>
      <c r="D173" s="10"/>
      <c r="E173" s="10"/>
      <c r="F173" s="10"/>
      <c r="G173" s="11"/>
      <c r="H173" s="11"/>
      <c r="I173" s="3"/>
      <c r="J173" s="3"/>
      <c r="K173" s="3"/>
      <c r="L173" s="3"/>
      <c r="M173" s="3"/>
      <c r="N173" s="3"/>
      <c r="O173" s="3"/>
      <c r="P173" s="3"/>
      <c r="Q173" s="3"/>
      <c r="R173" s="3"/>
    </row>
    <row r="174" spans="1:18" ht="15.75" customHeight="1" x14ac:dyDescent="0.2">
      <c r="A174" s="3"/>
      <c r="B174" s="3"/>
      <c r="C174" s="3"/>
      <c r="D174" s="10"/>
      <c r="E174" s="10"/>
      <c r="F174" s="10"/>
      <c r="G174" s="11"/>
      <c r="H174" s="11"/>
      <c r="I174" s="3"/>
      <c r="J174" s="3"/>
      <c r="K174" s="3"/>
      <c r="L174" s="3"/>
      <c r="M174" s="3"/>
      <c r="N174" s="3"/>
      <c r="O174" s="3"/>
      <c r="P174" s="3"/>
      <c r="Q174" s="3"/>
      <c r="R174" s="3"/>
    </row>
    <row r="175" spans="1:18" ht="15.75" customHeight="1" x14ac:dyDescent="0.2">
      <c r="A175" s="3"/>
      <c r="B175" s="3"/>
      <c r="C175" s="3"/>
      <c r="D175" s="10"/>
      <c r="E175" s="10"/>
      <c r="F175" s="10"/>
      <c r="G175" s="11"/>
      <c r="H175" s="11"/>
      <c r="I175" s="3"/>
      <c r="J175" s="3"/>
      <c r="K175" s="3"/>
      <c r="L175" s="3"/>
      <c r="M175" s="3"/>
      <c r="N175" s="3"/>
      <c r="O175" s="3"/>
      <c r="P175" s="3"/>
      <c r="Q175" s="3"/>
      <c r="R175" s="3"/>
    </row>
    <row r="176" spans="1:18" ht="15.75" customHeight="1" x14ac:dyDescent="0.2">
      <c r="A176" s="3"/>
      <c r="B176" s="3"/>
      <c r="C176" s="3"/>
      <c r="D176" s="10"/>
      <c r="E176" s="10"/>
      <c r="F176" s="10"/>
      <c r="G176" s="11"/>
      <c r="H176" s="11"/>
      <c r="I176" s="3"/>
      <c r="J176" s="3"/>
      <c r="K176" s="3"/>
      <c r="L176" s="3"/>
      <c r="M176" s="3"/>
      <c r="N176" s="3"/>
      <c r="O176" s="3"/>
      <c r="P176" s="3"/>
      <c r="Q176" s="3"/>
      <c r="R176" s="3"/>
    </row>
    <row r="177" spans="1:18" ht="15.75" customHeight="1" x14ac:dyDescent="0.2">
      <c r="A177" s="3"/>
      <c r="B177" s="3"/>
      <c r="C177" s="3"/>
      <c r="D177" s="10"/>
      <c r="E177" s="10"/>
      <c r="F177" s="10"/>
      <c r="G177" s="11"/>
      <c r="H177" s="11"/>
      <c r="I177" s="3"/>
      <c r="J177" s="3"/>
      <c r="K177" s="3"/>
      <c r="L177" s="3"/>
      <c r="M177" s="3"/>
      <c r="N177" s="3"/>
      <c r="O177" s="3"/>
      <c r="P177" s="3"/>
      <c r="Q177" s="3"/>
      <c r="R177" s="3"/>
    </row>
    <row r="178" spans="1:18" ht="15.75" customHeight="1" x14ac:dyDescent="0.2">
      <c r="A178" s="3"/>
      <c r="B178" s="3"/>
      <c r="C178" s="3"/>
      <c r="D178" s="10"/>
      <c r="E178" s="10"/>
      <c r="F178" s="10"/>
      <c r="G178" s="11"/>
      <c r="H178" s="11"/>
      <c r="I178" s="3"/>
      <c r="J178" s="3"/>
      <c r="K178" s="3"/>
      <c r="L178" s="3"/>
      <c r="M178" s="3"/>
      <c r="N178" s="3"/>
      <c r="O178" s="3"/>
      <c r="P178" s="3"/>
      <c r="Q178" s="3"/>
      <c r="R178" s="3"/>
    </row>
    <row r="179" spans="1:18" ht="15.75" customHeight="1" x14ac:dyDescent="0.2">
      <c r="A179" s="3"/>
      <c r="B179" s="3"/>
      <c r="C179" s="3"/>
      <c r="D179" s="10"/>
      <c r="E179" s="10"/>
      <c r="F179" s="10"/>
      <c r="G179" s="11"/>
      <c r="H179" s="11"/>
      <c r="I179" s="3"/>
      <c r="J179" s="3"/>
      <c r="K179" s="3"/>
      <c r="L179" s="3"/>
      <c r="M179" s="3"/>
      <c r="N179" s="3"/>
      <c r="O179" s="3"/>
      <c r="P179" s="3"/>
      <c r="Q179" s="3"/>
      <c r="R179" s="3"/>
    </row>
    <row r="180" spans="1:18" ht="15.75" customHeight="1" x14ac:dyDescent="0.2">
      <c r="A180" s="3"/>
      <c r="B180" s="3"/>
      <c r="C180" s="3"/>
      <c r="D180" s="10"/>
      <c r="E180" s="10"/>
      <c r="F180" s="10"/>
      <c r="G180" s="11"/>
      <c r="H180" s="11"/>
      <c r="I180" s="3"/>
      <c r="J180" s="3"/>
      <c r="K180" s="3"/>
      <c r="L180" s="3"/>
      <c r="M180" s="3"/>
      <c r="N180" s="3"/>
      <c r="O180" s="3"/>
      <c r="P180" s="3"/>
      <c r="Q180" s="3"/>
      <c r="R180" s="3"/>
    </row>
    <row r="181" spans="1:18" ht="15.75" customHeight="1" x14ac:dyDescent="0.2">
      <c r="A181" s="3"/>
      <c r="B181" s="3"/>
      <c r="C181" s="3"/>
      <c r="D181" s="10"/>
      <c r="E181" s="10"/>
      <c r="F181" s="10"/>
      <c r="G181" s="11"/>
      <c r="H181" s="11"/>
      <c r="I181" s="3"/>
      <c r="J181" s="3"/>
      <c r="K181" s="3"/>
      <c r="L181" s="3"/>
      <c r="M181" s="3"/>
      <c r="N181" s="3"/>
      <c r="O181" s="3"/>
      <c r="P181" s="3"/>
      <c r="Q181" s="3"/>
      <c r="R181" s="3"/>
    </row>
    <row r="182" spans="1:18" ht="15.75" customHeight="1" x14ac:dyDescent="0.2">
      <c r="A182" s="3"/>
      <c r="B182" s="3"/>
      <c r="C182" s="3"/>
      <c r="D182" s="10"/>
      <c r="E182" s="10"/>
      <c r="F182" s="10"/>
      <c r="G182" s="11"/>
      <c r="H182" s="11"/>
      <c r="I182" s="3"/>
      <c r="J182" s="3"/>
      <c r="K182" s="3"/>
      <c r="L182" s="3"/>
      <c r="M182" s="3"/>
      <c r="N182" s="3"/>
      <c r="O182" s="3"/>
      <c r="P182" s="3"/>
      <c r="Q182" s="3"/>
      <c r="R182" s="3"/>
    </row>
    <row r="183" spans="1:18" ht="15.75" customHeight="1" x14ac:dyDescent="0.2">
      <c r="A183" s="3"/>
      <c r="B183" s="3"/>
      <c r="C183" s="3"/>
      <c r="D183" s="10"/>
      <c r="E183" s="10"/>
      <c r="F183" s="10"/>
      <c r="G183" s="11"/>
      <c r="H183" s="11"/>
      <c r="I183" s="3"/>
      <c r="J183" s="3"/>
      <c r="K183" s="3"/>
      <c r="L183" s="3"/>
      <c r="M183" s="3"/>
      <c r="N183" s="3"/>
      <c r="O183" s="3"/>
      <c r="P183" s="3"/>
      <c r="Q183" s="3"/>
      <c r="R183" s="3"/>
    </row>
    <row r="184" spans="1:18" ht="15.75" customHeight="1" x14ac:dyDescent="0.2">
      <c r="A184" s="3"/>
      <c r="B184" s="3"/>
      <c r="C184" s="3"/>
      <c r="D184" s="10"/>
      <c r="E184" s="10"/>
      <c r="F184" s="10"/>
      <c r="G184" s="11"/>
      <c r="H184" s="11"/>
      <c r="I184" s="3"/>
      <c r="J184" s="3"/>
      <c r="K184" s="3"/>
      <c r="L184" s="3"/>
      <c r="M184" s="3"/>
      <c r="N184" s="3"/>
      <c r="O184" s="3"/>
      <c r="P184" s="3"/>
      <c r="Q184" s="3"/>
      <c r="R184" s="3"/>
    </row>
    <row r="185" spans="1:18" ht="15.75" customHeight="1" x14ac:dyDescent="0.2">
      <c r="A185" s="3"/>
      <c r="B185" s="3"/>
      <c r="C185" s="3"/>
      <c r="D185" s="10"/>
      <c r="E185" s="10"/>
      <c r="F185" s="10"/>
      <c r="G185" s="11"/>
      <c r="H185" s="11"/>
      <c r="I185" s="3"/>
      <c r="J185" s="3"/>
      <c r="K185" s="3"/>
      <c r="L185" s="3"/>
      <c r="M185" s="3"/>
      <c r="N185" s="3"/>
      <c r="O185" s="3"/>
      <c r="P185" s="3"/>
      <c r="Q185" s="3"/>
      <c r="R185" s="3"/>
    </row>
    <row r="186" spans="1:18" ht="15.75" customHeight="1" x14ac:dyDescent="0.2">
      <c r="A186" s="3"/>
      <c r="B186" s="3"/>
      <c r="C186" s="3"/>
      <c r="D186" s="10"/>
      <c r="E186" s="10"/>
      <c r="F186" s="10"/>
      <c r="G186" s="11"/>
      <c r="H186" s="11"/>
      <c r="I186" s="3"/>
      <c r="J186" s="3"/>
      <c r="K186" s="3"/>
      <c r="L186" s="3"/>
      <c r="M186" s="3"/>
      <c r="N186" s="3"/>
      <c r="O186" s="3"/>
      <c r="P186" s="3"/>
      <c r="Q186" s="3"/>
      <c r="R186" s="3"/>
    </row>
    <row r="187" spans="1:18" ht="15.75" customHeight="1" x14ac:dyDescent="0.2">
      <c r="A187" s="3"/>
      <c r="B187" s="3"/>
      <c r="C187" s="3"/>
      <c r="D187" s="10"/>
      <c r="E187" s="10"/>
      <c r="F187" s="10"/>
      <c r="G187" s="11"/>
      <c r="H187" s="11"/>
      <c r="I187" s="3"/>
      <c r="J187" s="3"/>
      <c r="K187" s="3"/>
      <c r="L187" s="3"/>
      <c r="M187" s="3"/>
      <c r="N187" s="3"/>
      <c r="O187" s="3"/>
      <c r="P187" s="3"/>
      <c r="Q187" s="3"/>
      <c r="R187" s="3"/>
    </row>
    <row r="188" spans="1:18" ht="15.75" customHeight="1" x14ac:dyDescent="0.2">
      <c r="A188" s="3"/>
      <c r="B188" s="3"/>
      <c r="C188" s="3"/>
      <c r="D188" s="10"/>
      <c r="E188" s="10"/>
      <c r="F188" s="10"/>
      <c r="G188" s="11"/>
      <c r="H188" s="11"/>
      <c r="I188" s="3"/>
      <c r="J188" s="3"/>
      <c r="K188" s="3"/>
      <c r="L188" s="3"/>
      <c r="M188" s="3"/>
      <c r="N188" s="3"/>
      <c r="O188" s="3"/>
      <c r="P188" s="3"/>
      <c r="Q188" s="3"/>
      <c r="R188" s="3"/>
    </row>
    <row r="189" spans="1:18" ht="15.75" customHeight="1" x14ac:dyDescent="0.2">
      <c r="A189" s="3"/>
      <c r="B189" s="3"/>
      <c r="C189" s="3"/>
      <c r="D189" s="10"/>
      <c r="E189" s="10"/>
      <c r="F189" s="10"/>
      <c r="G189" s="11"/>
      <c r="H189" s="11"/>
      <c r="I189" s="3"/>
      <c r="J189" s="3"/>
      <c r="K189" s="3"/>
      <c r="L189" s="3"/>
      <c r="M189" s="3"/>
      <c r="N189" s="3"/>
      <c r="O189" s="3"/>
      <c r="P189" s="3"/>
      <c r="Q189" s="3"/>
      <c r="R189" s="3"/>
    </row>
    <row r="190" spans="1:18" ht="15.75" customHeight="1" x14ac:dyDescent="0.2">
      <c r="A190" s="3"/>
      <c r="B190" s="3"/>
      <c r="C190" s="3"/>
      <c r="D190" s="10"/>
      <c r="E190" s="10"/>
      <c r="F190" s="10"/>
      <c r="G190" s="11"/>
      <c r="H190" s="11"/>
      <c r="I190" s="3"/>
      <c r="J190" s="3"/>
      <c r="K190" s="3"/>
      <c r="L190" s="3"/>
      <c r="M190" s="3"/>
      <c r="N190" s="3"/>
      <c r="O190" s="3"/>
      <c r="P190" s="3"/>
      <c r="Q190" s="3"/>
      <c r="R190" s="3"/>
    </row>
    <row r="191" spans="1:18" ht="15.75" customHeight="1" x14ac:dyDescent="0.2">
      <c r="A191" s="3"/>
      <c r="B191" s="3"/>
      <c r="C191" s="3"/>
      <c r="D191" s="10"/>
      <c r="E191" s="10"/>
      <c r="F191" s="10"/>
      <c r="G191" s="11"/>
      <c r="H191" s="11"/>
      <c r="I191" s="3"/>
      <c r="J191" s="3"/>
      <c r="K191" s="3"/>
      <c r="L191" s="3"/>
      <c r="M191" s="3"/>
      <c r="N191" s="3"/>
      <c r="O191" s="3"/>
      <c r="P191" s="3"/>
      <c r="Q191" s="3"/>
      <c r="R191" s="3"/>
    </row>
    <row r="192" spans="1:18" ht="15.75" customHeight="1" x14ac:dyDescent="0.2">
      <c r="A192" s="3"/>
      <c r="B192" s="3"/>
      <c r="C192" s="3"/>
      <c r="D192" s="10"/>
      <c r="E192" s="10"/>
      <c r="F192" s="10"/>
      <c r="G192" s="11"/>
      <c r="H192" s="11"/>
      <c r="I192" s="3"/>
      <c r="J192" s="3"/>
      <c r="K192" s="3"/>
      <c r="L192" s="3"/>
      <c r="M192" s="3"/>
      <c r="N192" s="3"/>
      <c r="O192" s="3"/>
      <c r="P192" s="3"/>
      <c r="Q192" s="3"/>
      <c r="R192" s="3"/>
    </row>
    <row r="193" spans="1:18" ht="15.75" customHeight="1" x14ac:dyDescent="0.2">
      <c r="A193" s="3"/>
      <c r="B193" s="3"/>
      <c r="C193" s="3"/>
      <c r="D193" s="10"/>
      <c r="E193" s="10"/>
      <c r="F193" s="10"/>
      <c r="G193" s="11"/>
      <c r="H193" s="11"/>
      <c r="I193" s="3"/>
      <c r="J193" s="3"/>
      <c r="K193" s="3"/>
      <c r="L193" s="3"/>
      <c r="M193" s="3"/>
      <c r="N193" s="3"/>
      <c r="O193" s="3"/>
      <c r="P193" s="3"/>
      <c r="Q193" s="3"/>
      <c r="R193" s="3"/>
    </row>
    <row r="194" spans="1:18" ht="15.75" customHeight="1" x14ac:dyDescent="0.2">
      <c r="A194" s="3"/>
      <c r="B194" s="3"/>
      <c r="C194" s="3"/>
      <c r="D194" s="10"/>
      <c r="E194" s="10"/>
      <c r="F194" s="10"/>
      <c r="G194" s="11"/>
      <c r="H194" s="11"/>
      <c r="I194" s="3"/>
      <c r="J194" s="3"/>
      <c r="K194" s="3"/>
      <c r="L194" s="3"/>
      <c r="M194" s="3"/>
      <c r="N194" s="3"/>
      <c r="O194" s="3"/>
      <c r="P194" s="3"/>
      <c r="Q194" s="3"/>
      <c r="R194" s="3"/>
    </row>
    <row r="195" spans="1:18" ht="15.75" customHeight="1" x14ac:dyDescent="0.2">
      <c r="A195" s="3"/>
      <c r="B195" s="3"/>
      <c r="C195" s="3"/>
      <c r="D195" s="10"/>
      <c r="E195" s="10"/>
      <c r="F195" s="10"/>
      <c r="G195" s="11"/>
      <c r="H195" s="11"/>
      <c r="I195" s="3"/>
      <c r="J195" s="3"/>
      <c r="K195" s="3"/>
      <c r="L195" s="3"/>
      <c r="M195" s="3"/>
      <c r="N195" s="3"/>
      <c r="O195" s="3"/>
      <c r="P195" s="3"/>
      <c r="Q195" s="3"/>
      <c r="R195" s="3"/>
    </row>
    <row r="196" spans="1:18" ht="15.75" customHeight="1" x14ac:dyDescent="0.2">
      <c r="A196" s="3"/>
      <c r="B196" s="3"/>
      <c r="C196" s="3"/>
      <c r="D196" s="10"/>
      <c r="E196" s="10"/>
      <c r="F196" s="10"/>
      <c r="G196" s="11"/>
      <c r="H196" s="11"/>
      <c r="I196" s="3"/>
      <c r="J196" s="3"/>
      <c r="K196" s="3"/>
      <c r="L196" s="3"/>
      <c r="M196" s="3"/>
      <c r="N196" s="3"/>
      <c r="O196" s="3"/>
      <c r="P196" s="3"/>
      <c r="Q196" s="3"/>
      <c r="R196" s="3"/>
    </row>
    <row r="197" spans="1:18" ht="15.75" customHeight="1" x14ac:dyDescent="0.2">
      <c r="A197" s="3"/>
      <c r="B197" s="3"/>
      <c r="C197" s="3"/>
      <c r="D197" s="10"/>
      <c r="E197" s="10"/>
      <c r="F197" s="10"/>
      <c r="G197" s="11"/>
      <c r="H197" s="11"/>
      <c r="I197" s="3"/>
      <c r="J197" s="3"/>
      <c r="K197" s="3"/>
      <c r="L197" s="3"/>
      <c r="M197" s="3"/>
      <c r="N197" s="3"/>
      <c r="O197" s="3"/>
      <c r="P197" s="3"/>
      <c r="Q197" s="3"/>
      <c r="R197" s="3"/>
    </row>
    <row r="198" spans="1:18" ht="15.75" customHeight="1" x14ac:dyDescent="0.2">
      <c r="A198" s="3"/>
      <c r="B198" s="3"/>
      <c r="C198" s="3"/>
      <c r="D198" s="10"/>
      <c r="E198" s="10"/>
      <c r="F198" s="10"/>
      <c r="G198" s="11"/>
      <c r="H198" s="11"/>
      <c r="I198" s="3"/>
      <c r="J198" s="3"/>
      <c r="K198" s="3"/>
      <c r="L198" s="3"/>
      <c r="M198" s="3"/>
      <c r="N198" s="3"/>
      <c r="O198" s="3"/>
      <c r="P198" s="3"/>
      <c r="Q198" s="3"/>
      <c r="R198" s="3"/>
    </row>
    <row r="199" spans="1:18" ht="15.75" customHeight="1" x14ac:dyDescent="0.2">
      <c r="A199" s="3"/>
      <c r="B199" s="3"/>
      <c r="C199" s="3"/>
      <c r="D199" s="10"/>
      <c r="E199" s="10"/>
      <c r="F199" s="10"/>
      <c r="G199" s="11"/>
      <c r="H199" s="11"/>
      <c r="I199" s="3"/>
      <c r="J199" s="3"/>
      <c r="K199" s="3"/>
      <c r="L199" s="3"/>
      <c r="M199" s="3"/>
      <c r="N199" s="3"/>
      <c r="O199" s="3"/>
      <c r="P199" s="3"/>
      <c r="Q199" s="3"/>
      <c r="R199" s="3"/>
    </row>
    <row r="200" spans="1:18" ht="15.75" customHeight="1" x14ac:dyDescent="0.2">
      <c r="A200" s="3"/>
      <c r="B200" s="3"/>
      <c r="C200" s="3"/>
      <c r="D200" s="10"/>
      <c r="E200" s="10"/>
      <c r="F200" s="10"/>
      <c r="G200" s="11"/>
      <c r="H200" s="11"/>
      <c r="I200" s="3"/>
      <c r="J200" s="3"/>
      <c r="K200" s="3"/>
      <c r="L200" s="3"/>
      <c r="M200" s="3"/>
      <c r="N200" s="3"/>
      <c r="O200" s="3"/>
      <c r="P200" s="3"/>
      <c r="Q200" s="3"/>
      <c r="R200" s="3"/>
    </row>
    <row r="201" spans="1:18" ht="15.75" customHeight="1" x14ac:dyDescent="0.2">
      <c r="A201" s="3"/>
      <c r="B201" s="3"/>
      <c r="C201" s="3"/>
      <c r="D201" s="10"/>
      <c r="E201" s="10"/>
      <c r="F201" s="10"/>
      <c r="G201" s="11"/>
      <c r="H201" s="11"/>
      <c r="I201" s="3"/>
      <c r="J201" s="3"/>
      <c r="K201" s="3"/>
      <c r="L201" s="3"/>
      <c r="M201" s="3"/>
      <c r="N201" s="3"/>
      <c r="O201" s="3"/>
      <c r="P201" s="3"/>
      <c r="Q201" s="3"/>
      <c r="R201" s="3"/>
    </row>
    <row r="202" spans="1:18" ht="15.75" customHeight="1" x14ac:dyDescent="0.2">
      <c r="A202" s="3"/>
      <c r="B202" s="3"/>
      <c r="C202" s="3"/>
      <c r="D202" s="10"/>
      <c r="E202" s="10"/>
      <c r="F202" s="10"/>
      <c r="G202" s="11"/>
      <c r="H202" s="11"/>
      <c r="I202" s="3"/>
      <c r="J202" s="3"/>
      <c r="K202" s="3"/>
      <c r="L202" s="3"/>
      <c r="M202" s="3"/>
      <c r="N202" s="3"/>
      <c r="O202" s="3"/>
      <c r="P202" s="3"/>
      <c r="Q202" s="3"/>
      <c r="R202" s="3"/>
    </row>
    <row r="203" spans="1:18" ht="15.75" customHeight="1" x14ac:dyDescent="0.2">
      <c r="A203" s="3"/>
      <c r="B203" s="3"/>
      <c r="C203" s="3"/>
      <c r="D203" s="10"/>
      <c r="E203" s="10"/>
      <c r="F203" s="10"/>
      <c r="G203" s="11"/>
      <c r="H203" s="11"/>
      <c r="I203" s="3"/>
      <c r="J203" s="3"/>
      <c r="K203" s="3"/>
      <c r="L203" s="3"/>
      <c r="M203" s="3"/>
      <c r="N203" s="3"/>
      <c r="O203" s="3"/>
      <c r="P203" s="3"/>
      <c r="Q203" s="3"/>
      <c r="R203" s="3"/>
    </row>
    <row r="204" spans="1:18" ht="15.75" customHeight="1" x14ac:dyDescent="0.2">
      <c r="A204" s="3"/>
      <c r="B204" s="3"/>
      <c r="C204" s="3"/>
      <c r="D204" s="10"/>
      <c r="E204" s="10"/>
      <c r="F204" s="10"/>
      <c r="G204" s="11"/>
      <c r="H204" s="11"/>
      <c r="I204" s="3"/>
      <c r="J204" s="3"/>
      <c r="K204" s="3"/>
      <c r="L204" s="3"/>
      <c r="M204" s="3"/>
      <c r="N204" s="3"/>
      <c r="O204" s="3"/>
      <c r="P204" s="3"/>
      <c r="Q204" s="3"/>
      <c r="R204" s="3"/>
    </row>
    <row r="205" spans="1:18" ht="15.75" customHeight="1" x14ac:dyDescent="0.2">
      <c r="A205" s="3"/>
      <c r="B205" s="3"/>
      <c r="C205" s="3"/>
      <c r="D205" s="10"/>
      <c r="E205" s="10"/>
      <c r="F205" s="10"/>
      <c r="G205" s="11"/>
      <c r="H205" s="11"/>
      <c r="I205" s="3"/>
      <c r="J205" s="3"/>
      <c r="K205" s="3"/>
      <c r="L205" s="3"/>
      <c r="M205" s="3"/>
      <c r="N205" s="3"/>
      <c r="O205" s="3"/>
      <c r="P205" s="3"/>
      <c r="Q205" s="3"/>
      <c r="R205" s="3"/>
    </row>
    <row r="206" spans="1:18" ht="15.75" customHeight="1" x14ac:dyDescent="0.2">
      <c r="A206" s="3"/>
      <c r="B206" s="3"/>
      <c r="C206" s="3"/>
      <c r="D206" s="10"/>
      <c r="E206" s="10"/>
      <c r="F206" s="10"/>
      <c r="G206" s="11"/>
      <c r="H206" s="11"/>
      <c r="I206" s="3"/>
      <c r="J206" s="3"/>
      <c r="K206" s="3"/>
      <c r="L206" s="3"/>
      <c r="M206" s="3"/>
      <c r="N206" s="3"/>
      <c r="O206" s="3"/>
      <c r="P206" s="3"/>
      <c r="Q206" s="3"/>
      <c r="R206" s="3"/>
    </row>
    <row r="207" spans="1:18" ht="15.75" customHeight="1" x14ac:dyDescent="0.2">
      <c r="A207" s="3"/>
      <c r="B207" s="3"/>
      <c r="C207" s="3"/>
      <c r="D207" s="10"/>
      <c r="E207" s="10"/>
      <c r="F207" s="10"/>
      <c r="G207" s="11"/>
      <c r="H207" s="11"/>
      <c r="I207" s="3"/>
      <c r="J207" s="3"/>
      <c r="K207" s="3"/>
      <c r="L207" s="3"/>
      <c r="M207" s="3"/>
      <c r="N207" s="3"/>
      <c r="O207" s="3"/>
      <c r="P207" s="3"/>
      <c r="Q207" s="3"/>
      <c r="R207" s="3"/>
    </row>
    <row r="208" spans="1:18" ht="15.75" customHeight="1" x14ac:dyDescent="0.2">
      <c r="A208" s="3"/>
      <c r="B208" s="3"/>
      <c r="C208" s="3"/>
      <c r="D208" s="10"/>
      <c r="E208" s="10"/>
      <c r="F208" s="10"/>
      <c r="G208" s="11"/>
      <c r="H208" s="11"/>
      <c r="I208" s="3"/>
      <c r="J208" s="3"/>
      <c r="K208" s="3"/>
      <c r="L208" s="3"/>
      <c r="M208" s="3"/>
      <c r="N208" s="3"/>
      <c r="O208" s="3"/>
      <c r="P208" s="3"/>
      <c r="Q208" s="3"/>
      <c r="R208" s="3"/>
    </row>
    <row r="209" spans="1:18" ht="15.75" customHeight="1" x14ac:dyDescent="0.2">
      <c r="A209" s="3"/>
      <c r="B209" s="3"/>
      <c r="C209" s="3"/>
      <c r="D209" s="10"/>
      <c r="E209" s="10"/>
      <c r="F209" s="10"/>
      <c r="G209" s="11"/>
      <c r="H209" s="11"/>
      <c r="I209" s="3"/>
      <c r="J209" s="3"/>
      <c r="K209" s="3"/>
      <c r="L209" s="3"/>
      <c r="M209" s="3"/>
      <c r="N209" s="3"/>
      <c r="O209" s="3"/>
      <c r="P209" s="3"/>
      <c r="Q209" s="3"/>
      <c r="R209" s="3"/>
    </row>
    <row r="210" spans="1:18" ht="15.75" customHeight="1" x14ac:dyDescent="0.2">
      <c r="A210" s="3"/>
      <c r="B210" s="3"/>
      <c r="C210" s="3"/>
      <c r="D210" s="10"/>
      <c r="E210" s="10"/>
      <c r="F210" s="10"/>
      <c r="G210" s="11"/>
      <c r="H210" s="11"/>
      <c r="I210" s="3"/>
      <c r="J210" s="3"/>
      <c r="K210" s="3"/>
      <c r="L210" s="3"/>
      <c r="M210" s="3"/>
      <c r="N210" s="3"/>
      <c r="O210" s="3"/>
      <c r="P210" s="3"/>
      <c r="Q210" s="3"/>
      <c r="R210" s="3"/>
    </row>
    <row r="211" spans="1:18" ht="15.75" customHeight="1" x14ac:dyDescent="0.2">
      <c r="A211" s="3"/>
      <c r="B211" s="3"/>
      <c r="C211" s="3"/>
      <c r="D211" s="10"/>
      <c r="E211" s="10"/>
      <c r="F211" s="10"/>
      <c r="G211" s="11"/>
      <c r="H211" s="11"/>
      <c r="I211" s="3"/>
      <c r="J211" s="3"/>
      <c r="K211" s="3"/>
      <c r="L211" s="3"/>
      <c r="M211" s="3"/>
      <c r="N211" s="3"/>
      <c r="O211" s="3"/>
      <c r="P211" s="3"/>
      <c r="Q211" s="3"/>
      <c r="R211" s="3"/>
    </row>
    <row r="212" spans="1:18" ht="15.75" customHeight="1" x14ac:dyDescent="0.2">
      <c r="A212" s="3"/>
      <c r="B212" s="3"/>
      <c r="C212" s="3"/>
      <c r="D212" s="10"/>
      <c r="E212" s="10"/>
      <c r="F212" s="10"/>
      <c r="G212" s="11"/>
      <c r="H212" s="11"/>
      <c r="I212" s="3"/>
      <c r="J212" s="3"/>
      <c r="K212" s="3"/>
      <c r="L212" s="3"/>
      <c r="M212" s="3"/>
      <c r="N212" s="3"/>
      <c r="O212" s="3"/>
      <c r="P212" s="3"/>
      <c r="Q212" s="3"/>
      <c r="R212" s="3"/>
    </row>
    <row r="213" spans="1:18" ht="15.75" customHeight="1" x14ac:dyDescent="0.2">
      <c r="A213" s="3"/>
      <c r="B213" s="3"/>
      <c r="C213" s="3"/>
      <c r="D213" s="10"/>
      <c r="E213" s="10"/>
      <c r="F213" s="10"/>
      <c r="G213" s="11"/>
      <c r="H213" s="11"/>
      <c r="I213" s="3"/>
      <c r="J213" s="3"/>
      <c r="K213" s="3"/>
      <c r="L213" s="3"/>
      <c r="M213" s="3"/>
      <c r="N213" s="3"/>
      <c r="O213" s="3"/>
      <c r="P213" s="3"/>
      <c r="Q213" s="3"/>
      <c r="R213" s="3"/>
    </row>
    <row r="214" spans="1:18" ht="15.75" customHeight="1" x14ac:dyDescent="0.2">
      <c r="A214" s="3"/>
      <c r="B214" s="3"/>
      <c r="C214" s="3"/>
      <c r="D214" s="10"/>
      <c r="E214" s="10"/>
      <c r="F214" s="10"/>
      <c r="G214" s="11"/>
      <c r="H214" s="11"/>
      <c r="I214" s="3"/>
      <c r="J214" s="3"/>
      <c r="K214" s="3"/>
      <c r="L214" s="3"/>
      <c r="M214" s="3"/>
      <c r="N214" s="3"/>
      <c r="O214" s="3"/>
      <c r="P214" s="3"/>
      <c r="Q214" s="3"/>
      <c r="R214" s="3"/>
    </row>
    <row r="215" spans="1:18" ht="15.75" customHeight="1" x14ac:dyDescent="0.2">
      <c r="A215" s="3"/>
      <c r="B215" s="3"/>
      <c r="C215" s="3"/>
      <c r="D215" s="10"/>
      <c r="E215" s="10"/>
      <c r="F215" s="10"/>
      <c r="G215" s="11"/>
      <c r="H215" s="11"/>
      <c r="I215" s="3"/>
      <c r="J215" s="3"/>
      <c r="K215" s="3"/>
      <c r="L215" s="3"/>
      <c r="M215" s="3"/>
      <c r="N215" s="3"/>
      <c r="O215" s="3"/>
      <c r="P215" s="3"/>
      <c r="Q215" s="3"/>
      <c r="R215" s="3"/>
    </row>
    <row r="216" spans="1:18" ht="15.75" customHeight="1" x14ac:dyDescent="0.2">
      <c r="A216" s="3"/>
      <c r="B216" s="3"/>
      <c r="C216" s="3"/>
      <c r="D216" s="10"/>
      <c r="E216" s="10"/>
      <c r="F216" s="10"/>
      <c r="G216" s="11"/>
      <c r="H216" s="11"/>
      <c r="I216" s="3"/>
      <c r="J216" s="3"/>
      <c r="K216" s="3"/>
      <c r="L216" s="3"/>
      <c r="M216" s="3"/>
      <c r="N216" s="3"/>
      <c r="O216" s="3"/>
      <c r="P216" s="3"/>
      <c r="Q216" s="3"/>
      <c r="R216" s="3"/>
    </row>
    <row r="217" spans="1:18" ht="15.75" customHeight="1" x14ac:dyDescent="0.2">
      <c r="A217" s="3"/>
      <c r="B217" s="3"/>
      <c r="C217" s="3"/>
      <c r="D217" s="10"/>
      <c r="E217" s="10"/>
      <c r="F217" s="10"/>
      <c r="G217" s="11"/>
      <c r="H217" s="11"/>
      <c r="I217" s="3"/>
      <c r="J217" s="3"/>
      <c r="K217" s="3"/>
      <c r="L217" s="3"/>
      <c r="M217" s="3"/>
      <c r="N217" s="3"/>
      <c r="O217" s="3"/>
      <c r="P217" s="3"/>
      <c r="Q217" s="3"/>
      <c r="R217" s="3"/>
    </row>
    <row r="218" spans="1:18" ht="15.75" customHeight="1" x14ac:dyDescent="0.2">
      <c r="A218" s="3"/>
      <c r="B218" s="3"/>
      <c r="C218" s="3"/>
      <c r="D218" s="10"/>
      <c r="E218" s="10"/>
      <c r="F218" s="10"/>
      <c r="G218" s="11"/>
      <c r="H218" s="11"/>
      <c r="I218" s="3"/>
      <c r="J218" s="3"/>
      <c r="K218" s="3"/>
      <c r="L218" s="3"/>
      <c r="M218" s="3"/>
      <c r="N218" s="3"/>
      <c r="O218" s="3"/>
      <c r="P218" s="3"/>
      <c r="Q218" s="3"/>
      <c r="R218" s="3"/>
    </row>
    <row r="219" spans="1:18" ht="15.75" customHeight="1" x14ac:dyDescent="0.2">
      <c r="A219" s="3"/>
      <c r="B219" s="3"/>
      <c r="C219" s="3"/>
      <c r="D219" s="10"/>
      <c r="E219" s="10"/>
      <c r="F219" s="10"/>
      <c r="G219" s="11"/>
      <c r="H219" s="11"/>
      <c r="I219" s="3"/>
      <c r="J219" s="3"/>
      <c r="K219" s="3"/>
      <c r="L219" s="3"/>
      <c r="M219" s="3"/>
      <c r="N219" s="3"/>
      <c r="O219" s="3"/>
      <c r="P219" s="3"/>
      <c r="Q219" s="3"/>
      <c r="R219" s="3"/>
    </row>
    <row r="220" spans="1:18" ht="15.75" customHeight="1" x14ac:dyDescent="0.2">
      <c r="A220" s="3"/>
      <c r="B220" s="3"/>
      <c r="C220" s="3"/>
      <c r="D220" s="10"/>
      <c r="E220" s="10"/>
      <c r="F220" s="10"/>
      <c r="G220" s="11"/>
      <c r="H220" s="11"/>
      <c r="I220" s="3"/>
      <c r="J220" s="3"/>
      <c r="K220" s="3"/>
      <c r="L220" s="3"/>
      <c r="M220" s="3"/>
      <c r="N220" s="3"/>
      <c r="O220" s="3"/>
      <c r="P220" s="3"/>
      <c r="Q220" s="3"/>
      <c r="R220" s="3"/>
    </row>
    <row r="221" spans="1:18" ht="15.75" customHeight="1" x14ac:dyDescent="0.2">
      <c r="A221" s="3"/>
      <c r="B221" s="3"/>
      <c r="C221" s="3"/>
      <c r="D221" s="10"/>
      <c r="E221" s="10"/>
      <c r="F221" s="10"/>
      <c r="G221" s="11"/>
      <c r="H221" s="11"/>
      <c r="I221" s="3"/>
      <c r="J221" s="3"/>
      <c r="K221" s="3"/>
      <c r="L221" s="3"/>
      <c r="M221" s="3"/>
      <c r="N221" s="3"/>
      <c r="O221" s="3"/>
      <c r="P221" s="3"/>
      <c r="Q221" s="3"/>
      <c r="R221" s="3"/>
    </row>
    <row r="222" spans="1:18" ht="15.75" customHeight="1" x14ac:dyDescent="0.2">
      <c r="A222" s="3"/>
      <c r="B222" s="3"/>
      <c r="C222" s="3"/>
      <c r="D222" s="10"/>
      <c r="E222" s="10"/>
      <c r="F222" s="10"/>
      <c r="G222" s="11"/>
      <c r="H222" s="11"/>
      <c r="I222" s="3"/>
      <c r="J222" s="3"/>
      <c r="K222" s="3"/>
      <c r="L222" s="3"/>
      <c r="M222" s="3"/>
      <c r="N222" s="3"/>
      <c r="O222" s="3"/>
      <c r="P222" s="3"/>
      <c r="Q222" s="3"/>
      <c r="R222" s="3"/>
    </row>
    <row r="223" spans="1:18" ht="15.75" customHeight="1" x14ac:dyDescent="0.2">
      <c r="A223" s="3"/>
      <c r="B223" s="3"/>
      <c r="C223" s="3"/>
      <c r="D223" s="10"/>
      <c r="E223" s="10"/>
      <c r="F223" s="10"/>
      <c r="G223" s="11"/>
      <c r="H223" s="11"/>
      <c r="I223" s="3"/>
      <c r="J223" s="3"/>
      <c r="K223" s="3"/>
      <c r="L223" s="3"/>
      <c r="M223" s="3"/>
      <c r="N223" s="3"/>
      <c r="O223" s="3"/>
      <c r="P223" s="3"/>
      <c r="Q223" s="3"/>
      <c r="R223" s="3"/>
    </row>
    <row r="224" spans="1:18" ht="15.75" customHeight="1" x14ac:dyDescent="0.2">
      <c r="A224" s="3"/>
      <c r="B224" s="3"/>
      <c r="C224" s="3"/>
      <c r="D224" s="10"/>
      <c r="E224" s="10"/>
      <c r="F224" s="10"/>
      <c r="G224" s="11"/>
      <c r="H224" s="11"/>
      <c r="I224" s="3"/>
      <c r="J224" s="3"/>
      <c r="K224" s="3"/>
      <c r="L224" s="3"/>
      <c r="M224" s="3"/>
      <c r="N224" s="3"/>
      <c r="O224" s="3"/>
      <c r="P224" s="3"/>
      <c r="Q224" s="3"/>
      <c r="R224" s="3"/>
    </row>
    <row r="225" spans="1:18" ht="15.75" customHeight="1" x14ac:dyDescent="0.2">
      <c r="A225" s="3"/>
      <c r="B225" s="3"/>
      <c r="C225" s="3"/>
      <c r="D225" s="10"/>
      <c r="E225" s="10"/>
      <c r="F225" s="10"/>
      <c r="G225" s="11"/>
      <c r="H225" s="11"/>
      <c r="I225" s="3"/>
      <c r="J225" s="3"/>
      <c r="K225" s="3"/>
      <c r="L225" s="3"/>
      <c r="M225" s="3"/>
      <c r="N225" s="3"/>
      <c r="O225" s="3"/>
      <c r="P225" s="3"/>
      <c r="Q225" s="3"/>
      <c r="R225" s="3"/>
    </row>
    <row r="226" spans="1:18" ht="15.75" customHeight="1" x14ac:dyDescent="0.2">
      <c r="A226" s="3"/>
      <c r="B226" s="3"/>
      <c r="C226" s="3"/>
      <c r="D226" s="10"/>
      <c r="E226" s="10"/>
      <c r="F226" s="10"/>
      <c r="G226" s="11"/>
      <c r="H226" s="11"/>
      <c r="I226" s="3"/>
      <c r="J226" s="3"/>
      <c r="K226" s="3"/>
      <c r="L226" s="3"/>
      <c r="M226" s="3"/>
      <c r="N226" s="3"/>
      <c r="O226" s="3"/>
      <c r="P226" s="3"/>
      <c r="Q226" s="3"/>
      <c r="R226" s="3"/>
    </row>
    <row r="227" spans="1:18" ht="15.75" customHeight="1" x14ac:dyDescent="0.2">
      <c r="A227" s="3"/>
      <c r="B227" s="3"/>
      <c r="C227" s="3"/>
      <c r="D227" s="10"/>
      <c r="E227" s="10"/>
      <c r="F227" s="10"/>
      <c r="G227" s="11"/>
      <c r="H227" s="11"/>
      <c r="I227" s="3"/>
      <c r="J227" s="3"/>
      <c r="K227" s="3"/>
      <c r="L227" s="3"/>
      <c r="M227" s="3"/>
      <c r="N227" s="3"/>
      <c r="O227" s="3"/>
      <c r="P227" s="3"/>
      <c r="Q227" s="3"/>
      <c r="R227" s="3"/>
    </row>
    <row r="228" spans="1:18" ht="15.75" customHeight="1" x14ac:dyDescent="0.2">
      <c r="A228" s="3"/>
      <c r="B228" s="3"/>
      <c r="C228" s="3"/>
      <c r="D228" s="10"/>
      <c r="E228" s="10"/>
      <c r="F228" s="10"/>
      <c r="G228" s="11"/>
      <c r="H228" s="11"/>
      <c r="I228" s="3"/>
      <c r="J228" s="3"/>
      <c r="K228" s="3"/>
      <c r="L228" s="3"/>
      <c r="M228" s="3"/>
      <c r="N228" s="3"/>
      <c r="O228" s="3"/>
      <c r="P228" s="3"/>
      <c r="Q228" s="3"/>
      <c r="R228" s="3"/>
    </row>
    <row r="229" spans="1:18" ht="15.75" customHeight="1" x14ac:dyDescent="0.2">
      <c r="A229" s="3"/>
      <c r="B229" s="3"/>
      <c r="C229" s="3"/>
      <c r="D229" s="10"/>
      <c r="E229" s="10"/>
      <c r="F229" s="10"/>
      <c r="G229" s="11"/>
      <c r="H229" s="11"/>
      <c r="I229" s="3"/>
      <c r="J229" s="3"/>
      <c r="K229" s="3"/>
      <c r="L229" s="3"/>
      <c r="M229" s="3"/>
      <c r="N229" s="3"/>
      <c r="O229" s="3"/>
      <c r="P229" s="3"/>
      <c r="Q229" s="3"/>
      <c r="R229" s="3"/>
    </row>
    <row r="230" spans="1:18" ht="15.75" customHeight="1" x14ac:dyDescent="0.2">
      <c r="A230" s="3"/>
      <c r="B230" s="3"/>
      <c r="C230" s="3"/>
      <c r="D230" s="10"/>
      <c r="E230" s="10"/>
      <c r="F230" s="10"/>
      <c r="G230" s="11"/>
      <c r="H230" s="11"/>
      <c r="I230" s="3"/>
      <c r="J230" s="3"/>
      <c r="K230" s="3"/>
      <c r="L230" s="3"/>
      <c r="M230" s="3"/>
      <c r="N230" s="3"/>
      <c r="O230" s="3"/>
      <c r="P230" s="3"/>
      <c r="Q230" s="3"/>
      <c r="R230" s="3"/>
    </row>
    <row r="231" spans="1:18" ht="15.75" customHeight="1" x14ac:dyDescent="0.2">
      <c r="A231" s="3"/>
      <c r="B231" s="3"/>
      <c r="C231" s="3"/>
      <c r="D231" s="10"/>
      <c r="E231" s="10"/>
      <c r="F231" s="10"/>
      <c r="G231" s="11"/>
      <c r="H231" s="11"/>
      <c r="I231" s="3"/>
      <c r="J231" s="3"/>
      <c r="K231" s="3"/>
      <c r="L231" s="3"/>
      <c r="M231" s="3"/>
      <c r="N231" s="3"/>
      <c r="O231" s="3"/>
      <c r="P231" s="3"/>
      <c r="Q231" s="3"/>
      <c r="R231" s="3"/>
    </row>
    <row r="232" spans="1:18" ht="15.75" customHeight="1" x14ac:dyDescent="0.2">
      <c r="A232" s="3"/>
      <c r="B232" s="3"/>
      <c r="C232" s="3"/>
      <c r="D232" s="10"/>
      <c r="E232" s="10"/>
      <c r="F232" s="10"/>
      <c r="G232" s="11"/>
      <c r="H232" s="11"/>
      <c r="I232" s="3"/>
      <c r="J232" s="3"/>
      <c r="K232" s="3"/>
      <c r="L232" s="3"/>
      <c r="M232" s="3"/>
      <c r="N232" s="3"/>
      <c r="O232" s="3"/>
      <c r="P232" s="3"/>
      <c r="Q232" s="3"/>
      <c r="R232" s="3"/>
    </row>
    <row r="233" spans="1:18" ht="15.75" customHeight="1" x14ac:dyDescent="0.2">
      <c r="A233" s="3"/>
      <c r="B233" s="3"/>
      <c r="C233" s="3"/>
      <c r="D233" s="10"/>
      <c r="E233" s="10"/>
      <c r="F233" s="10"/>
      <c r="G233" s="11"/>
      <c r="H233" s="11"/>
      <c r="I233" s="3"/>
      <c r="J233" s="3"/>
      <c r="K233" s="3"/>
      <c r="L233" s="3"/>
      <c r="M233" s="3"/>
      <c r="N233" s="3"/>
      <c r="O233" s="3"/>
      <c r="P233" s="3"/>
      <c r="Q233" s="3"/>
      <c r="R233" s="3"/>
    </row>
    <row r="234" spans="1:18" ht="15.75" customHeight="1" x14ac:dyDescent="0.2">
      <c r="A234" s="3"/>
      <c r="B234" s="3"/>
      <c r="C234" s="3"/>
      <c r="D234" s="10"/>
      <c r="E234" s="10"/>
      <c r="F234" s="10"/>
      <c r="G234" s="11"/>
      <c r="H234" s="11"/>
      <c r="I234" s="3"/>
      <c r="J234" s="3"/>
      <c r="K234" s="3"/>
      <c r="L234" s="3"/>
      <c r="M234" s="3"/>
      <c r="N234" s="3"/>
      <c r="O234" s="3"/>
      <c r="P234" s="3"/>
      <c r="Q234" s="3"/>
      <c r="R234" s="3"/>
    </row>
    <row r="235" spans="1:18" ht="15.75" customHeight="1" x14ac:dyDescent="0.2">
      <c r="A235" s="3"/>
      <c r="B235" s="3"/>
      <c r="C235" s="3"/>
      <c r="D235" s="10"/>
      <c r="E235" s="10"/>
      <c r="F235" s="10"/>
      <c r="G235" s="11"/>
      <c r="H235" s="11"/>
      <c r="I235" s="3"/>
      <c r="J235" s="3"/>
      <c r="K235" s="3"/>
      <c r="L235" s="3"/>
      <c r="M235" s="3"/>
      <c r="N235" s="3"/>
      <c r="O235" s="3"/>
      <c r="P235" s="3"/>
      <c r="Q235" s="3"/>
      <c r="R235" s="3"/>
    </row>
    <row r="236" spans="1:18" ht="15.75" customHeight="1" x14ac:dyDescent="0.2">
      <c r="A236" s="3"/>
      <c r="B236" s="3"/>
      <c r="C236" s="3"/>
      <c r="D236" s="10"/>
      <c r="E236" s="10"/>
      <c r="F236" s="10"/>
      <c r="G236" s="11"/>
      <c r="H236" s="11"/>
      <c r="I236" s="3"/>
      <c r="J236" s="3"/>
      <c r="K236" s="3"/>
      <c r="L236" s="3"/>
      <c r="M236" s="3"/>
      <c r="N236" s="3"/>
      <c r="O236" s="3"/>
      <c r="P236" s="3"/>
      <c r="Q236" s="3"/>
      <c r="R236" s="3"/>
    </row>
    <row r="237" spans="1:18" ht="15.75" customHeight="1" x14ac:dyDescent="0.2">
      <c r="A237" s="3"/>
      <c r="B237" s="3"/>
      <c r="C237" s="3"/>
      <c r="D237" s="10"/>
      <c r="E237" s="10"/>
      <c r="F237" s="10"/>
      <c r="G237" s="11"/>
      <c r="H237" s="11"/>
      <c r="I237" s="3"/>
      <c r="J237" s="3"/>
      <c r="K237" s="3"/>
      <c r="L237" s="3"/>
      <c r="M237" s="3"/>
      <c r="N237" s="3"/>
      <c r="O237" s="3"/>
      <c r="P237" s="3"/>
      <c r="Q237" s="3"/>
      <c r="R237" s="3"/>
    </row>
    <row r="238" spans="1:18" ht="15.75" customHeight="1" x14ac:dyDescent="0.2">
      <c r="A238" s="3"/>
      <c r="B238" s="3"/>
      <c r="C238" s="3"/>
      <c r="D238" s="10"/>
      <c r="E238" s="10"/>
      <c r="F238" s="10"/>
      <c r="G238" s="11"/>
      <c r="H238" s="11"/>
      <c r="I238" s="3"/>
      <c r="J238" s="3"/>
      <c r="K238" s="3"/>
      <c r="L238" s="3"/>
      <c r="M238" s="3"/>
      <c r="N238" s="3"/>
      <c r="O238" s="3"/>
      <c r="P238" s="3"/>
      <c r="Q238" s="3"/>
      <c r="R238" s="3"/>
    </row>
    <row r="239" spans="1:18" ht="15.75" customHeight="1" x14ac:dyDescent="0.2">
      <c r="A239" s="3"/>
      <c r="B239" s="3"/>
      <c r="C239" s="3"/>
      <c r="D239" s="10"/>
      <c r="E239" s="10"/>
      <c r="F239" s="10"/>
      <c r="G239" s="11"/>
      <c r="H239" s="11"/>
      <c r="I239" s="3"/>
      <c r="J239" s="3"/>
      <c r="K239" s="3"/>
      <c r="L239" s="3"/>
      <c r="M239" s="3"/>
      <c r="N239" s="3"/>
      <c r="O239" s="3"/>
      <c r="P239" s="3"/>
      <c r="Q239" s="3"/>
      <c r="R239" s="3"/>
    </row>
    <row r="240" spans="1:18" ht="15.75" customHeight="1" x14ac:dyDescent="0.2">
      <c r="A240" s="3"/>
      <c r="B240" s="3"/>
      <c r="C240" s="3"/>
      <c r="D240" s="10"/>
      <c r="E240" s="10"/>
      <c r="F240" s="10"/>
      <c r="G240" s="11"/>
      <c r="H240" s="11"/>
      <c r="I240" s="3"/>
      <c r="J240" s="3"/>
      <c r="K240" s="3"/>
      <c r="L240" s="3"/>
      <c r="M240" s="3"/>
      <c r="N240" s="3"/>
      <c r="O240" s="3"/>
      <c r="P240" s="3"/>
      <c r="Q240" s="3"/>
      <c r="R240" s="3"/>
    </row>
    <row r="241" spans="1:18" ht="15.75" customHeight="1" x14ac:dyDescent="0.2">
      <c r="A241" s="3"/>
      <c r="B241" s="3"/>
      <c r="C241" s="3"/>
      <c r="D241" s="10"/>
      <c r="E241" s="10"/>
      <c r="F241" s="10"/>
      <c r="G241" s="11"/>
      <c r="H241" s="11"/>
      <c r="I241" s="3"/>
      <c r="J241" s="3"/>
      <c r="K241" s="3"/>
      <c r="L241" s="3"/>
      <c r="M241" s="3"/>
      <c r="N241" s="3"/>
      <c r="O241" s="3"/>
      <c r="P241" s="3"/>
      <c r="Q241" s="3"/>
      <c r="R241" s="3"/>
    </row>
    <row r="242" spans="1:18" ht="15.75" customHeight="1" x14ac:dyDescent="0.2">
      <c r="A242" s="3"/>
      <c r="B242" s="3"/>
      <c r="C242" s="3"/>
      <c r="D242" s="10"/>
      <c r="E242" s="10"/>
      <c r="F242" s="10"/>
      <c r="G242" s="11"/>
      <c r="H242" s="11"/>
      <c r="I242" s="3"/>
      <c r="J242" s="3"/>
      <c r="K242" s="3"/>
      <c r="L242" s="3"/>
      <c r="M242" s="3"/>
      <c r="N242" s="3"/>
      <c r="O242" s="3"/>
      <c r="P242" s="3"/>
      <c r="Q242" s="3"/>
      <c r="R242" s="3"/>
    </row>
    <row r="243" spans="1:18" ht="15.75" customHeight="1" x14ac:dyDescent="0.2">
      <c r="A243" s="3"/>
      <c r="B243" s="3"/>
      <c r="C243" s="3"/>
      <c r="D243" s="10"/>
      <c r="E243" s="10"/>
      <c r="F243" s="10"/>
      <c r="G243" s="11"/>
      <c r="H243" s="11"/>
      <c r="I243" s="3"/>
      <c r="J243" s="3"/>
      <c r="K243" s="3"/>
      <c r="L243" s="3"/>
      <c r="M243" s="3"/>
      <c r="N243" s="3"/>
      <c r="O243" s="3"/>
      <c r="P243" s="3"/>
      <c r="Q243" s="3"/>
      <c r="R243" s="3"/>
    </row>
    <row r="244" spans="1:18" ht="15.75" customHeight="1" x14ac:dyDescent="0.2">
      <c r="A244" s="3"/>
      <c r="B244" s="3"/>
      <c r="C244" s="3"/>
      <c r="D244" s="10"/>
      <c r="E244" s="10"/>
      <c r="F244" s="10"/>
      <c r="G244" s="11"/>
      <c r="H244" s="11"/>
      <c r="I244" s="3"/>
      <c r="J244" s="3"/>
      <c r="K244" s="3"/>
      <c r="L244" s="3"/>
      <c r="M244" s="3"/>
      <c r="N244" s="3"/>
      <c r="O244" s="3"/>
      <c r="P244" s="3"/>
      <c r="Q244" s="3"/>
      <c r="R244" s="3"/>
    </row>
    <row r="245" spans="1:18" ht="15.75" customHeight="1" x14ac:dyDescent="0.2">
      <c r="A245" s="3"/>
      <c r="B245" s="3"/>
      <c r="C245" s="3"/>
      <c r="D245" s="10"/>
      <c r="E245" s="10"/>
      <c r="F245" s="10"/>
      <c r="G245" s="11"/>
      <c r="H245" s="11"/>
      <c r="I245" s="3"/>
      <c r="J245" s="3"/>
      <c r="K245" s="3"/>
      <c r="L245" s="3"/>
      <c r="M245" s="3"/>
      <c r="N245" s="3"/>
      <c r="O245" s="3"/>
      <c r="P245" s="3"/>
      <c r="Q245" s="3"/>
      <c r="R245" s="3"/>
    </row>
    <row r="246" spans="1:18" ht="15.75" customHeight="1" x14ac:dyDescent="0.2">
      <c r="A246" s="3"/>
      <c r="B246" s="3"/>
      <c r="C246" s="3"/>
      <c r="D246" s="10"/>
      <c r="E246" s="10"/>
      <c r="F246" s="10"/>
      <c r="G246" s="11"/>
      <c r="H246" s="11"/>
      <c r="I246" s="3"/>
      <c r="J246" s="3"/>
      <c r="K246" s="3"/>
      <c r="L246" s="3"/>
      <c r="M246" s="3"/>
      <c r="N246" s="3"/>
      <c r="O246" s="3"/>
      <c r="P246" s="3"/>
      <c r="Q246" s="3"/>
      <c r="R246" s="3"/>
    </row>
    <row r="247" spans="1:18" ht="15.75" customHeight="1" x14ac:dyDescent="0.2">
      <c r="A247" s="3"/>
      <c r="B247" s="3"/>
      <c r="C247" s="3"/>
      <c r="D247" s="10"/>
      <c r="E247" s="10"/>
      <c r="F247" s="10"/>
      <c r="G247" s="11"/>
      <c r="H247" s="11"/>
      <c r="I247" s="3"/>
      <c r="J247" s="3"/>
      <c r="K247" s="3"/>
      <c r="L247" s="3"/>
      <c r="M247" s="3"/>
      <c r="N247" s="3"/>
      <c r="O247" s="3"/>
      <c r="P247" s="3"/>
      <c r="Q247" s="3"/>
      <c r="R247" s="3"/>
    </row>
    <row r="248" spans="1:18" ht="15.75" customHeight="1" x14ac:dyDescent="0.2">
      <c r="A248" s="3"/>
      <c r="B248" s="3"/>
      <c r="C248" s="3"/>
      <c r="D248" s="10"/>
      <c r="E248" s="10"/>
      <c r="F248" s="10"/>
      <c r="G248" s="11"/>
      <c r="H248" s="11"/>
      <c r="I248" s="3"/>
      <c r="J248" s="3"/>
      <c r="K248" s="3"/>
      <c r="L248" s="3"/>
      <c r="M248" s="3"/>
      <c r="N248" s="3"/>
      <c r="O248" s="3"/>
      <c r="P248" s="3"/>
      <c r="Q248" s="3"/>
      <c r="R248" s="3"/>
    </row>
    <row r="249" spans="1:18" ht="15.75" customHeight="1" x14ac:dyDescent="0.2">
      <c r="A249" s="3"/>
      <c r="B249" s="3"/>
      <c r="C249" s="3"/>
      <c r="D249" s="10"/>
      <c r="E249" s="10"/>
      <c r="F249" s="10"/>
      <c r="G249" s="11"/>
      <c r="H249" s="11"/>
      <c r="I249" s="3"/>
      <c r="J249" s="3"/>
      <c r="K249" s="3"/>
      <c r="L249" s="3"/>
      <c r="M249" s="3"/>
      <c r="N249" s="3"/>
      <c r="O249" s="3"/>
      <c r="P249" s="3"/>
      <c r="Q249" s="3"/>
      <c r="R249" s="3"/>
    </row>
    <row r="250" spans="1:18" ht="15.75" customHeight="1" x14ac:dyDescent="0.2">
      <c r="A250" s="3"/>
      <c r="B250" s="3"/>
      <c r="C250" s="3"/>
      <c r="D250" s="10"/>
      <c r="E250" s="10"/>
      <c r="F250" s="10"/>
      <c r="G250" s="11"/>
      <c r="H250" s="11"/>
      <c r="I250" s="3"/>
      <c r="J250" s="3"/>
      <c r="K250" s="3"/>
      <c r="L250" s="3"/>
      <c r="M250" s="3"/>
      <c r="N250" s="3"/>
      <c r="O250" s="3"/>
      <c r="P250" s="3"/>
      <c r="Q250" s="3"/>
      <c r="R250" s="3"/>
    </row>
    <row r="251" spans="1:18" ht="15.75" customHeight="1" x14ac:dyDescent="0.2">
      <c r="A251" s="3"/>
      <c r="B251" s="3"/>
      <c r="C251" s="3"/>
      <c r="D251" s="10"/>
      <c r="E251" s="10"/>
      <c r="F251" s="10"/>
      <c r="G251" s="11"/>
      <c r="H251" s="11"/>
      <c r="I251" s="3"/>
      <c r="J251" s="3"/>
      <c r="K251" s="3"/>
      <c r="L251" s="3"/>
      <c r="M251" s="3"/>
      <c r="N251" s="3"/>
      <c r="O251" s="3"/>
      <c r="P251" s="3"/>
      <c r="Q251" s="3"/>
      <c r="R251" s="3"/>
    </row>
    <row r="252" spans="1:18" ht="15.75" customHeight="1" x14ac:dyDescent="0.2">
      <c r="A252" s="3"/>
      <c r="B252" s="3"/>
      <c r="C252" s="3"/>
      <c r="D252" s="10"/>
      <c r="E252" s="10"/>
      <c r="F252" s="10"/>
      <c r="G252" s="11"/>
      <c r="H252" s="11"/>
      <c r="I252" s="3"/>
      <c r="J252" s="3"/>
      <c r="K252" s="3"/>
      <c r="L252" s="3"/>
      <c r="M252" s="3"/>
      <c r="N252" s="3"/>
      <c r="O252" s="3"/>
      <c r="P252" s="3"/>
      <c r="Q252" s="3"/>
      <c r="R252" s="3"/>
    </row>
    <row r="253" spans="1:18" ht="15.75" customHeight="1" x14ac:dyDescent="0.2">
      <c r="A253" s="3"/>
      <c r="B253" s="3"/>
      <c r="C253" s="3"/>
      <c r="D253" s="10"/>
      <c r="E253" s="10"/>
      <c r="F253" s="10"/>
      <c r="G253" s="11"/>
      <c r="H253" s="11"/>
      <c r="I253" s="3"/>
      <c r="J253" s="3"/>
      <c r="K253" s="3"/>
      <c r="L253" s="3"/>
      <c r="M253" s="3"/>
      <c r="N253" s="3"/>
      <c r="O253" s="3"/>
      <c r="P253" s="3"/>
      <c r="Q253" s="3"/>
      <c r="R253" s="3"/>
    </row>
    <row r="254" spans="1:18" ht="15.75" customHeight="1" x14ac:dyDescent="0.2">
      <c r="A254" s="3"/>
      <c r="B254" s="3"/>
      <c r="C254" s="3"/>
      <c r="D254" s="10"/>
      <c r="E254" s="10"/>
      <c r="F254" s="10"/>
      <c r="G254" s="11"/>
      <c r="H254" s="11"/>
      <c r="I254" s="3"/>
      <c r="J254" s="3"/>
      <c r="K254" s="3"/>
      <c r="L254" s="3"/>
      <c r="M254" s="3"/>
      <c r="N254" s="3"/>
      <c r="O254" s="3"/>
      <c r="P254" s="3"/>
      <c r="Q254" s="3"/>
      <c r="R254" s="3"/>
    </row>
    <row r="255" spans="1:18" ht="15.75" customHeight="1" x14ac:dyDescent="0.2">
      <c r="A255" s="3"/>
      <c r="B255" s="3"/>
      <c r="C255" s="3"/>
      <c r="D255" s="10"/>
      <c r="E255" s="10"/>
      <c r="F255" s="10"/>
      <c r="G255" s="11"/>
      <c r="H255" s="11"/>
      <c r="I255" s="3"/>
      <c r="J255" s="3"/>
      <c r="K255" s="3"/>
      <c r="L255" s="3"/>
      <c r="M255" s="3"/>
      <c r="N255" s="3"/>
      <c r="O255" s="3"/>
      <c r="P255" s="3"/>
      <c r="Q255" s="3"/>
      <c r="R255" s="3"/>
    </row>
    <row r="256" spans="1:18" ht="15.75" customHeight="1" x14ac:dyDescent="0.2">
      <c r="A256" s="3"/>
      <c r="B256" s="3"/>
      <c r="C256" s="3"/>
      <c r="D256" s="10"/>
      <c r="E256" s="10"/>
      <c r="F256" s="10"/>
      <c r="G256" s="11"/>
      <c r="H256" s="11"/>
      <c r="I256" s="3"/>
      <c r="J256" s="3"/>
      <c r="K256" s="3"/>
      <c r="L256" s="3"/>
      <c r="M256" s="3"/>
      <c r="N256" s="3"/>
      <c r="O256" s="3"/>
      <c r="P256" s="3"/>
      <c r="Q256" s="3"/>
      <c r="R256" s="3"/>
    </row>
    <row r="257" spans="1:18" ht="15.75" customHeight="1" x14ac:dyDescent="0.2">
      <c r="A257" s="3"/>
      <c r="B257" s="3"/>
      <c r="C257" s="3"/>
      <c r="D257" s="10"/>
      <c r="E257" s="10"/>
      <c r="F257" s="10"/>
      <c r="G257" s="11"/>
      <c r="H257" s="11"/>
      <c r="I257" s="3"/>
      <c r="J257" s="3"/>
      <c r="K257" s="3"/>
      <c r="L257" s="3"/>
      <c r="M257" s="3"/>
      <c r="N257" s="3"/>
      <c r="O257" s="3"/>
      <c r="P257" s="3"/>
      <c r="Q257" s="3"/>
      <c r="R257" s="3"/>
    </row>
    <row r="258" spans="1:18" ht="15.75" customHeight="1" x14ac:dyDescent="0.2">
      <c r="A258" s="3"/>
      <c r="B258" s="3"/>
      <c r="C258" s="3"/>
      <c r="D258" s="10"/>
      <c r="E258" s="10"/>
      <c r="F258" s="10"/>
      <c r="G258" s="11"/>
      <c r="H258" s="11"/>
      <c r="I258" s="3"/>
      <c r="J258" s="3"/>
      <c r="K258" s="3"/>
      <c r="L258" s="3"/>
      <c r="M258" s="3"/>
      <c r="N258" s="3"/>
      <c r="O258" s="3"/>
      <c r="P258" s="3"/>
      <c r="Q258" s="3"/>
      <c r="R258" s="3"/>
    </row>
    <row r="259" spans="1:18" ht="15.75" customHeight="1" x14ac:dyDescent="0.2">
      <c r="A259" s="3"/>
      <c r="B259" s="3"/>
      <c r="C259" s="3"/>
      <c r="D259" s="10"/>
      <c r="E259" s="10"/>
      <c r="F259" s="10"/>
      <c r="G259" s="11"/>
      <c r="H259" s="11"/>
      <c r="I259" s="3"/>
      <c r="J259" s="3"/>
      <c r="K259" s="3"/>
      <c r="L259" s="3"/>
      <c r="M259" s="3"/>
      <c r="N259" s="3"/>
      <c r="O259" s="3"/>
      <c r="P259" s="3"/>
      <c r="Q259" s="3"/>
      <c r="R259" s="3"/>
    </row>
    <row r="260" spans="1:18" ht="15.75" customHeight="1" x14ac:dyDescent="0.2">
      <c r="A260" s="3"/>
      <c r="B260" s="3"/>
      <c r="C260" s="3"/>
      <c r="D260" s="10"/>
      <c r="E260" s="10"/>
      <c r="F260" s="10"/>
      <c r="G260" s="11"/>
      <c r="H260" s="11"/>
      <c r="I260" s="3"/>
      <c r="J260" s="3"/>
      <c r="K260" s="3"/>
      <c r="L260" s="3"/>
      <c r="M260" s="3"/>
      <c r="N260" s="3"/>
      <c r="O260" s="3"/>
      <c r="P260" s="3"/>
      <c r="Q260" s="3"/>
      <c r="R260" s="3"/>
    </row>
    <row r="261" spans="1:18" ht="15.75" customHeight="1" x14ac:dyDescent="0.2">
      <c r="A261" s="3"/>
      <c r="B261" s="3"/>
      <c r="C261" s="3"/>
      <c r="D261" s="10"/>
      <c r="E261" s="10"/>
      <c r="F261" s="10"/>
      <c r="G261" s="11"/>
      <c r="H261" s="11"/>
      <c r="I261" s="3"/>
      <c r="J261" s="3"/>
      <c r="K261" s="3"/>
      <c r="L261" s="3"/>
      <c r="M261" s="3"/>
      <c r="N261" s="3"/>
      <c r="O261" s="3"/>
      <c r="P261" s="3"/>
      <c r="Q261" s="3"/>
      <c r="R261" s="3"/>
    </row>
    <row r="262" spans="1:18" ht="15.75" customHeight="1" x14ac:dyDescent="0.2">
      <c r="A262" s="3"/>
      <c r="B262" s="3"/>
      <c r="C262" s="3"/>
      <c r="D262" s="10"/>
      <c r="E262" s="10"/>
      <c r="F262" s="10"/>
      <c r="G262" s="11"/>
      <c r="H262" s="11"/>
      <c r="I262" s="3"/>
      <c r="J262" s="3"/>
      <c r="K262" s="3"/>
      <c r="L262" s="3"/>
      <c r="M262" s="3"/>
      <c r="N262" s="3"/>
      <c r="O262" s="3"/>
      <c r="P262" s="3"/>
      <c r="Q262" s="3"/>
      <c r="R262" s="3"/>
    </row>
    <row r="263" spans="1:18" ht="15.75" customHeight="1" x14ac:dyDescent="0.2">
      <c r="A263" s="3"/>
      <c r="B263" s="3"/>
      <c r="C263" s="3"/>
      <c r="D263" s="10"/>
      <c r="E263" s="10"/>
      <c r="F263" s="10"/>
      <c r="G263" s="11"/>
      <c r="H263" s="11"/>
      <c r="I263" s="3"/>
      <c r="J263" s="3"/>
      <c r="K263" s="3"/>
      <c r="L263" s="3"/>
      <c r="M263" s="3"/>
      <c r="N263" s="3"/>
      <c r="O263" s="3"/>
      <c r="P263" s="3"/>
      <c r="Q263" s="3"/>
      <c r="R263" s="3"/>
    </row>
    <row r="264" spans="1:18" ht="15.75" customHeight="1" x14ac:dyDescent="0.2">
      <c r="A264" s="3"/>
      <c r="B264" s="3"/>
      <c r="C264" s="3"/>
      <c r="D264" s="10"/>
      <c r="E264" s="10"/>
      <c r="F264" s="10"/>
      <c r="G264" s="11"/>
      <c r="H264" s="11"/>
      <c r="I264" s="3"/>
      <c r="J264" s="3"/>
      <c r="K264" s="3"/>
      <c r="L264" s="3"/>
      <c r="M264" s="3"/>
      <c r="N264" s="3"/>
      <c r="O264" s="3"/>
      <c r="P264" s="3"/>
      <c r="Q264" s="3"/>
      <c r="R264" s="3"/>
    </row>
    <row r="265" spans="1:18" ht="15.75" customHeight="1" x14ac:dyDescent="0.2">
      <c r="A265" s="3"/>
      <c r="B265" s="3"/>
      <c r="C265" s="3"/>
      <c r="D265" s="10"/>
      <c r="E265" s="10"/>
      <c r="F265" s="10"/>
      <c r="G265" s="11"/>
      <c r="H265" s="11"/>
      <c r="I265" s="3"/>
      <c r="J265" s="3"/>
      <c r="K265" s="3"/>
      <c r="L265" s="3"/>
      <c r="M265" s="3"/>
      <c r="N265" s="3"/>
      <c r="O265" s="3"/>
      <c r="P265" s="3"/>
      <c r="Q265" s="3"/>
      <c r="R265" s="3"/>
    </row>
    <row r="266" spans="1:18" ht="15.75" customHeight="1" x14ac:dyDescent="0.2">
      <c r="A266" s="3"/>
      <c r="B266" s="3"/>
      <c r="C266" s="3"/>
      <c r="D266" s="10"/>
      <c r="E266" s="10"/>
      <c r="F266" s="10"/>
      <c r="G266" s="11"/>
      <c r="H266" s="11"/>
      <c r="I266" s="3"/>
      <c r="J266" s="3"/>
      <c r="K266" s="3"/>
      <c r="L266" s="3"/>
      <c r="M266" s="3"/>
      <c r="N266" s="3"/>
      <c r="O266" s="3"/>
      <c r="P266" s="3"/>
      <c r="Q266" s="3"/>
      <c r="R266" s="3"/>
    </row>
    <row r="267" spans="1:18" ht="15.75" customHeight="1" x14ac:dyDescent="0.2">
      <c r="A267" s="3"/>
      <c r="B267" s="3"/>
      <c r="C267" s="3"/>
      <c r="D267" s="10"/>
      <c r="E267" s="10"/>
      <c r="F267" s="10"/>
      <c r="G267" s="11"/>
      <c r="H267" s="11"/>
      <c r="I267" s="3"/>
      <c r="J267" s="3"/>
      <c r="K267" s="3"/>
      <c r="L267" s="3"/>
      <c r="M267" s="3"/>
      <c r="N267" s="3"/>
      <c r="O267" s="3"/>
      <c r="P267" s="3"/>
      <c r="Q267" s="3"/>
      <c r="R267" s="3"/>
    </row>
    <row r="268" spans="1:18" ht="15.75" customHeight="1" x14ac:dyDescent="0.2">
      <c r="A268" s="3"/>
      <c r="B268" s="3"/>
      <c r="C268" s="3"/>
      <c r="D268" s="10"/>
      <c r="E268" s="10"/>
      <c r="F268" s="10"/>
      <c r="G268" s="11"/>
      <c r="H268" s="11"/>
      <c r="I268" s="3"/>
      <c r="J268" s="3"/>
      <c r="K268" s="3"/>
      <c r="L268" s="3"/>
      <c r="M268" s="3"/>
      <c r="N268" s="3"/>
      <c r="O268" s="3"/>
      <c r="P268" s="3"/>
      <c r="Q268" s="3"/>
      <c r="R268" s="3"/>
    </row>
    <row r="269" spans="1:18" ht="15.75" customHeight="1" x14ac:dyDescent="0.2">
      <c r="A269" s="3"/>
      <c r="B269" s="3"/>
      <c r="C269" s="3"/>
      <c r="D269" s="10"/>
      <c r="E269" s="10"/>
      <c r="F269" s="10"/>
      <c r="G269" s="11"/>
      <c r="H269" s="11"/>
      <c r="I269" s="3"/>
      <c r="J269" s="3"/>
      <c r="K269" s="3"/>
      <c r="L269" s="3"/>
      <c r="M269" s="3"/>
      <c r="N269" s="3"/>
      <c r="O269" s="3"/>
      <c r="P269" s="3"/>
      <c r="Q269" s="3"/>
      <c r="R269" s="3"/>
    </row>
    <row r="270" spans="1:18" ht="15.75" customHeight="1" x14ac:dyDescent="0.2">
      <c r="A270" s="3"/>
      <c r="B270" s="3"/>
      <c r="C270" s="3"/>
      <c r="D270" s="10"/>
      <c r="E270" s="10"/>
      <c r="F270" s="10"/>
      <c r="G270" s="11"/>
      <c r="H270" s="11"/>
      <c r="I270" s="3"/>
      <c r="J270" s="3"/>
      <c r="K270" s="3"/>
      <c r="L270" s="3"/>
      <c r="M270" s="3"/>
      <c r="N270" s="3"/>
      <c r="O270" s="3"/>
      <c r="P270" s="3"/>
      <c r="Q270" s="3"/>
      <c r="R270" s="3"/>
    </row>
    <row r="271" spans="1:18" ht="15.75" customHeight="1" x14ac:dyDescent="0.2">
      <c r="A271" s="3"/>
      <c r="B271" s="3"/>
      <c r="C271" s="3"/>
      <c r="D271" s="10"/>
      <c r="E271" s="10"/>
      <c r="F271" s="10"/>
      <c r="G271" s="11"/>
      <c r="H271" s="11"/>
      <c r="I271" s="3"/>
      <c r="J271" s="3"/>
      <c r="K271" s="3"/>
      <c r="L271" s="3"/>
      <c r="M271" s="3"/>
      <c r="N271" s="3"/>
      <c r="O271" s="3"/>
      <c r="P271" s="3"/>
      <c r="Q271" s="3"/>
      <c r="R271" s="3"/>
    </row>
    <row r="272" spans="1:18" ht="15.75" customHeight="1" x14ac:dyDescent="0.2">
      <c r="D272" s="10"/>
      <c r="E272" s="10"/>
      <c r="F272" s="10"/>
      <c r="G272" s="11"/>
      <c r="H272" s="11"/>
    </row>
    <row r="273" spans="4:8" ht="15.75" customHeight="1" x14ac:dyDescent="0.2">
      <c r="D273" s="10"/>
      <c r="E273" s="10"/>
      <c r="F273" s="10"/>
      <c r="G273" s="11"/>
      <c r="H273" s="11"/>
    </row>
    <row r="274" spans="4:8" ht="15.75" customHeight="1" x14ac:dyDescent="0.2">
      <c r="D274" s="10"/>
      <c r="E274" s="10"/>
      <c r="F274" s="10"/>
      <c r="G274" s="11"/>
      <c r="H274" s="11"/>
    </row>
    <row r="275" spans="4:8" ht="15.75" customHeight="1" x14ac:dyDescent="0.2">
      <c r="D275" s="10"/>
      <c r="E275" s="10"/>
      <c r="F275" s="10"/>
      <c r="G275" s="11"/>
      <c r="H275" s="11"/>
    </row>
    <row r="276" spans="4:8" ht="15.75" customHeight="1" x14ac:dyDescent="0.2">
      <c r="D276" s="10"/>
      <c r="E276" s="10"/>
      <c r="F276" s="10"/>
      <c r="G276" s="11"/>
      <c r="H276" s="11"/>
    </row>
    <row r="277" spans="4:8" ht="15.75" customHeight="1" x14ac:dyDescent="0.2">
      <c r="D277" s="10"/>
      <c r="E277" s="10"/>
      <c r="F277" s="10"/>
      <c r="G277" s="11"/>
      <c r="H277" s="11"/>
    </row>
    <row r="278" spans="4:8" ht="15.75" customHeight="1" x14ac:dyDescent="0.2">
      <c r="D278" s="10"/>
      <c r="E278" s="10"/>
      <c r="F278" s="10"/>
      <c r="G278" s="11"/>
      <c r="H278" s="11"/>
    </row>
    <row r="279" spans="4:8" ht="15.75" customHeight="1" x14ac:dyDescent="0.2">
      <c r="D279" s="10"/>
      <c r="E279" s="10"/>
      <c r="F279" s="10"/>
      <c r="G279" s="11"/>
      <c r="H279" s="11"/>
    </row>
    <row r="280" spans="4:8" ht="15.75" customHeight="1" x14ac:dyDescent="0.2">
      <c r="D280" s="10"/>
      <c r="E280" s="10"/>
      <c r="F280" s="10"/>
      <c r="G280" s="11"/>
      <c r="H280" s="11"/>
    </row>
    <row r="281" spans="4:8" ht="15.75" customHeight="1" x14ac:dyDescent="0.2">
      <c r="D281" s="10"/>
      <c r="E281" s="10"/>
      <c r="F281" s="10"/>
      <c r="G281" s="11"/>
      <c r="H281" s="11"/>
    </row>
    <row r="282" spans="4:8" ht="15.75" customHeight="1" x14ac:dyDescent="0.2">
      <c r="D282" s="10"/>
      <c r="E282" s="10"/>
      <c r="F282" s="10"/>
      <c r="G282" s="11"/>
      <c r="H282" s="11"/>
    </row>
    <row r="283" spans="4:8" ht="15.75" customHeight="1" x14ac:dyDescent="0.2">
      <c r="D283" s="10"/>
      <c r="E283" s="10"/>
      <c r="F283" s="10"/>
      <c r="G283" s="11"/>
      <c r="H283" s="11"/>
    </row>
    <row r="284" spans="4:8" ht="15.75" customHeight="1" x14ac:dyDescent="0.2">
      <c r="D284" s="10"/>
      <c r="E284" s="10"/>
      <c r="F284" s="10"/>
      <c r="G284" s="11"/>
      <c r="H284" s="11"/>
    </row>
    <row r="285" spans="4:8" ht="15.75" customHeight="1" x14ac:dyDescent="0.2">
      <c r="D285" s="10"/>
      <c r="E285" s="10"/>
      <c r="F285" s="10"/>
      <c r="G285" s="11"/>
      <c r="H285" s="11"/>
    </row>
    <row r="286" spans="4:8" ht="15.75" customHeight="1" x14ac:dyDescent="0.2">
      <c r="D286" s="10"/>
      <c r="E286" s="10"/>
      <c r="F286" s="10"/>
      <c r="G286" s="11"/>
      <c r="H286" s="11"/>
    </row>
    <row r="287" spans="4:8" ht="15.75" customHeight="1" x14ac:dyDescent="0.2">
      <c r="D287" s="10"/>
      <c r="E287" s="10"/>
      <c r="F287" s="10"/>
      <c r="G287" s="11"/>
      <c r="H287" s="11"/>
    </row>
    <row r="288" spans="4:8" ht="15.75" customHeight="1" x14ac:dyDescent="0.2">
      <c r="D288" s="10"/>
      <c r="E288" s="10"/>
      <c r="F288" s="10"/>
      <c r="G288" s="11"/>
      <c r="H288" s="11"/>
    </row>
    <row r="289" spans="4:8" ht="15.75" customHeight="1" x14ac:dyDescent="0.2">
      <c r="D289" s="10"/>
      <c r="E289" s="10"/>
      <c r="F289" s="10"/>
      <c r="G289" s="11"/>
      <c r="H289" s="11"/>
    </row>
    <row r="290" spans="4:8" ht="15.75" customHeight="1" x14ac:dyDescent="0.2">
      <c r="D290" s="10"/>
      <c r="E290" s="10"/>
      <c r="F290" s="10"/>
      <c r="G290" s="11"/>
      <c r="H290" s="11"/>
    </row>
    <row r="291" spans="4:8" ht="15.75" customHeight="1" x14ac:dyDescent="0.2">
      <c r="D291" s="10"/>
      <c r="E291" s="10"/>
      <c r="F291" s="10"/>
      <c r="G291" s="11"/>
      <c r="H291" s="11"/>
    </row>
    <row r="292" spans="4:8" ht="15.75" customHeight="1" x14ac:dyDescent="0.2">
      <c r="D292" s="10"/>
      <c r="E292" s="10"/>
      <c r="F292" s="10"/>
      <c r="G292" s="11"/>
      <c r="H292" s="11"/>
    </row>
    <row r="293" spans="4:8" ht="15.75" customHeight="1" x14ac:dyDescent="0.2">
      <c r="D293" s="10"/>
      <c r="E293" s="10"/>
      <c r="F293" s="10"/>
      <c r="G293" s="11"/>
      <c r="H293" s="11"/>
    </row>
    <row r="294" spans="4:8" ht="15.75" customHeight="1" x14ac:dyDescent="0.2">
      <c r="D294" s="10"/>
      <c r="E294" s="10"/>
      <c r="F294" s="10"/>
      <c r="G294" s="11"/>
      <c r="H294" s="11"/>
    </row>
    <row r="295" spans="4:8" ht="15.75" customHeight="1" x14ac:dyDescent="0.2">
      <c r="D295" s="10"/>
      <c r="E295" s="10"/>
      <c r="F295" s="10"/>
      <c r="G295" s="11"/>
      <c r="H295" s="11"/>
    </row>
    <row r="296" spans="4:8" ht="15.75" customHeight="1" x14ac:dyDescent="0.2">
      <c r="D296" s="10"/>
      <c r="E296" s="10"/>
      <c r="F296" s="10"/>
      <c r="G296" s="11"/>
      <c r="H296" s="11"/>
    </row>
    <row r="297" spans="4:8" ht="15.75" customHeight="1" x14ac:dyDescent="0.2">
      <c r="D297" s="10"/>
      <c r="E297" s="10"/>
      <c r="F297" s="10"/>
      <c r="G297" s="11"/>
      <c r="H297" s="11"/>
    </row>
    <row r="298" spans="4:8" ht="15.75" customHeight="1" x14ac:dyDescent="0.2">
      <c r="D298" s="10"/>
      <c r="E298" s="10"/>
      <c r="F298" s="10"/>
      <c r="G298" s="11"/>
      <c r="H298" s="11"/>
    </row>
    <row r="299" spans="4:8" ht="15.75" customHeight="1" x14ac:dyDescent="0.2">
      <c r="D299" s="10"/>
      <c r="E299" s="10"/>
      <c r="F299" s="10"/>
      <c r="G299" s="11"/>
      <c r="H299" s="11"/>
    </row>
    <row r="300" spans="4:8" ht="15.75" customHeight="1" x14ac:dyDescent="0.2">
      <c r="D300" s="10"/>
      <c r="E300" s="10"/>
      <c r="F300" s="10"/>
      <c r="G300" s="11"/>
      <c r="H300" s="11"/>
    </row>
    <row r="301" spans="4:8" ht="15.75" customHeight="1" x14ac:dyDescent="0.2">
      <c r="D301" s="10"/>
      <c r="E301" s="10"/>
      <c r="F301" s="10"/>
      <c r="G301" s="11"/>
      <c r="H301" s="11"/>
    </row>
    <row r="302" spans="4:8" ht="15.75" customHeight="1" x14ac:dyDescent="0.2">
      <c r="D302" s="10"/>
      <c r="E302" s="10"/>
      <c r="F302" s="10"/>
      <c r="G302" s="11"/>
      <c r="H302" s="11"/>
    </row>
    <row r="303" spans="4:8" ht="15.75" customHeight="1" x14ac:dyDescent="0.2">
      <c r="D303" s="10"/>
      <c r="E303" s="10"/>
      <c r="F303" s="10"/>
      <c r="G303" s="11"/>
      <c r="H303" s="11"/>
    </row>
    <row r="304" spans="4:8" ht="15.75" customHeight="1" x14ac:dyDescent="0.2">
      <c r="D304" s="10"/>
      <c r="E304" s="10"/>
      <c r="F304" s="10"/>
      <c r="G304" s="11"/>
      <c r="H304" s="11"/>
    </row>
    <row r="305" spans="4:8" ht="15.75" customHeight="1" x14ac:dyDescent="0.2">
      <c r="D305" s="10"/>
      <c r="E305" s="10"/>
      <c r="F305" s="10"/>
      <c r="G305" s="11"/>
      <c r="H305" s="11"/>
    </row>
    <row r="306" spans="4:8" ht="15.75" customHeight="1" x14ac:dyDescent="0.2">
      <c r="D306" s="10"/>
      <c r="E306" s="10"/>
      <c r="F306" s="10"/>
      <c r="G306" s="11"/>
      <c r="H306" s="11"/>
    </row>
    <row r="307" spans="4:8" ht="15.75" customHeight="1" x14ac:dyDescent="0.2">
      <c r="D307" s="10"/>
      <c r="E307" s="10"/>
      <c r="F307" s="10"/>
      <c r="G307" s="11"/>
      <c r="H307" s="11"/>
    </row>
    <row r="308" spans="4:8" ht="15.75" customHeight="1" x14ac:dyDescent="0.2">
      <c r="D308" s="10"/>
      <c r="E308" s="10"/>
      <c r="F308" s="10"/>
      <c r="G308" s="11"/>
      <c r="H308" s="11"/>
    </row>
    <row r="309" spans="4:8" ht="15.75" customHeight="1" x14ac:dyDescent="0.2">
      <c r="D309" s="10"/>
      <c r="E309" s="10"/>
      <c r="F309" s="10"/>
      <c r="G309" s="11"/>
      <c r="H309" s="11"/>
    </row>
    <row r="310" spans="4:8" ht="15.75" customHeight="1" x14ac:dyDescent="0.2">
      <c r="D310" s="10"/>
      <c r="E310" s="10"/>
      <c r="F310" s="10"/>
      <c r="G310" s="11"/>
      <c r="H310" s="11"/>
    </row>
    <row r="311" spans="4:8" ht="15.75" customHeight="1" x14ac:dyDescent="0.2">
      <c r="D311" s="10"/>
      <c r="E311" s="10"/>
      <c r="F311" s="10"/>
      <c r="G311" s="11"/>
      <c r="H311" s="11"/>
    </row>
    <row r="312" spans="4:8" ht="15.75" customHeight="1" x14ac:dyDescent="0.2">
      <c r="D312" s="10"/>
      <c r="E312" s="10"/>
      <c r="F312" s="10"/>
      <c r="G312" s="11"/>
      <c r="H312" s="11"/>
    </row>
    <row r="313" spans="4:8" ht="15.75" customHeight="1" x14ac:dyDescent="0.2">
      <c r="D313" s="10"/>
      <c r="E313" s="10"/>
      <c r="F313" s="10"/>
      <c r="G313" s="11"/>
      <c r="H313" s="11"/>
    </row>
    <row r="314" spans="4:8" ht="15.75" customHeight="1" x14ac:dyDescent="0.2">
      <c r="D314" s="10"/>
      <c r="E314" s="10"/>
      <c r="F314" s="10"/>
      <c r="G314" s="11"/>
      <c r="H314" s="11"/>
    </row>
    <row r="315" spans="4:8" ht="15.75" customHeight="1" x14ac:dyDescent="0.2">
      <c r="D315" s="10"/>
      <c r="E315" s="10"/>
      <c r="F315" s="10"/>
      <c r="G315" s="11"/>
      <c r="H315" s="11"/>
    </row>
    <row r="316" spans="4:8" ht="15.75" customHeight="1" x14ac:dyDescent="0.2">
      <c r="D316" s="10"/>
      <c r="E316" s="10"/>
      <c r="F316" s="10"/>
      <c r="G316" s="11"/>
      <c r="H316" s="11"/>
    </row>
    <row r="317" spans="4:8" ht="15.75" customHeight="1" x14ac:dyDescent="0.2">
      <c r="D317" s="10"/>
      <c r="E317" s="10"/>
      <c r="F317" s="10"/>
      <c r="G317" s="11"/>
      <c r="H317" s="11"/>
    </row>
    <row r="318" spans="4:8" ht="15.75" customHeight="1" x14ac:dyDescent="0.2">
      <c r="D318" s="10"/>
      <c r="E318" s="10"/>
      <c r="F318" s="10"/>
      <c r="G318" s="11"/>
      <c r="H318" s="11"/>
    </row>
    <row r="319" spans="4:8" ht="15.75" customHeight="1" x14ac:dyDescent="0.2">
      <c r="D319" s="10"/>
      <c r="E319" s="10"/>
      <c r="F319" s="10"/>
      <c r="G319" s="11"/>
      <c r="H319" s="11"/>
    </row>
    <row r="320" spans="4:8" ht="15.75" customHeight="1" x14ac:dyDescent="0.2">
      <c r="D320" s="10"/>
      <c r="E320" s="10"/>
      <c r="F320" s="10"/>
      <c r="G320" s="11"/>
      <c r="H320" s="11"/>
    </row>
    <row r="321" spans="4:8" ht="15.75" customHeight="1" x14ac:dyDescent="0.2">
      <c r="D321" s="10"/>
      <c r="E321" s="10"/>
      <c r="F321" s="10"/>
      <c r="G321" s="11"/>
      <c r="H321" s="11"/>
    </row>
    <row r="322" spans="4:8" ht="15.75" customHeight="1" x14ac:dyDescent="0.2">
      <c r="D322" s="10"/>
      <c r="E322" s="10"/>
      <c r="F322" s="10"/>
      <c r="G322" s="11"/>
      <c r="H322" s="11"/>
    </row>
    <row r="323" spans="4:8" ht="15.75" customHeight="1" x14ac:dyDescent="0.2">
      <c r="D323" s="10"/>
      <c r="E323" s="10"/>
      <c r="F323" s="10"/>
      <c r="G323" s="11"/>
      <c r="H323" s="11"/>
    </row>
    <row r="324" spans="4:8" ht="15.75" customHeight="1" x14ac:dyDescent="0.2">
      <c r="D324" s="10"/>
      <c r="E324" s="10"/>
      <c r="F324" s="10"/>
      <c r="G324" s="11"/>
      <c r="H324" s="11"/>
    </row>
    <row r="325" spans="4:8" ht="15.75" customHeight="1" x14ac:dyDescent="0.2">
      <c r="D325" s="10"/>
      <c r="E325" s="10"/>
      <c r="F325" s="10"/>
      <c r="G325" s="11"/>
      <c r="H325" s="11"/>
    </row>
    <row r="326" spans="4:8" ht="15.75" customHeight="1" x14ac:dyDescent="0.2">
      <c r="D326" s="10"/>
      <c r="E326" s="10"/>
      <c r="F326" s="10"/>
      <c r="G326" s="11"/>
      <c r="H326" s="11"/>
    </row>
    <row r="327" spans="4:8" ht="15.75" customHeight="1" x14ac:dyDescent="0.2">
      <c r="D327" s="10"/>
      <c r="E327" s="10"/>
      <c r="F327" s="10"/>
      <c r="G327" s="11"/>
      <c r="H327" s="11"/>
    </row>
    <row r="328" spans="4:8" ht="15.75" customHeight="1" x14ac:dyDescent="0.2">
      <c r="D328" s="10"/>
      <c r="E328" s="10"/>
      <c r="F328" s="10"/>
      <c r="G328" s="11"/>
      <c r="H328" s="11"/>
    </row>
    <row r="329" spans="4:8" ht="15.75" customHeight="1" x14ac:dyDescent="0.2">
      <c r="D329" s="10"/>
      <c r="E329" s="10"/>
      <c r="F329" s="10"/>
      <c r="G329" s="11"/>
      <c r="H329" s="11"/>
    </row>
    <row r="330" spans="4:8" ht="15.75" customHeight="1" x14ac:dyDescent="0.2">
      <c r="D330" s="10"/>
      <c r="E330" s="10"/>
      <c r="F330" s="10"/>
      <c r="G330" s="11"/>
      <c r="H330" s="11"/>
    </row>
    <row r="331" spans="4:8" ht="15.75" customHeight="1" x14ac:dyDescent="0.2">
      <c r="D331" s="10"/>
      <c r="E331" s="10"/>
      <c r="F331" s="10"/>
      <c r="G331" s="11"/>
      <c r="H331" s="11"/>
    </row>
    <row r="332" spans="4:8" ht="15.75" customHeight="1" x14ac:dyDescent="0.2">
      <c r="D332" s="10"/>
      <c r="E332" s="10"/>
      <c r="F332" s="10"/>
      <c r="G332" s="11"/>
      <c r="H332" s="11"/>
    </row>
    <row r="333" spans="4:8" ht="15.75" customHeight="1" x14ac:dyDescent="0.2">
      <c r="D333" s="10"/>
      <c r="E333" s="10"/>
      <c r="F333" s="10"/>
      <c r="G333" s="11"/>
      <c r="H333" s="11"/>
    </row>
    <row r="334" spans="4:8" ht="15.75" customHeight="1" x14ac:dyDescent="0.2">
      <c r="D334" s="10"/>
      <c r="E334" s="10"/>
      <c r="F334" s="10"/>
      <c r="G334" s="11"/>
      <c r="H334" s="11"/>
    </row>
    <row r="335" spans="4:8" ht="15.75" customHeight="1" x14ac:dyDescent="0.2">
      <c r="D335" s="10"/>
      <c r="E335" s="10"/>
      <c r="F335" s="10"/>
      <c r="G335" s="11"/>
      <c r="H335" s="11"/>
    </row>
    <row r="336" spans="4:8" ht="15.75" customHeight="1" x14ac:dyDescent="0.2">
      <c r="D336" s="10"/>
      <c r="E336" s="10"/>
      <c r="F336" s="10"/>
      <c r="G336" s="11"/>
      <c r="H336" s="11"/>
    </row>
    <row r="337" spans="4:8" ht="15.75" customHeight="1" x14ac:dyDescent="0.2">
      <c r="D337" s="10"/>
      <c r="E337" s="10"/>
      <c r="F337" s="10"/>
      <c r="G337" s="11"/>
      <c r="H337" s="11"/>
    </row>
    <row r="338" spans="4:8" ht="15.75" customHeight="1" x14ac:dyDescent="0.2">
      <c r="D338" s="10"/>
      <c r="E338" s="10"/>
      <c r="F338" s="10"/>
      <c r="G338" s="11"/>
      <c r="H338" s="11"/>
    </row>
    <row r="339" spans="4:8" ht="15.75" customHeight="1" x14ac:dyDescent="0.2">
      <c r="D339" s="10"/>
      <c r="E339" s="10"/>
      <c r="F339" s="10"/>
      <c r="G339" s="11"/>
      <c r="H339" s="11"/>
    </row>
    <row r="340" spans="4:8" ht="15.75" customHeight="1" x14ac:dyDescent="0.2">
      <c r="D340" s="10"/>
      <c r="E340" s="10"/>
      <c r="F340" s="10"/>
      <c r="G340" s="11"/>
      <c r="H340" s="11"/>
    </row>
    <row r="341" spans="4:8" ht="15.75" customHeight="1" x14ac:dyDescent="0.2">
      <c r="D341" s="10"/>
      <c r="E341" s="10"/>
      <c r="F341" s="10"/>
      <c r="G341" s="11"/>
      <c r="H341" s="11"/>
    </row>
    <row r="342" spans="4:8" ht="15.75" customHeight="1" x14ac:dyDescent="0.2">
      <c r="D342" s="10"/>
      <c r="E342" s="10"/>
      <c r="F342" s="10"/>
      <c r="G342" s="11"/>
      <c r="H342" s="11"/>
    </row>
    <row r="343" spans="4:8" ht="15.75" customHeight="1" x14ac:dyDescent="0.2">
      <c r="D343" s="10"/>
      <c r="E343" s="10"/>
      <c r="F343" s="10"/>
      <c r="G343" s="11"/>
      <c r="H343" s="11"/>
    </row>
    <row r="344" spans="4:8" ht="15.75" customHeight="1" x14ac:dyDescent="0.2">
      <c r="D344" s="10"/>
      <c r="E344" s="10"/>
      <c r="F344" s="10"/>
      <c r="G344" s="11"/>
      <c r="H344" s="11"/>
    </row>
    <row r="345" spans="4:8" ht="15.75" customHeight="1" x14ac:dyDescent="0.2">
      <c r="D345" s="10"/>
      <c r="E345" s="10"/>
      <c r="F345" s="10"/>
      <c r="G345" s="11"/>
      <c r="H345" s="11"/>
    </row>
    <row r="346" spans="4:8" ht="15.75" customHeight="1" x14ac:dyDescent="0.2">
      <c r="D346" s="10"/>
      <c r="E346" s="10"/>
      <c r="F346" s="10"/>
      <c r="G346" s="11"/>
      <c r="H346" s="11"/>
    </row>
    <row r="347" spans="4:8" ht="15.75" customHeight="1" x14ac:dyDescent="0.2">
      <c r="D347" s="10"/>
      <c r="E347" s="10"/>
      <c r="F347" s="10"/>
      <c r="G347" s="11"/>
      <c r="H347" s="11"/>
    </row>
    <row r="348" spans="4:8" ht="15.75" customHeight="1" x14ac:dyDescent="0.2">
      <c r="D348" s="10"/>
      <c r="E348" s="10"/>
      <c r="F348" s="10"/>
      <c r="G348" s="11"/>
      <c r="H348" s="11"/>
    </row>
    <row r="349" spans="4:8" ht="15.75" customHeight="1" x14ac:dyDescent="0.2">
      <c r="D349" s="10"/>
      <c r="E349" s="10"/>
      <c r="F349" s="10"/>
      <c r="G349" s="11"/>
      <c r="H349" s="11"/>
    </row>
    <row r="350" spans="4:8" ht="15.75" customHeight="1" x14ac:dyDescent="0.2">
      <c r="D350" s="10"/>
      <c r="E350" s="10"/>
      <c r="F350" s="10"/>
      <c r="G350" s="11"/>
      <c r="H350" s="11"/>
    </row>
    <row r="351" spans="4:8" ht="15.75" customHeight="1" x14ac:dyDescent="0.2">
      <c r="D351" s="10"/>
      <c r="E351" s="10"/>
      <c r="F351" s="10"/>
      <c r="G351" s="11"/>
      <c r="H351" s="11"/>
    </row>
    <row r="352" spans="4:8" ht="15.75" customHeight="1" x14ac:dyDescent="0.2">
      <c r="D352" s="10"/>
      <c r="E352" s="10"/>
      <c r="F352" s="10"/>
      <c r="G352" s="11"/>
      <c r="H352" s="11"/>
    </row>
    <row r="353" spans="4:8" ht="15.75" customHeight="1" x14ac:dyDescent="0.2">
      <c r="D353" s="10"/>
      <c r="E353" s="10"/>
      <c r="F353" s="10"/>
      <c r="G353" s="11"/>
      <c r="H353" s="11"/>
    </row>
    <row r="354" spans="4:8" ht="15.75" customHeight="1" x14ac:dyDescent="0.2">
      <c r="D354" s="10"/>
      <c r="E354" s="10"/>
      <c r="F354" s="10"/>
      <c r="G354" s="11"/>
      <c r="H354" s="11"/>
    </row>
    <row r="355" spans="4:8" ht="15.75" customHeight="1" x14ac:dyDescent="0.2">
      <c r="D355" s="10"/>
      <c r="E355" s="10"/>
      <c r="F355" s="10"/>
      <c r="G355" s="11"/>
      <c r="H355" s="11"/>
    </row>
    <row r="356" spans="4:8" ht="15.75" customHeight="1" x14ac:dyDescent="0.2">
      <c r="D356" s="10"/>
      <c r="E356" s="10"/>
      <c r="F356" s="10"/>
      <c r="G356" s="11"/>
      <c r="H356" s="11"/>
    </row>
    <row r="357" spans="4:8" ht="15.75" customHeight="1" x14ac:dyDescent="0.2">
      <c r="D357" s="10"/>
      <c r="E357" s="10"/>
      <c r="F357" s="10"/>
      <c r="G357" s="11"/>
      <c r="H357" s="11"/>
    </row>
    <row r="358" spans="4:8" ht="15.75" customHeight="1" x14ac:dyDescent="0.2">
      <c r="D358" s="10"/>
      <c r="E358" s="10"/>
      <c r="F358" s="10"/>
      <c r="G358" s="11"/>
      <c r="H358" s="11"/>
    </row>
    <row r="359" spans="4:8" ht="15.75" customHeight="1" x14ac:dyDescent="0.2">
      <c r="D359" s="10"/>
      <c r="E359" s="10"/>
      <c r="F359" s="10"/>
      <c r="G359" s="11"/>
      <c r="H359" s="11"/>
    </row>
    <row r="360" spans="4:8" ht="15.75" customHeight="1" x14ac:dyDescent="0.2">
      <c r="D360" s="10"/>
      <c r="E360" s="10"/>
      <c r="F360" s="10"/>
      <c r="G360" s="11"/>
      <c r="H360" s="11"/>
    </row>
    <row r="361" spans="4:8" ht="15.75" customHeight="1" x14ac:dyDescent="0.2">
      <c r="D361" s="10"/>
      <c r="E361" s="10"/>
      <c r="F361" s="10"/>
      <c r="G361" s="11"/>
      <c r="H361" s="11"/>
    </row>
    <row r="362" spans="4:8" ht="15.75" customHeight="1" x14ac:dyDescent="0.2">
      <c r="D362" s="10"/>
      <c r="E362" s="10"/>
      <c r="F362" s="10"/>
      <c r="G362" s="11"/>
      <c r="H362" s="11"/>
    </row>
    <row r="363" spans="4:8" ht="15.75" customHeight="1" x14ac:dyDescent="0.2">
      <c r="D363" s="10"/>
      <c r="E363" s="10"/>
      <c r="F363" s="10"/>
      <c r="G363" s="11"/>
      <c r="H363" s="11"/>
    </row>
    <row r="364" spans="4:8" ht="15.75" customHeight="1" x14ac:dyDescent="0.2">
      <c r="D364" s="10"/>
      <c r="E364" s="10"/>
      <c r="F364" s="10"/>
      <c r="G364" s="11"/>
      <c r="H364" s="11"/>
    </row>
    <row r="365" spans="4:8" ht="15.75" customHeight="1" x14ac:dyDescent="0.2">
      <c r="D365" s="10"/>
      <c r="E365" s="10"/>
      <c r="F365" s="10"/>
      <c r="G365" s="11"/>
      <c r="H365" s="11"/>
    </row>
    <row r="366" spans="4:8" ht="15.75" customHeight="1" x14ac:dyDescent="0.2">
      <c r="D366" s="10"/>
      <c r="E366" s="10"/>
      <c r="F366" s="10"/>
      <c r="G366" s="11"/>
      <c r="H366" s="11"/>
    </row>
    <row r="367" spans="4:8" ht="15.75" customHeight="1" x14ac:dyDescent="0.2">
      <c r="D367" s="10"/>
      <c r="E367" s="10"/>
      <c r="F367" s="10"/>
      <c r="G367" s="11"/>
      <c r="H367" s="11"/>
    </row>
    <row r="368" spans="4:8" ht="15.75" customHeight="1" x14ac:dyDescent="0.2">
      <c r="D368" s="10"/>
      <c r="E368" s="10"/>
      <c r="F368" s="10"/>
      <c r="G368" s="11"/>
      <c r="H368" s="11"/>
    </row>
    <row r="369" spans="4:8" ht="15.75" customHeight="1" x14ac:dyDescent="0.2">
      <c r="D369" s="10"/>
      <c r="E369" s="10"/>
      <c r="F369" s="10"/>
      <c r="G369" s="11"/>
      <c r="H369" s="11"/>
    </row>
    <row r="370" spans="4:8" ht="15.75" customHeight="1" x14ac:dyDescent="0.2">
      <c r="D370" s="10"/>
      <c r="E370" s="10"/>
      <c r="F370" s="10"/>
      <c r="G370" s="11"/>
      <c r="H370" s="11"/>
    </row>
    <row r="371" spans="4:8" ht="15.75" customHeight="1" x14ac:dyDescent="0.2">
      <c r="D371" s="10"/>
      <c r="E371" s="10"/>
      <c r="F371" s="10"/>
      <c r="G371" s="11"/>
      <c r="H371" s="11"/>
    </row>
    <row r="372" spans="4:8" ht="15.75" customHeight="1" x14ac:dyDescent="0.2">
      <c r="D372" s="10"/>
      <c r="E372" s="10"/>
      <c r="F372" s="10"/>
      <c r="G372" s="11"/>
      <c r="H372" s="11"/>
    </row>
    <row r="373" spans="4:8" ht="15.75" customHeight="1" x14ac:dyDescent="0.2">
      <c r="D373" s="10"/>
      <c r="E373" s="10"/>
      <c r="F373" s="10"/>
      <c r="G373" s="11"/>
      <c r="H373" s="11"/>
    </row>
    <row r="374" spans="4:8" ht="15.75" customHeight="1" x14ac:dyDescent="0.2">
      <c r="D374" s="10"/>
      <c r="E374" s="10"/>
      <c r="F374" s="10"/>
      <c r="G374" s="11"/>
      <c r="H374" s="11"/>
    </row>
    <row r="375" spans="4:8" ht="15.75" customHeight="1" x14ac:dyDescent="0.2">
      <c r="D375" s="10"/>
      <c r="E375" s="10"/>
      <c r="F375" s="10"/>
      <c r="G375" s="11"/>
      <c r="H375" s="11"/>
    </row>
    <row r="376" spans="4:8" ht="15.75" customHeight="1" x14ac:dyDescent="0.2">
      <c r="D376" s="10"/>
      <c r="E376" s="10"/>
      <c r="F376" s="10"/>
      <c r="G376" s="11"/>
      <c r="H376" s="11"/>
    </row>
    <row r="377" spans="4:8" ht="15.75" customHeight="1" x14ac:dyDescent="0.2">
      <c r="D377" s="10"/>
      <c r="E377" s="10"/>
      <c r="F377" s="10"/>
      <c r="G377" s="11"/>
      <c r="H377" s="11"/>
    </row>
    <row r="378" spans="4:8" ht="15.75" customHeight="1" x14ac:dyDescent="0.2">
      <c r="D378" s="10"/>
      <c r="E378" s="10"/>
      <c r="F378" s="10"/>
      <c r="G378" s="11"/>
      <c r="H378" s="11"/>
    </row>
    <row r="379" spans="4:8" ht="15.75" customHeight="1" x14ac:dyDescent="0.2">
      <c r="D379" s="10"/>
      <c r="E379" s="10"/>
      <c r="F379" s="10"/>
      <c r="G379" s="11"/>
      <c r="H379" s="11"/>
    </row>
    <row r="380" spans="4:8" ht="15.75" customHeight="1" x14ac:dyDescent="0.2">
      <c r="D380" s="10"/>
      <c r="E380" s="10"/>
      <c r="F380" s="10"/>
      <c r="G380" s="11"/>
      <c r="H380" s="11"/>
    </row>
    <row r="381" spans="4:8" ht="15.75" customHeight="1" x14ac:dyDescent="0.2">
      <c r="D381" s="10"/>
      <c r="E381" s="10"/>
      <c r="F381" s="10"/>
      <c r="G381" s="11"/>
      <c r="H381" s="11"/>
    </row>
    <row r="382" spans="4:8" ht="15.75" customHeight="1" x14ac:dyDescent="0.2">
      <c r="D382" s="10"/>
      <c r="E382" s="10"/>
      <c r="F382" s="10"/>
      <c r="G382" s="11"/>
      <c r="H382" s="11"/>
    </row>
    <row r="383" spans="4:8" ht="15.75" customHeight="1" x14ac:dyDescent="0.2">
      <c r="D383" s="10"/>
      <c r="E383" s="10"/>
      <c r="F383" s="10"/>
      <c r="G383" s="11"/>
      <c r="H383" s="11"/>
    </row>
    <row r="384" spans="4:8" ht="15.75" customHeight="1" x14ac:dyDescent="0.2">
      <c r="D384" s="10"/>
      <c r="E384" s="10"/>
      <c r="F384" s="10"/>
      <c r="G384" s="11"/>
      <c r="H384" s="11"/>
    </row>
    <row r="385" spans="4:8" ht="15.75" customHeight="1" x14ac:dyDescent="0.2">
      <c r="D385" s="10"/>
      <c r="E385" s="10"/>
      <c r="F385" s="10"/>
      <c r="G385" s="11"/>
      <c r="H385" s="11"/>
    </row>
    <row r="386" spans="4:8" ht="15.75" customHeight="1" x14ac:dyDescent="0.2">
      <c r="D386" s="10"/>
      <c r="E386" s="10"/>
      <c r="F386" s="10"/>
      <c r="G386" s="11"/>
      <c r="H386" s="11"/>
    </row>
    <row r="387" spans="4:8" ht="15.75" customHeight="1" x14ac:dyDescent="0.2">
      <c r="D387" s="10"/>
      <c r="E387" s="10"/>
      <c r="F387" s="10"/>
      <c r="G387" s="11"/>
      <c r="H387" s="11"/>
    </row>
    <row r="388" spans="4:8" ht="15.75" customHeight="1" x14ac:dyDescent="0.2">
      <c r="D388" s="10"/>
      <c r="E388" s="10"/>
      <c r="F388" s="10"/>
      <c r="G388" s="11"/>
      <c r="H388" s="11"/>
    </row>
    <row r="389" spans="4:8" ht="15.75" customHeight="1" x14ac:dyDescent="0.2">
      <c r="D389" s="10"/>
      <c r="E389" s="10"/>
      <c r="F389" s="10"/>
      <c r="G389" s="11"/>
      <c r="H389" s="11"/>
    </row>
    <row r="390" spans="4:8" ht="15.75" customHeight="1" x14ac:dyDescent="0.2">
      <c r="D390" s="10"/>
      <c r="E390" s="10"/>
      <c r="F390" s="10"/>
      <c r="G390" s="11"/>
      <c r="H390" s="11"/>
    </row>
    <row r="391" spans="4:8" ht="15.75" customHeight="1" x14ac:dyDescent="0.2">
      <c r="D391" s="10"/>
      <c r="E391" s="10"/>
      <c r="F391" s="10"/>
      <c r="G391" s="11"/>
      <c r="H391" s="11"/>
    </row>
    <row r="392" spans="4:8" ht="15.75" customHeight="1" x14ac:dyDescent="0.2">
      <c r="D392" s="10"/>
      <c r="E392" s="10"/>
      <c r="F392" s="10"/>
      <c r="G392" s="11"/>
      <c r="H392" s="11"/>
    </row>
    <row r="393" spans="4:8" ht="15.75" customHeight="1" x14ac:dyDescent="0.2">
      <c r="D393" s="10"/>
      <c r="E393" s="10"/>
      <c r="F393" s="10"/>
      <c r="G393" s="11"/>
      <c r="H393" s="11"/>
    </row>
    <row r="394" spans="4:8" ht="15.75" customHeight="1" x14ac:dyDescent="0.2">
      <c r="D394" s="10"/>
      <c r="E394" s="10"/>
      <c r="F394" s="10"/>
      <c r="G394" s="11"/>
      <c r="H394" s="11"/>
    </row>
    <row r="395" spans="4:8" ht="15.75" customHeight="1" x14ac:dyDescent="0.2">
      <c r="D395" s="10"/>
      <c r="E395" s="10"/>
      <c r="F395" s="10"/>
      <c r="G395" s="11"/>
      <c r="H395" s="11"/>
    </row>
    <row r="396" spans="4:8" ht="15.75" customHeight="1" x14ac:dyDescent="0.2">
      <c r="D396" s="10"/>
      <c r="E396" s="10"/>
      <c r="F396" s="10"/>
      <c r="G396" s="11"/>
      <c r="H396" s="11"/>
    </row>
    <row r="397" spans="4:8" ht="15.75" customHeight="1" x14ac:dyDescent="0.2">
      <c r="D397" s="10"/>
      <c r="E397" s="10"/>
      <c r="F397" s="10"/>
      <c r="G397" s="11"/>
      <c r="H397" s="11"/>
    </row>
    <row r="398" spans="4:8" ht="15.75" customHeight="1" x14ac:dyDescent="0.2">
      <c r="D398" s="10"/>
      <c r="E398" s="10"/>
      <c r="F398" s="10"/>
      <c r="G398" s="11"/>
      <c r="H398" s="11"/>
    </row>
    <row r="399" spans="4:8" ht="15.75" customHeight="1" x14ac:dyDescent="0.2">
      <c r="D399" s="10"/>
      <c r="E399" s="10"/>
      <c r="F399" s="10"/>
      <c r="G399" s="11"/>
      <c r="H399" s="11"/>
    </row>
    <row r="400" spans="4:8" ht="15.75" customHeight="1" x14ac:dyDescent="0.2">
      <c r="D400" s="10"/>
      <c r="E400" s="10"/>
      <c r="F400" s="10"/>
      <c r="G400" s="11"/>
      <c r="H400" s="11"/>
    </row>
    <row r="401" spans="4:8" ht="15.75" customHeight="1" x14ac:dyDescent="0.2">
      <c r="D401" s="10"/>
      <c r="E401" s="10"/>
      <c r="F401" s="10"/>
      <c r="G401" s="11"/>
      <c r="H401" s="11"/>
    </row>
    <row r="402" spans="4:8" ht="15.75" customHeight="1" x14ac:dyDescent="0.2">
      <c r="D402" s="10"/>
      <c r="E402" s="10"/>
      <c r="F402" s="10"/>
      <c r="G402" s="11"/>
      <c r="H402" s="11"/>
    </row>
    <row r="403" spans="4:8" ht="15.75" customHeight="1" x14ac:dyDescent="0.2">
      <c r="D403" s="10"/>
      <c r="E403" s="10"/>
      <c r="F403" s="10"/>
      <c r="G403" s="11"/>
      <c r="H403" s="11"/>
    </row>
    <row r="404" spans="4:8" ht="15.75" customHeight="1" x14ac:dyDescent="0.2">
      <c r="D404" s="10"/>
      <c r="E404" s="10"/>
      <c r="F404" s="10"/>
      <c r="G404" s="11"/>
      <c r="H404" s="11"/>
    </row>
    <row r="405" spans="4:8" ht="15.75" customHeight="1" x14ac:dyDescent="0.2">
      <c r="D405" s="10"/>
      <c r="E405" s="10"/>
      <c r="F405" s="10"/>
      <c r="G405" s="11"/>
      <c r="H405" s="11"/>
    </row>
    <row r="406" spans="4:8" ht="15.75" customHeight="1" x14ac:dyDescent="0.2">
      <c r="D406" s="10"/>
      <c r="E406" s="10"/>
      <c r="F406" s="10"/>
      <c r="G406" s="11"/>
      <c r="H406" s="11"/>
    </row>
    <row r="407" spans="4:8" ht="15.75" customHeight="1" x14ac:dyDescent="0.2">
      <c r="D407" s="10"/>
      <c r="E407" s="10"/>
      <c r="F407" s="10"/>
      <c r="G407" s="11"/>
      <c r="H407" s="11"/>
    </row>
    <row r="408" spans="4:8" ht="15.75" customHeight="1" x14ac:dyDescent="0.2">
      <c r="D408" s="10"/>
      <c r="E408" s="10"/>
      <c r="F408" s="10"/>
      <c r="G408" s="11"/>
      <c r="H408" s="11"/>
    </row>
    <row r="409" spans="4:8" ht="15.75" customHeight="1" x14ac:dyDescent="0.2">
      <c r="D409" s="10"/>
      <c r="E409" s="10"/>
      <c r="F409" s="10"/>
      <c r="G409" s="11"/>
      <c r="H409" s="11"/>
    </row>
    <row r="410" spans="4:8" ht="15.75" customHeight="1" x14ac:dyDescent="0.2">
      <c r="D410" s="10"/>
      <c r="E410" s="10"/>
      <c r="F410" s="10"/>
      <c r="G410" s="11"/>
      <c r="H410" s="11"/>
    </row>
    <row r="411" spans="4:8" ht="15.75" customHeight="1" x14ac:dyDescent="0.2">
      <c r="D411" s="10"/>
      <c r="E411" s="10"/>
      <c r="F411" s="10"/>
      <c r="G411" s="11"/>
      <c r="H411" s="11"/>
    </row>
    <row r="412" spans="4:8" ht="15.75" customHeight="1" x14ac:dyDescent="0.2">
      <c r="D412" s="10"/>
      <c r="E412" s="10"/>
      <c r="F412" s="10"/>
      <c r="G412" s="11"/>
      <c r="H412" s="11"/>
    </row>
    <row r="413" spans="4:8" ht="15.75" customHeight="1" x14ac:dyDescent="0.2">
      <c r="D413" s="10"/>
      <c r="E413" s="10"/>
      <c r="F413" s="10"/>
      <c r="G413" s="11"/>
      <c r="H413" s="11"/>
    </row>
    <row r="414" spans="4:8" ht="15.75" customHeight="1" x14ac:dyDescent="0.2">
      <c r="D414" s="10"/>
      <c r="E414" s="10"/>
      <c r="F414" s="10"/>
      <c r="G414" s="11"/>
      <c r="H414" s="11"/>
    </row>
    <row r="415" spans="4:8" ht="15.75" customHeight="1" x14ac:dyDescent="0.2">
      <c r="D415" s="10"/>
      <c r="E415" s="10"/>
      <c r="F415" s="10"/>
      <c r="G415" s="11"/>
      <c r="H415" s="11"/>
    </row>
    <row r="416" spans="4:8" ht="15.75" customHeight="1" x14ac:dyDescent="0.2">
      <c r="D416" s="10"/>
      <c r="E416" s="10"/>
      <c r="F416" s="10"/>
      <c r="G416" s="11"/>
      <c r="H416" s="11"/>
    </row>
    <row r="417" spans="4:8" ht="15.75" customHeight="1" x14ac:dyDescent="0.2">
      <c r="D417" s="10"/>
      <c r="E417" s="10"/>
      <c r="F417" s="10"/>
      <c r="G417" s="11"/>
      <c r="H417" s="11"/>
    </row>
    <row r="418" spans="4:8" ht="15.75" customHeight="1" x14ac:dyDescent="0.2">
      <c r="D418" s="10"/>
      <c r="E418" s="10"/>
      <c r="F418" s="10"/>
      <c r="G418" s="11"/>
      <c r="H418" s="11"/>
    </row>
    <row r="419" spans="4:8" ht="15.75" customHeight="1" x14ac:dyDescent="0.2">
      <c r="D419" s="10"/>
      <c r="E419" s="10"/>
      <c r="F419" s="10"/>
      <c r="G419" s="11"/>
      <c r="H419" s="11"/>
    </row>
    <row r="420" spans="4:8" ht="15.75" customHeight="1" x14ac:dyDescent="0.2">
      <c r="D420" s="10"/>
      <c r="E420" s="10"/>
      <c r="F420" s="10"/>
      <c r="G420" s="11"/>
      <c r="H420" s="11"/>
    </row>
    <row r="421" spans="4:8" ht="15.75" customHeight="1" x14ac:dyDescent="0.2">
      <c r="D421" s="10"/>
      <c r="E421" s="10"/>
      <c r="F421" s="10"/>
      <c r="G421" s="11"/>
      <c r="H421" s="11"/>
    </row>
    <row r="422" spans="4:8" ht="15.75" customHeight="1" x14ac:dyDescent="0.2">
      <c r="D422" s="10"/>
      <c r="E422" s="10"/>
      <c r="F422" s="10"/>
      <c r="G422" s="11"/>
      <c r="H422" s="11"/>
    </row>
    <row r="423" spans="4:8" ht="15.75" customHeight="1" x14ac:dyDescent="0.2">
      <c r="D423" s="10"/>
      <c r="E423" s="10"/>
      <c r="F423" s="10"/>
      <c r="G423" s="11"/>
      <c r="H423" s="11"/>
    </row>
    <row r="424" spans="4:8" ht="15.75" customHeight="1" x14ac:dyDescent="0.2">
      <c r="D424" s="10"/>
      <c r="E424" s="10"/>
      <c r="F424" s="10"/>
      <c r="G424" s="11"/>
      <c r="H424" s="11"/>
    </row>
    <row r="425" spans="4:8" ht="15.75" customHeight="1" x14ac:dyDescent="0.2">
      <c r="D425" s="10"/>
      <c r="E425" s="10"/>
      <c r="F425" s="10"/>
      <c r="G425" s="11"/>
      <c r="H425" s="11"/>
    </row>
    <row r="426" spans="4:8" ht="15.75" customHeight="1" x14ac:dyDescent="0.2">
      <c r="D426" s="10"/>
      <c r="E426" s="10"/>
      <c r="F426" s="10"/>
      <c r="G426" s="11"/>
      <c r="H426" s="11"/>
    </row>
    <row r="427" spans="4:8" ht="15.75" customHeight="1" x14ac:dyDescent="0.2">
      <c r="D427" s="10"/>
      <c r="E427" s="10"/>
      <c r="F427" s="10"/>
      <c r="G427" s="11"/>
      <c r="H427" s="11"/>
    </row>
    <row r="428" spans="4:8" ht="15.75" customHeight="1" x14ac:dyDescent="0.2">
      <c r="D428" s="10"/>
      <c r="E428" s="10"/>
      <c r="F428" s="10"/>
      <c r="G428" s="11"/>
      <c r="H428" s="11"/>
    </row>
    <row r="429" spans="4:8" ht="15.75" customHeight="1" x14ac:dyDescent="0.2">
      <c r="D429" s="10"/>
      <c r="E429" s="10"/>
      <c r="F429" s="10"/>
      <c r="G429" s="11"/>
      <c r="H429" s="11"/>
    </row>
    <row r="430" spans="4:8" ht="15.75" customHeight="1" x14ac:dyDescent="0.2">
      <c r="D430" s="10"/>
      <c r="E430" s="10"/>
      <c r="F430" s="10"/>
      <c r="G430" s="11"/>
      <c r="H430" s="11"/>
    </row>
    <row r="431" spans="4:8" ht="15.75" customHeight="1" x14ac:dyDescent="0.2">
      <c r="D431" s="10"/>
      <c r="E431" s="10"/>
      <c r="F431" s="10"/>
      <c r="G431" s="11"/>
      <c r="H431" s="11"/>
    </row>
    <row r="432" spans="4:8" ht="15.75" customHeight="1" x14ac:dyDescent="0.2">
      <c r="D432" s="10"/>
      <c r="E432" s="10"/>
      <c r="F432" s="10"/>
      <c r="G432" s="11"/>
      <c r="H432" s="11"/>
    </row>
    <row r="433" spans="4:8" ht="15.75" customHeight="1" x14ac:dyDescent="0.2">
      <c r="D433" s="10"/>
      <c r="E433" s="10"/>
      <c r="F433" s="10"/>
      <c r="G433" s="11"/>
      <c r="H433" s="11"/>
    </row>
    <row r="434" spans="4:8" ht="15.75" customHeight="1" x14ac:dyDescent="0.2">
      <c r="D434" s="10"/>
      <c r="E434" s="10"/>
      <c r="F434" s="10"/>
      <c r="G434" s="11"/>
      <c r="H434" s="11"/>
    </row>
    <row r="435" spans="4:8" ht="15.75" customHeight="1" x14ac:dyDescent="0.2">
      <c r="D435" s="10"/>
      <c r="E435" s="10"/>
      <c r="F435" s="10"/>
      <c r="G435" s="11"/>
      <c r="H435" s="11"/>
    </row>
    <row r="436" spans="4:8" ht="15.75" customHeight="1" x14ac:dyDescent="0.2">
      <c r="D436" s="10"/>
      <c r="E436" s="10"/>
      <c r="F436" s="10"/>
      <c r="G436" s="11"/>
      <c r="H436" s="11"/>
    </row>
    <row r="437" spans="4:8" ht="15.75" customHeight="1" x14ac:dyDescent="0.2">
      <c r="D437" s="10"/>
      <c r="E437" s="10"/>
      <c r="F437" s="10"/>
      <c r="G437" s="11"/>
      <c r="H437" s="11"/>
    </row>
    <row r="438" spans="4:8" ht="15.75" customHeight="1" x14ac:dyDescent="0.2">
      <c r="D438" s="10"/>
      <c r="E438" s="10"/>
      <c r="F438" s="10"/>
      <c r="G438" s="11"/>
      <c r="H438" s="11"/>
    </row>
    <row r="439" spans="4:8" ht="15.75" customHeight="1" x14ac:dyDescent="0.2">
      <c r="D439" s="10"/>
      <c r="E439" s="10"/>
      <c r="F439" s="10"/>
      <c r="G439" s="11"/>
      <c r="H439" s="11"/>
    </row>
    <row r="440" spans="4:8" ht="15.75" customHeight="1" x14ac:dyDescent="0.2">
      <c r="D440" s="10"/>
      <c r="E440" s="10"/>
      <c r="F440" s="10"/>
      <c r="G440" s="11"/>
      <c r="H440" s="11"/>
    </row>
    <row r="441" spans="4:8" ht="15.75" customHeight="1" x14ac:dyDescent="0.2">
      <c r="D441" s="10"/>
      <c r="E441" s="10"/>
      <c r="F441" s="10"/>
      <c r="G441" s="11"/>
      <c r="H441" s="11"/>
    </row>
    <row r="442" spans="4:8" ht="15.75" customHeight="1" x14ac:dyDescent="0.2">
      <c r="D442" s="10"/>
      <c r="E442" s="10"/>
      <c r="F442" s="10"/>
      <c r="G442" s="11"/>
      <c r="H442" s="11"/>
    </row>
    <row r="443" spans="4:8" ht="15.75" customHeight="1" x14ac:dyDescent="0.2">
      <c r="D443" s="10"/>
      <c r="E443" s="10"/>
      <c r="F443" s="10"/>
      <c r="G443" s="11"/>
      <c r="H443" s="11"/>
    </row>
    <row r="444" spans="4:8" ht="15.75" customHeight="1" x14ac:dyDescent="0.2">
      <c r="D444" s="10"/>
      <c r="E444" s="10"/>
      <c r="F444" s="10"/>
      <c r="G444" s="11"/>
      <c r="H444" s="11"/>
    </row>
    <row r="445" spans="4:8" ht="15.75" customHeight="1" x14ac:dyDescent="0.2">
      <c r="D445" s="10"/>
      <c r="E445" s="10"/>
      <c r="F445" s="10"/>
      <c r="G445" s="11"/>
      <c r="H445" s="11"/>
    </row>
    <row r="446" spans="4:8" ht="15.75" customHeight="1" x14ac:dyDescent="0.2">
      <c r="D446" s="10"/>
      <c r="E446" s="10"/>
      <c r="F446" s="10"/>
      <c r="G446" s="11"/>
      <c r="H446" s="11"/>
    </row>
    <row r="447" spans="4:8" ht="15.75" customHeight="1" x14ac:dyDescent="0.2">
      <c r="D447" s="10"/>
      <c r="E447" s="10"/>
      <c r="F447" s="10"/>
      <c r="G447" s="11"/>
      <c r="H447" s="11"/>
    </row>
    <row r="448" spans="4:8" ht="15.75" customHeight="1" x14ac:dyDescent="0.2">
      <c r="D448" s="10"/>
      <c r="E448" s="10"/>
      <c r="F448" s="10"/>
      <c r="G448" s="11"/>
      <c r="H448" s="11"/>
    </row>
    <row r="449" spans="4:8" ht="15.75" customHeight="1" x14ac:dyDescent="0.2">
      <c r="D449" s="10"/>
      <c r="E449" s="10"/>
      <c r="F449" s="10"/>
      <c r="G449" s="11"/>
      <c r="H449" s="11"/>
    </row>
    <row r="450" spans="4:8" ht="15.75" customHeight="1" x14ac:dyDescent="0.2">
      <c r="D450" s="10"/>
      <c r="E450" s="10"/>
      <c r="F450" s="10"/>
      <c r="G450" s="11"/>
      <c r="H450" s="11"/>
    </row>
    <row r="451" spans="4:8" ht="15.75" customHeight="1" x14ac:dyDescent="0.2">
      <c r="D451" s="10"/>
      <c r="E451" s="10"/>
      <c r="F451" s="10"/>
      <c r="G451" s="11"/>
      <c r="H451" s="11"/>
    </row>
    <row r="452" spans="4:8" ht="15.75" customHeight="1" x14ac:dyDescent="0.2">
      <c r="D452" s="10"/>
      <c r="E452" s="10"/>
      <c r="F452" s="10"/>
      <c r="G452" s="11"/>
      <c r="H452" s="11"/>
    </row>
    <row r="453" spans="4:8" ht="15.75" customHeight="1" x14ac:dyDescent="0.2">
      <c r="D453" s="10"/>
      <c r="E453" s="10"/>
      <c r="F453" s="10"/>
      <c r="G453" s="11"/>
      <c r="H453" s="11"/>
    </row>
    <row r="454" spans="4:8" ht="15.75" customHeight="1" x14ac:dyDescent="0.2">
      <c r="D454" s="10"/>
      <c r="E454" s="10"/>
      <c r="F454" s="10"/>
      <c r="G454" s="11"/>
      <c r="H454" s="11"/>
    </row>
    <row r="455" spans="4:8" ht="15.75" customHeight="1" x14ac:dyDescent="0.2">
      <c r="D455" s="10"/>
      <c r="E455" s="10"/>
      <c r="F455" s="10"/>
      <c r="G455" s="11"/>
      <c r="H455" s="11"/>
    </row>
    <row r="456" spans="4:8" ht="15.75" customHeight="1" x14ac:dyDescent="0.2">
      <c r="D456" s="10"/>
      <c r="E456" s="10"/>
      <c r="F456" s="10"/>
      <c r="G456" s="11"/>
      <c r="H456" s="11"/>
    </row>
    <row r="457" spans="4:8" ht="15.75" customHeight="1" x14ac:dyDescent="0.2">
      <c r="D457" s="10"/>
      <c r="E457" s="10"/>
      <c r="F457" s="10"/>
      <c r="G457" s="11"/>
      <c r="H457" s="11"/>
    </row>
    <row r="458" spans="4:8" ht="15.75" customHeight="1" x14ac:dyDescent="0.2">
      <c r="D458" s="10"/>
      <c r="E458" s="10"/>
      <c r="F458" s="10"/>
      <c r="G458" s="11"/>
      <c r="H458" s="11"/>
    </row>
    <row r="459" spans="4:8" ht="15.75" customHeight="1" x14ac:dyDescent="0.2">
      <c r="D459" s="10"/>
      <c r="E459" s="10"/>
      <c r="F459" s="10"/>
      <c r="G459" s="11"/>
      <c r="H459" s="11"/>
    </row>
    <row r="460" spans="4:8" ht="15.75" customHeight="1" x14ac:dyDescent="0.2">
      <c r="D460" s="10"/>
      <c r="E460" s="10"/>
      <c r="F460" s="10"/>
      <c r="G460" s="11"/>
      <c r="H460" s="11"/>
    </row>
    <row r="461" spans="4:8" ht="15.75" customHeight="1" x14ac:dyDescent="0.2">
      <c r="D461" s="10"/>
      <c r="E461" s="10"/>
      <c r="F461" s="10"/>
      <c r="G461" s="11"/>
      <c r="H461" s="11"/>
    </row>
    <row r="462" spans="4:8" ht="15.75" customHeight="1" x14ac:dyDescent="0.2">
      <c r="D462" s="10"/>
      <c r="E462" s="10"/>
      <c r="F462" s="10"/>
      <c r="G462" s="11"/>
      <c r="H462" s="11"/>
    </row>
    <row r="463" spans="4:8" ht="15.75" customHeight="1" x14ac:dyDescent="0.2">
      <c r="D463" s="10"/>
      <c r="E463" s="10"/>
      <c r="F463" s="10"/>
      <c r="G463" s="11"/>
      <c r="H463" s="11"/>
    </row>
    <row r="464" spans="4:8" ht="15.75" customHeight="1" x14ac:dyDescent="0.2">
      <c r="D464" s="10"/>
      <c r="E464" s="10"/>
      <c r="F464" s="10"/>
      <c r="G464" s="11"/>
      <c r="H464" s="11"/>
    </row>
    <row r="465" spans="4:8" ht="15.75" customHeight="1" x14ac:dyDescent="0.2">
      <c r="D465" s="10"/>
      <c r="E465" s="10"/>
      <c r="F465" s="10"/>
      <c r="G465" s="11"/>
      <c r="H465" s="11"/>
    </row>
    <row r="466" spans="4:8" ht="15.75" customHeight="1" x14ac:dyDescent="0.2">
      <c r="D466" s="10"/>
      <c r="E466" s="10"/>
      <c r="F466" s="10"/>
      <c r="G466" s="11"/>
      <c r="H466" s="11"/>
    </row>
    <row r="467" spans="4:8" ht="15.75" customHeight="1" x14ac:dyDescent="0.2">
      <c r="D467" s="10"/>
      <c r="E467" s="10"/>
      <c r="F467" s="10"/>
      <c r="G467" s="11"/>
      <c r="H467" s="11"/>
    </row>
    <row r="468" spans="4:8" ht="15.75" customHeight="1" x14ac:dyDescent="0.2">
      <c r="D468" s="10"/>
      <c r="E468" s="10"/>
      <c r="F468" s="10"/>
      <c r="G468" s="11"/>
      <c r="H468" s="11"/>
    </row>
    <row r="469" spans="4:8" ht="15.75" customHeight="1" x14ac:dyDescent="0.2">
      <c r="D469" s="10"/>
      <c r="E469" s="10"/>
      <c r="F469" s="10"/>
      <c r="G469" s="11"/>
      <c r="H469" s="11"/>
    </row>
    <row r="470" spans="4:8" ht="15.75" customHeight="1" x14ac:dyDescent="0.2">
      <c r="D470" s="10"/>
      <c r="E470" s="10"/>
      <c r="F470" s="10"/>
      <c r="G470" s="11"/>
      <c r="H470" s="11"/>
    </row>
    <row r="471" spans="4:8" ht="15.75" customHeight="1" x14ac:dyDescent="0.2">
      <c r="D471" s="10"/>
      <c r="E471" s="10"/>
      <c r="F471" s="10"/>
      <c r="G471" s="11"/>
      <c r="H471" s="11"/>
    </row>
    <row r="472" spans="4:8" ht="15.75" customHeight="1" x14ac:dyDescent="0.2">
      <c r="D472" s="10"/>
      <c r="E472" s="10"/>
      <c r="F472" s="10"/>
      <c r="G472" s="11"/>
      <c r="H472" s="11"/>
    </row>
    <row r="473" spans="4:8" ht="15.75" customHeight="1" x14ac:dyDescent="0.2">
      <c r="D473" s="10"/>
      <c r="E473" s="10"/>
      <c r="F473" s="10"/>
      <c r="G473" s="11"/>
      <c r="H473" s="11"/>
    </row>
    <row r="474" spans="4:8" ht="15.75" customHeight="1" x14ac:dyDescent="0.2">
      <c r="D474" s="10"/>
      <c r="E474" s="10"/>
      <c r="F474" s="10"/>
      <c r="G474" s="11"/>
      <c r="H474" s="11"/>
    </row>
    <row r="475" spans="4:8" ht="15.75" customHeight="1" x14ac:dyDescent="0.2">
      <c r="D475" s="10"/>
      <c r="E475" s="10"/>
      <c r="F475" s="10"/>
      <c r="G475" s="11"/>
      <c r="H475" s="11"/>
    </row>
    <row r="476" spans="4:8" ht="15.75" customHeight="1" x14ac:dyDescent="0.2">
      <c r="D476" s="10"/>
      <c r="E476" s="10"/>
      <c r="F476" s="10"/>
      <c r="G476" s="11"/>
      <c r="H476" s="11"/>
    </row>
    <row r="477" spans="4:8" ht="15.75" customHeight="1" x14ac:dyDescent="0.2">
      <c r="D477" s="10"/>
      <c r="E477" s="10"/>
      <c r="F477" s="10"/>
      <c r="G477" s="11"/>
      <c r="H477" s="11"/>
    </row>
    <row r="478" spans="4:8" ht="15.75" customHeight="1" x14ac:dyDescent="0.2">
      <c r="D478" s="10"/>
      <c r="E478" s="10"/>
      <c r="F478" s="10"/>
      <c r="G478" s="11"/>
      <c r="H478" s="11"/>
    </row>
    <row r="479" spans="4:8" ht="15.75" customHeight="1" x14ac:dyDescent="0.2">
      <c r="D479" s="10"/>
      <c r="E479" s="10"/>
      <c r="F479" s="10"/>
      <c r="G479" s="11"/>
      <c r="H479" s="11"/>
    </row>
    <row r="480" spans="4:8" ht="15.75" customHeight="1" x14ac:dyDescent="0.2">
      <c r="D480" s="10"/>
      <c r="E480" s="10"/>
      <c r="F480" s="10"/>
      <c r="G480" s="11"/>
      <c r="H480" s="11"/>
    </row>
    <row r="481" spans="4:8" ht="15.75" customHeight="1" x14ac:dyDescent="0.2">
      <c r="D481" s="10"/>
      <c r="E481" s="10"/>
      <c r="F481" s="10"/>
      <c r="G481" s="11"/>
      <c r="H481" s="11"/>
    </row>
    <row r="482" spans="4:8" ht="15.75" customHeight="1" x14ac:dyDescent="0.2">
      <c r="D482" s="10"/>
      <c r="E482" s="10"/>
      <c r="F482" s="10"/>
      <c r="G482" s="11"/>
      <c r="H482" s="11"/>
    </row>
    <row r="483" spans="4:8" ht="15.75" customHeight="1" x14ac:dyDescent="0.2">
      <c r="D483" s="10"/>
      <c r="E483" s="10"/>
      <c r="F483" s="10"/>
      <c r="G483" s="11"/>
      <c r="H483" s="11"/>
    </row>
    <row r="484" spans="4:8" ht="15.75" customHeight="1" x14ac:dyDescent="0.2">
      <c r="D484" s="10"/>
      <c r="E484" s="10"/>
      <c r="F484" s="10"/>
      <c r="G484" s="11"/>
      <c r="H484" s="11"/>
    </row>
    <row r="485" spans="4:8" ht="15.75" customHeight="1" x14ac:dyDescent="0.2">
      <c r="D485" s="10"/>
      <c r="E485" s="10"/>
      <c r="F485" s="10"/>
      <c r="G485" s="11"/>
      <c r="H485" s="11"/>
    </row>
    <row r="486" spans="4:8" ht="15.75" customHeight="1" x14ac:dyDescent="0.2">
      <c r="D486" s="10"/>
      <c r="E486" s="10"/>
      <c r="F486" s="10"/>
      <c r="G486" s="11"/>
      <c r="H486" s="11"/>
    </row>
    <row r="487" spans="4:8" ht="15.75" customHeight="1" x14ac:dyDescent="0.2">
      <c r="D487" s="10"/>
      <c r="E487" s="10"/>
      <c r="F487" s="10"/>
      <c r="G487" s="11"/>
      <c r="H487" s="11"/>
    </row>
    <row r="488" spans="4:8" ht="15.75" customHeight="1" x14ac:dyDescent="0.2">
      <c r="D488" s="10"/>
      <c r="E488" s="10"/>
      <c r="F488" s="10"/>
      <c r="G488" s="11"/>
      <c r="H488" s="11"/>
    </row>
    <row r="489" spans="4:8" ht="15.75" customHeight="1" x14ac:dyDescent="0.2">
      <c r="D489" s="10"/>
      <c r="E489" s="10"/>
      <c r="F489" s="10"/>
      <c r="G489" s="11"/>
      <c r="H489" s="11"/>
    </row>
    <row r="490" spans="4:8" ht="15.75" customHeight="1" x14ac:dyDescent="0.2">
      <c r="D490" s="10"/>
      <c r="E490" s="10"/>
      <c r="F490" s="10"/>
      <c r="G490" s="11"/>
      <c r="H490" s="11"/>
    </row>
    <row r="491" spans="4:8" ht="15.75" customHeight="1" x14ac:dyDescent="0.2">
      <c r="D491" s="10"/>
      <c r="E491" s="10"/>
      <c r="F491" s="10"/>
      <c r="G491" s="11"/>
      <c r="H491" s="11"/>
    </row>
    <row r="492" spans="4:8" ht="15.75" customHeight="1" x14ac:dyDescent="0.2">
      <c r="D492" s="10"/>
      <c r="E492" s="10"/>
      <c r="F492" s="10"/>
      <c r="G492" s="11"/>
      <c r="H492" s="11"/>
    </row>
    <row r="493" spans="4:8" ht="15.75" customHeight="1" x14ac:dyDescent="0.2">
      <c r="D493" s="10"/>
      <c r="E493" s="10"/>
      <c r="F493" s="10"/>
      <c r="G493" s="11"/>
      <c r="H493" s="11"/>
    </row>
    <row r="494" spans="4:8" ht="15.75" customHeight="1" x14ac:dyDescent="0.2">
      <c r="D494" s="10"/>
      <c r="E494" s="10"/>
      <c r="F494" s="10"/>
      <c r="G494" s="11"/>
      <c r="H494" s="11"/>
    </row>
    <row r="495" spans="4:8" ht="15.75" customHeight="1" x14ac:dyDescent="0.2">
      <c r="D495" s="10"/>
      <c r="E495" s="10"/>
      <c r="F495" s="10"/>
      <c r="G495" s="11"/>
      <c r="H495" s="11"/>
    </row>
    <row r="496" spans="4:8" ht="15.75" customHeight="1" x14ac:dyDescent="0.2">
      <c r="D496" s="10"/>
      <c r="E496" s="10"/>
      <c r="F496" s="10"/>
      <c r="G496" s="11"/>
      <c r="H496" s="11"/>
    </row>
    <row r="497" spans="4:8" ht="15.75" customHeight="1" x14ac:dyDescent="0.2">
      <c r="D497" s="10"/>
      <c r="E497" s="10"/>
      <c r="F497" s="10"/>
      <c r="G497" s="11"/>
      <c r="H497" s="11"/>
    </row>
    <row r="498" spans="4:8" ht="15.75" customHeight="1" x14ac:dyDescent="0.2">
      <c r="D498" s="10"/>
      <c r="E498" s="10"/>
      <c r="F498" s="10"/>
      <c r="G498" s="11"/>
      <c r="H498" s="11"/>
    </row>
    <row r="499" spans="4:8" ht="15.75" customHeight="1" x14ac:dyDescent="0.2">
      <c r="D499" s="10"/>
      <c r="E499" s="10"/>
      <c r="F499" s="10"/>
      <c r="G499" s="11"/>
      <c r="H499" s="11"/>
    </row>
    <row r="500" spans="4:8" ht="15.75" customHeight="1" x14ac:dyDescent="0.2">
      <c r="D500" s="10"/>
      <c r="E500" s="10"/>
      <c r="F500" s="10"/>
      <c r="G500" s="11"/>
      <c r="H500" s="11"/>
    </row>
    <row r="501" spans="4:8" ht="15.75" customHeight="1" x14ac:dyDescent="0.2">
      <c r="D501" s="10"/>
      <c r="E501" s="10"/>
      <c r="F501" s="10"/>
      <c r="G501" s="11"/>
      <c r="H501" s="11"/>
    </row>
    <row r="502" spans="4:8" ht="15.75" customHeight="1" x14ac:dyDescent="0.2">
      <c r="D502" s="10"/>
      <c r="E502" s="10"/>
      <c r="F502" s="10"/>
      <c r="G502" s="11"/>
      <c r="H502" s="11"/>
    </row>
    <row r="503" spans="4:8" ht="15.75" customHeight="1" x14ac:dyDescent="0.2">
      <c r="D503" s="10"/>
      <c r="E503" s="10"/>
      <c r="F503" s="10"/>
      <c r="G503" s="11"/>
      <c r="H503" s="11"/>
    </row>
    <row r="504" spans="4:8" ht="15.75" customHeight="1" x14ac:dyDescent="0.2">
      <c r="D504" s="10"/>
      <c r="E504" s="10"/>
      <c r="F504" s="10"/>
      <c r="G504" s="11"/>
      <c r="H504" s="11"/>
    </row>
    <row r="505" spans="4:8" ht="15.75" customHeight="1" x14ac:dyDescent="0.2">
      <c r="D505" s="10"/>
      <c r="E505" s="10"/>
      <c r="F505" s="10"/>
      <c r="G505" s="11"/>
      <c r="H505" s="11"/>
    </row>
    <row r="506" spans="4:8" ht="15.75" customHeight="1" x14ac:dyDescent="0.2">
      <c r="D506" s="10"/>
      <c r="E506" s="10"/>
      <c r="F506" s="10"/>
      <c r="G506" s="11"/>
      <c r="H506" s="11"/>
    </row>
    <row r="507" spans="4:8" ht="15.75" customHeight="1" x14ac:dyDescent="0.2">
      <c r="D507" s="10"/>
      <c r="E507" s="10"/>
      <c r="F507" s="10"/>
      <c r="G507" s="11"/>
      <c r="H507" s="11"/>
    </row>
    <row r="508" spans="4:8" ht="15.75" customHeight="1" x14ac:dyDescent="0.2">
      <c r="D508" s="10"/>
      <c r="E508" s="10"/>
      <c r="F508" s="10"/>
      <c r="G508" s="11"/>
      <c r="H508" s="11"/>
    </row>
    <row r="509" spans="4:8" ht="15.75" customHeight="1" x14ac:dyDescent="0.2">
      <c r="D509" s="10"/>
      <c r="E509" s="10"/>
      <c r="F509" s="10"/>
      <c r="G509" s="11"/>
      <c r="H509" s="11"/>
    </row>
    <row r="510" spans="4:8" ht="15.75" customHeight="1" x14ac:dyDescent="0.2">
      <c r="D510" s="10"/>
      <c r="E510" s="10"/>
      <c r="F510" s="10"/>
      <c r="G510" s="11"/>
      <c r="H510" s="11"/>
    </row>
    <row r="511" spans="4:8" ht="15.75" customHeight="1" x14ac:dyDescent="0.2">
      <c r="D511" s="10"/>
      <c r="E511" s="10"/>
      <c r="F511" s="10"/>
      <c r="G511" s="11"/>
      <c r="H511" s="11"/>
    </row>
    <row r="512" spans="4:8" ht="15.75" customHeight="1" x14ac:dyDescent="0.2">
      <c r="D512" s="10"/>
      <c r="E512" s="10"/>
      <c r="F512" s="10"/>
      <c r="G512" s="11"/>
      <c r="H512" s="11"/>
    </row>
    <row r="513" spans="4:8" ht="15.75" customHeight="1" x14ac:dyDescent="0.2">
      <c r="D513" s="10"/>
      <c r="E513" s="10"/>
      <c r="F513" s="10"/>
      <c r="G513" s="11"/>
      <c r="H513" s="11"/>
    </row>
    <row r="514" spans="4:8" ht="15.75" customHeight="1" x14ac:dyDescent="0.2">
      <c r="D514" s="10"/>
      <c r="E514" s="10"/>
      <c r="F514" s="10"/>
      <c r="G514" s="11"/>
      <c r="H514" s="11"/>
    </row>
    <row r="515" spans="4:8" ht="15.75" customHeight="1" x14ac:dyDescent="0.2">
      <c r="D515" s="10"/>
      <c r="E515" s="10"/>
      <c r="F515" s="10"/>
      <c r="G515" s="11"/>
      <c r="H515" s="11"/>
    </row>
    <row r="516" spans="4:8" ht="15.75" customHeight="1" x14ac:dyDescent="0.2">
      <c r="D516" s="10"/>
      <c r="E516" s="10"/>
      <c r="F516" s="10"/>
      <c r="G516" s="11"/>
      <c r="H516" s="11"/>
    </row>
    <row r="517" spans="4:8" ht="15.75" customHeight="1" x14ac:dyDescent="0.2">
      <c r="D517" s="10"/>
      <c r="E517" s="10"/>
      <c r="F517" s="10"/>
      <c r="G517" s="11"/>
      <c r="H517" s="11"/>
    </row>
    <row r="518" spans="4:8" ht="15.75" customHeight="1" x14ac:dyDescent="0.2">
      <c r="D518" s="10"/>
      <c r="E518" s="10"/>
      <c r="F518" s="10"/>
      <c r="G518" s="11"/>
      <c r="H518" s="11"/>
    </row>
    <row r="519" spans="4:8" ht="15.75" customHeight="1" x14ac:dyDescent="0.2">
      <c r="D519" s="10"/>
      <c r="E519" s="10"/>
      <c r="F519" s="10"/>
      <c r="G519" s="11"/>
      <c r="H519" s="11"/>
    </row>
    <row r="520" spans="4:8" ht="15.75" customHeight="1" x14ac:dyDescent="0.2">
      <c r="D520" s="10"/>
      <c r="E520" s="10"/>
      <c r="F520" s="10"/>
      <c r="G520" s="11"/>
      <c r="H520" s="11"/>
    </row>
    <row r="521" spans="4:8" ht="15.75" customHeight="1" x14ac:dyDescent="0.2">
      <c r="D521" s="10"/>
      <c r="E521" s="10"/>
      <c r="F521" s="10"/>
      <c r="G521" s="11"/>
      <c r="H521" s="11"/>
    </row>
    <row r="522" spans="4:8" ht="15.75" customHeight="1" x14ac:dyDescent="0.2">
      <c r="D522" s="10"/>
      <c r="E522" s="10"/>
      <c r="F522" s="10"/>
      <c r="G522" s="11"/>
      <c r="H522" s="11"/>
    </row>
    <row r="523" spans="4:8" ht="15.75" customHeight="1" x14ac:dyDescent="0.2">
      <c r="D523" s="10"/>
      <c r="E523" s="10"/>
      <c r="F523" s="10"/>
      <c r="G523" s="11"/>
      <c r="H523" s="11"/>
    </row>
    <row r="524" spans="4:8" ht="15.75" customHeight="1" x14ac:dyDescent="0.2">
      <c r="D524" s="10"/>
      <c r="E524" s="10"/>
      <c r="F524" s="10"/>
      <c r="G524" s="11"/>
      <c r="H524" s="11"/>
    </row>
    <row r="525" spans="4:8" ht="15.75" customHeight="1" x14ac:dyDescent="0.2">
      <c r="D525" s="10"/>
      <c r="E525" s="10"/>
      <c r="F525" s="10"/>
      <c r="G525" s="11"/>
      <c r="H525" s="11"/>
    </row>
    <row r="526" spans="4:8" ht="15.75" customHeight="1" x14ac:dyDescent="0.2">
      <c r="D526" s="10"/>
      <c r="E526" s="10"/>
      <c r="F526" s="10"/>
      <c r="G526" s="11"/>
      <c r="H526" s="11"/>
    </row>
    <row r="527" spans="4:8" ht="15.75" customHeight="1" x14ac:dyDescent="0.2">
      <c r="D527" s="10"/>
      <c r="E527" s="10"/>
      <c r="F527" s="10"/>
      <c r="G527" s="11"/>
      <c r="H527" s="11"/>
    </row>
    <row r="528" spans="4:8" ht="15.75" customHeight="1" x14ac:dyDescent="0.2">
      <c r="D528" s="10"/>
      <c r="E528" s="10"/>
      <c r="F528" s="10"/>
      <c r="G528" s="11"/>
      <c r="H528" s="11"/>
    </row>
    <row r="529" spans="4:8" ht="15.75" customHeight="1" x14ac:dyDescent="0.2">
      <c r="D529" s="10"/>
      <c r="E529" s="10"/>
      <c r="F529" s="10"/>
      <c r="G529" s="11"/>
      <c r="H529" s="11"/>
    </row>
    <row r="530" spans="4:8" ht="15.75" customHeight="1" x14ac:dyDescent="0.2">
      <c r="D530" s="10"/>
      <c r="E530" s="10"/>
      <c r="F530" s="10"/>
      <c r="G530" s="11"/>
      <c r="H530" s="11"/>
    </row>
    <row r="531" spans="4:8" ht="15.75" customHeight="1" x14ac:dyDescent="0.2">
      <c r="D531" s="10"/>
      <c r="E531" s="10"/>
      <c r="F531" s="10"/>
      <c r="G531" s="11"/>
      <c r="H531" s="11"/>
    </row>
    <row r="532" spans="4:8" ht="15.75" customHeight="1" x14ac:dyDescent="0.2">
      <c r="D532" s="10"/>
      <c r="E532" s="10"/>
      <c r="F532" s="10"/>
      <c r="G532" s="11"/>
      <c r="H532" s="11"/>
    </row>
    <row r="533" spans="4:8" ht="15.75" customHeight="1" x14ac:dyDescent="0.2">
      <c r="D533" s="10"/>
      <c r="E533" s="10"/>
      <c r="F533" s="10"/>
      <c r="G533" s="11"/>
      <c r="H533" s="11"/>
    </row>
    <row r="534" spans="4:8" ht="15.75" customHeight="1" x14ac:dyDescent="0.2">
      <c r="D534" s="10"/>
      <c r="E534" s="10"/>
      <c r="F534" s="10"/>
      <c r="G534" s="11"/>
      <c r="H534" s="11"/>
    </row>
    <row r="535" spans="4:8" ht="15.75" customHeight="1" x14ac:dyDescent="0.2">
      <c r="D535" s="10"/>
      <c r="E535" s="10"/>
      <c r="F535" s="10"/>
      <c r="G535" s="11"/>
      <c r="H535" s="11"/>
    </row>
    <row r="536" spans="4:8" ht="15.75" customHeight="1" x14ac:dyDescent="0.2">
      <c r="D536" s="10"/>
      <c r="E536" s="10"/>
      <c r="F536" s="10"/>
      <c r="G536" s="11"/>
      <c r="H536" s="11"/>
    </row>
    <row r="537" spans="4:8" ht="15.75" customHeight="1" x14ac:dyDescent="0.2">
      <c r="D537" s="10"/>
      <c r="E537" s="10"/>
      <c r="F537" s="10"/>
      <c r="G537" s="11"/>
      <c r="H537" s="11"/>
    </row>
    <row r="538" spans="4:8" ht="15.75" customHeight="1" x14ac:dyDescent="0.2">
      <c r="D538" s="10"/>
      <c r="E538" s="10"/>
      <c r="F538" s="10"/>
      <c r="G538" s="11"/>
      <c r="H538" s="11"/>
    </row>
    <row r="539" spans="4:8" ht="15.75" customHeight="1" x14ac:dyDescent="0.2">
      <c r="D539" s="10"/>
      <c r="E539" s="10"/>
      <c r="F539" s="10"/>
      <c r="G539" s="11"/>
      <c r="H539" s="11"/>
    </row>
    <row r="540" spans="4:8" ht="15.75" customHeight="1" x14ac:dyDescent="0.2">
      <c r="D540" s="10"/>
      <c r="E540" s="10"/>
      <c r="F540" s="10"/>
      <c r="G540" s="11"/>
      <c r="H540" s="11"/>
    </row>
    <row r="541" spans="4:8" ht="15.75" customHeight="1" x14ac:dyDescent="0.2">
      <c r="D541" s="10"/>
      <c r="E541" s="10"/>
      <c r="F541" s="10"/>
      <c r="G541" s="11"/>
      <c r="H541" s="11"/>
    </row>
    <row r="542" spans="4:8" ht="15.75" customHeight="1" x14ac:dyDescent="0.2">
      <c r="D542" s="10"/>
      <c r="E542" s="10"/>
      <c r="F542" s="10"/>
      <c r="G542" s="11"/>
      <c r="H542" s="11"/>
    </row>
    <row r="543" spans="4:8" ht="15.75" customHeight="1" x14ac:dyDescent="0.2">
      <c r="D543" s="10"/>
      <c r="E543" s="10"/>
      <c r="F543" s="10"/>
      <c r="G543" s="11"/>
      <c r="H543" s="11"/>
    </row>
    <row r="544" spans="4:8" ht="15.75" customHeight="1" x14ac:dyDescent="0.2">
      <c r="D544" s="10"/>
      <c r="E544" s="10"/>
      <c r="F544" s="10"/>
      <c r="G544" s="11"/>
      <c r="H544" s="11"/>
    </row>
    <row r="545" spans="4:8" ht="15.75" customHeight="1" x14ac:dyDescent="0.2">
      <c r="D545" s="10"/>
      <c r="E545" s="10"/>
      <c r="F545" s="10"/>
      <c r="G545" s="11"/>
      <c r="H545" s="11"/>
    </row>
    <row r="546" spans="4:8" ht="15.75" customHeight="1" x14ac:dyDescent="0.2">
      <c r="D546" s="10"/>
      <c r="E546" s="10"/>
      <c r="F546" s="10"/>
      <c r="G546" s="11"/>
      <c r="H546" s="11"/>
    </row>
    <row r="547" spans="4:8" ht="15.75" customHeight="1" x14ac:dyDescent="0.2">
      <c r="D547" s="10"/>
      <c r="E547" s="10"/>
      <c r="F547" s="10"/>
      <c r="G547" s="11"/>
      <c r="H547" s="11"/>
    </row>
    <row r="548" spans="4:8" ht="15.75" customHeight="1" x14ac:dyDescent="0.2">
      <c r="D548" s="10"/>
      <c r="E548" s="10"/>
      <c r="F548" s="10"/>
      <c r="G548" s="11"/>
      <c r="H548" s="11"/>
    </row>
    <row r="549" spans="4:8" ht="15.75" customHeight="1" x14ac:dyDescent="0.2">
      <c r="D549" s="10"/>
      <c r="E549" s="10"/>
      <c r="F549" s="10"/>
      <c r="G549" s="11"/>
      <c r="H549" s="11"/>
    </row>
    <row r="550" spans="4:8" ht="15.75" customHeight="1" x14ac:dyDescent="0.2">
      <c r="D550" s="10"/>
      <c r="E550" s="10"/>
      <c r="F550" s="10"/>
      <c r="G550" s="11"/>
      <c r="H550" s="11"/>
    </row>
    <row r="551" spans="4:8" ht="15.75" customHeight="1" x14ac:dyDescent="0.2">
      <c r="D551" s="10"/>
      <c r="E551" s="10"/>
      <c r="F551" s="10"/>
      <c r="G551" s="11"/>
      <c r="H551" s="11"/>
    </row>
    <row r="552" spans="4:8" ht="15.75" customHeight="1" x14ac:dyDescent="0.2">
      <c r="D552" s="10"/>
      <c r="E552" s="10"/>
      <c r="F552" s="10"/>
      <c r="G552" s="11"/>
      <c r="H552" s="11"/>
    </row>
    <row r="553" spans="4:8" ht="15.75" customHeight="1" x14ac:dyDescent="0.2">
      <c r="D553" s="10"/>
      <c r="E553" s="10"/>
      <c r="F553" s="10"/>
      <c r="G553" s="11"/>
      <c r="H553" s="11"/>
    </row>
    <row r="554" spans="4:8" ht="15.75" customHeight="1" x14ac:dyDescent="0.2">
      <c r="D554" s="10"/>
      <c r="E554" s="10"/>
      <c r="F554" s="10"/>
      <c r="G554" s="11"/>
      <c r="H554" s="11"/>
    </row>
    <row r="555" spans="4:8" ht="15.75" customHeight="1" x14ac:dyDescent="0.2">
      <c r="D555" s="10"/>
      <c r="E555" s="10"/>
      <c r="F555" s="10"/>
      <c r="G555" s="11"/>
      <c r="H555" s="11"/>
    </row>
    <row r="556" spans="4:8" ht="15.75" customHeight="1" x14ac:dyDescent="0.2">
      <c r="D556" s="10"/>
      <c r="E556" s="10"/>
      <c r="F556" s="10"/>
      <c r="G556" s="11"/>
      <c r="H556" s="11"/>
    </row>
    <row r="557" spans="4:8" ht="15.75" customHeight="1" x14ac:dyDescent="0.2">
      <c r="D557" s="10"/>
      <c r="E557" s="10"/>
      <c r="F557" s="10"/>
      <c r="G557" s="11"/>
      <c r="H557" s="11"/>
    </row>
    <row r="558" spans="4:8" ht="15.75" customHeight="1" x14ac:dyDescent="0.2">
      <c r="D558" s="10"/>
      <c r="E558" s="10"/>
      <c r="F558" s="10"/>
      <c r="G558" s="11"/>
      <c r="H558" s="11"/>
    </row>
    <row r="559" spans="4:8" ht="15.75" customHeight="1" x14ac:dyDescent="0.2">
      <c r="D559" s="10"/>
      <c r="E559" s="10"/>
      <c r="F559" s="10"/>
      <c r="G559" s="11"/>
      <c r="H559" s="11"/>
    </row>
    <row r="560" spans="4:8" ht="15.75" customHeight="1" x14ac:dyDescent="0.2">
      <c r="D560" s="10"/>
      <c r="E560" s="10"/>
      <c r="F560" s="10"/>
      <c r="G560" s="11"/>
      <c r="H560" s="11"/>
    </row>
    <row r="561" spans="4:8" ht="15.75" customHeight="1" x14ac:dyDescent="0.2">
      <c r="D561" s="10"/>
      <c r="E561" s="10"/>
      <c r="F561" s="10"/>
      <c r="G561" s="11"/>
      <c r="H561" s="11"/>
    </row>
    <row r="562" spans="4:8" ht="15.75" customHeight="1" x14ac:dyDescent="0.2">
      <c r="D562" s="10"/>
      <c r="E562" s="10"/>
      <c r="F562" s="10"/>
      <c r="G562" s="11"/>
      <c r="H562" s="11"/>
    </row>
    <row r="563" spans="4:8" ht="15.75" customHeight="1" x14ac:dyDescent="0.2">
      <c r="D563" s="10"/>
      <c r="E563" s="10"/>
      <c r="F563" s="10"/>
      <c r="G563" s="11"/>
      <c r="H563" s="11"/>
    </row>
    <row r="564" spans="4:8" ht="15.75" customHeight="1" x14ac:dyDescent="0.2">
      <c r="D564" s="10"/>
      <c r="E564" s="10"/>
      <c r="F564" s="10"/>
      <c r="G564" s="11"/>
      <c r="H564" s="11"/>
    </row>
    <row r="565" spans="4:8" ht="15.75" customHeight="1" x14ac:dyDescent="0.2">
      <c r="D565" s="10"/>
      <c r="E565" s="10"/>
      <c r="F565" s="10"/>
      <c r="G565" s="11"/>
      <c r="H565" s="11"/>
    </row>
    <row r="566" spans="4:8" ht="15.75" customHeight="1" x14ac:dyDescent="0.2">
      <c r="D566" s="10"/>
      <c r="E566" s="10"/>
      <c r="F566" s="10"/>
      <c r="G566" s="11"/>
      <c r="H566" s="11"/>
    </row>
    <row r="567" spans="4:8" ht="15.75" customHeight="1" x14ac:dyDescent="0.2">
      <c r="D567" s="10"/>
      <c r="E567" s="10"/>
      <c r="F567" s="10"/>
      <c r="G567" s="11"/>
      <c r="H567" s="11"/>
    </row>
    <row r="568" spans="4:8" ht="15.75" customHeight="1" x14ac:dyDescent="0.2">
      <c r="D568" s="10"/>
      <c r="E568" s="10"/>
      <c r="F568" s="10"/>
      <c r="G568" s="11"/>
      <c r="H568" s="11"/>
    </row>
    <row r="569" spans="4:8" ht="15.75" customHeight="1" x14ac:dyDescent="0.2">
      <c r="D569" s="10"/>
      <c r="E569" s="10"/>
      <c r="F569" s="10"/>
      <c r="G569" s="11"/>
      <c r="H569" s="11"/>
    </row>
    <row r="570" spans="4:8" ht="15.75" customHeight="1" x14ac:dyDescent="0.2">
      <c r="D570" s="10"/>
      <c r="E570" s="10"/>
      <c r="F570" s="10"/>
      <c r="G570" s="11"/>
      <c r="H570" s="11"/>
    </row>
    <row r="571" spans="4:8" ht="15.75" customHeight="1" x14ac:dyDescent="0.2">
      <c r="D571" s="10"/>
      <c r="E571" s="10"/>
      <c r="F571" s="10"/>
      <c r="G571" s="11"/>
      <c r="H571" s="11"/>
    </row>
    <row r="572" spans="4:8" ht="15.75" customHeight="1" x14ac:dyDescent="0.2">
      <c r="D572" s="10"/>
      <c r="E572" s="10"/>
      <c r="F572" s="10"/>
      <c r="G572" s="11"/>
      <c r="H572" s="11"/>
    </row>
    <row r="573" spans="4:8" ht="15.75" customHeight="1" x14ac:dyDescent="0.2">
      <c r="D573" s="10"/>
      <c r="E573" s="10"/>
      <c r="F573" s="10"/>
      <c r="G573" s="11"/>
      <c r="H573" s="11"/>
    </row>
    <row r="574" spans="4:8" ht="15.75" customHeight="1" x14ac:dyDescent="0.2">
      <c r="D574" s="10"/>
      <c r="E574" s="10"/>
      <c r="F574" s="10"/>
      <c r="G574" s="11"/>
      <c r="H574" s="11"/>
    </row>
    <row r="575" spans="4:8" ht="15.75" customHeight="1" x14ac:dyDescent="0.2">
      <c r="D575" s="10"/>
      <c r="E575" s="10"/>
      <c r="F575" s="10"/>
      <c r="G575" s="11"/>
      <c r="H575" s="11"/>
    </row>
    <row r="576" spans="4:8" ht="15.75" customHeight="1" x14ac:dyDescent="0.2">
      <c r="D576" s="10"/>
      <c r="E576" s="10"/>
      <c r="F576" s="10"/>
      <c r="G576" s="11"/>
      <c r="H576" s="11"/>
    </row>
    <row r="577" spans="4:8" ht="15.75" customHeight="1" x14ac:dyDescent="0.2">
      <c r="D577" s="10"/>
      <c r="E577" s="10"/>
      <c r="F577" s="10"/>
      <c r="G577" s="11"/>
      <c r="H577" s="11"/>
    </row>
    <row r="578" spans="4:8" ht="15.75" customHeight="1" x14ac:dyDescent="0.2">
      <c r="D578" s="10"/>
      <c r="E578" s="10"/>
      <c r="F578" s="10"/>
      <c r="G578" s="11"/>
      <c r="H578" s="11"/>
    </row>
    <row r="579" spans="4:8" ht="15.75" customHeight="1" x14ac:dyDescent="0.2">
      <c r="D579" s="10"/>
      <c r="E579" s="10"/>
      <c r="F579" s="10"/>
      <c r="G579" s="11"/>
      <c r="H579" s="11"/>
    </row>
    <row r="580" spans="4:8" ht="15.75" customHeight="1" x14ac:dyDescent="0.2">
      <c r="D580" s="10"/>
      <c r="E580" s="10"/>
      <c r="F580" s="10"/>
      <c r="G580" s="11"/>
      <c r="H580" s="11"/>
    </row>
    <row r="581" spans="4:8" ht="15.75" customHeight="1" x14ac:dyDescent="0.2">
      <c r="D581" s="10"/>
      <c r="E581" s="10"/>
      <c r="F581" s="10"/>
      <c r="G581" s="11"/>
      <c r="H581" s="11"/>
    </row>
    <row r="582" spans="4:8" ht="15.75" customHeight="1" x14ac:dyDescent="0.2">
      <c r="D582" s="10"/>
      <c r="E582" s="10"/>
      <c r="F582" s="10"/>
      <c r="G582" s="11"/>
      <c r="H582" s="11"/>
    </row>
    <row r="583" spans="4:8" ht="15.75" customHeight="1" x14ac:dyDescent="0.2">
      <c r="D583" s="10"/>
      <c r="E583" s="10"/>
      <c r="F583" s="10"/>
      <c r="G583" s="11"/>
      <c r="H583" s="11"/>
    </row>
    <row r="584" spans="4:8" ht="15.75" customHeight="1" x14ac:dyDescent="0.2">
      <c r="D584" s="10"/>
      <c r="E584" s="10"/>
      <c r="F584" s="10"/>
      <c r="G584" s="11"/>
      <c r="H584" s="11"/>
    </row>
    <row r="585" spans="4:8" ht="15.75" customHeight="1" x14ac:dyDescent="0.2">
      <c r="D585" s="10"/>
      <c r="E585" s="10"/>
      <c r="F585" s="10"/>
      <c r="G585" s="11"/>
      <c r="H585" s="11"/>
    </row>
    <row r="586" spans="4:8" ht="15.75" customHeight="1" x14ac:dyDescent="0.2">
      <c r="D586" s="10"/>
      <c r="E586" s="10"/>
      <c r="F586" s="10"/>
      <c r="G586" s="11"/>
      <c r="H586" s="11"/>
    </row>
    <row r="587" spans="4:8" ht="15.75" customHeight="1" x14ac:dyDescent="0.2">
      <c r="D587" s="10"/>
      <c r="E587" s="10"/>
      <c r="F587" s="10"/>
      <c r="G587" s="11"/>
      <c r="H587" s="11"/>
    </row>
    <row r="588" spans="4:8" ht="15.75" customHeight="1" x14ac:dyDescent="0.2">
      <c r="D588" s="10"/>
      <c r="E588" s="10"/>
      <c r="F588" s="10"/>
      <c r="G588" s="11"/>
      <c r="H588" s="11"/>
    </row>
    <row r="589" spans="4:8" ht="15.75" customHeight="1" x14ac:dyDescent="0.2">
      <c r="D589" s="10"/>
      <c r="E589" s="10"/>
      <c r="F589" s="10"/>
      <c r="G589" s="11"/>
      <c r="H589" s="11"/>
    </row>
    <row r="590" spans="4:8" ht="15.75" customHeight="1" x14ac:dyDescent="0.2">
      <c r="D590" s="10"/>
      <c r="E590" s="10"/>
      <c r="F590" s="10"/>
      <c r="G590" s="11"/>
      <c r="H590" s="11"/>
    </row>
    <row r="591" spans="4:8" ht="15.75" customHeight="1" x14ac:dyDescent="0.2">
      <c r="D591" s="10"/>
      <c r="E591" s="10"/>
      <c r="F591" s="10"/>
      <c r="G591" s="11"/>
      <c r="H591" s="11"/>
    </row>
    <row r="592" spans="4:8" ht="15.75" customHeight="1" x14ac:dyDescent="0.2">
      <c r="D592" s="10"/>
      <c r="E592" s="10"/>
      <c r="F592" s="10"/>
      <c r="G592" s="11"/>
      <c r="H592" s="11"/>
    </row>
    <row r="593" spans="4:8" ht="15.75" customHeight="1" x14ac:dyDescent="0.2">
      <c r="D593" s="10"/>
      <c r="E593" s="10"/>
      <c r="F593" s="10"/>
      <c r="G593" s="11"/>
      <c r="H593" s="11"/>
    </row>
    <row r="594" spans="4:8" ht="15.75" customHeight="1" x14ac:dyDescent="0.2">
      <c r="D594" s="10"/>
      <c r="E594" s="10"/>
      <c r="F594" s="10"/>
      <c r="G594" s="11"/>
      <c r="H594" s="11"/>
    </row>
    <row r="595" spans="4:8" ht="15.75" customHeight="1" x14ac:dyDescent="0.2">
      <c r="D595" s="10"/>
      <c r="E595" s="10"/>
      <c r="F595" s="10"/>
      <c r="G595" s="11"/>
      <c r="H595" s="11"/>
    </row>
    <row r="596" spans="4:8" ht="15.75" customHeight="1" x14ac:dyDescent="0.2">
      <c r="D596" s="10"/>
      <c r="E596" s="10"/>
      <c r="F596" s="10"/>
      <c r="G596" s="11"/>
      <c r="H596" s="11"/>
    </row>
    <row r="597" spans="4:8" ht="15.75" customHeight="1" x14ac:dyDescent="0.2">
      <c r="D597" s="10"/>
      <c r="E597" s="10"/>
      <c r="F597" s="10"/>
      <c r="G597" s="11"/>
      <c r="H597" s="11"/>
    </row>
    <row r="598" spans="4:8" ht="15.75" customHeight="1" x14ac:dyDescent="0.2">
      <c r="D598" s="10"/>
      <c r="E598" s="10"/>
      <c r="F598" s="10"/>
      <c r="G598" s="11"/>
      <c r="H598" s="11"/>
    </row>
    <row r="599" spans="4:8" ht="15.75" customHeight="1" x14ac:dyDescent="0.2">
      <c r="D599" s="10"/>
      <c r="E599" s="10"/>
      <c r="F599" s="10"/>
      <c r="G599" s="11"/>
      <c r="H599" s="11"/>
    </row>
    <row r="600" spans="4:8" ht="15.75" customHeight="1" x14ac:dyDescent="0.2">
      <c r="D600" s="10"/>
      <c r="E600" s="10"/>
      <c r="F600" s="10"/>
      <c r="G600" s="11"/>
      <c r="H600" s="11"/>
    </row>
    <row r="601" spans="4:8" ht="15.75" customHeight="1" x14ac:dyDescent="0.2">
      <c r="D601" s="10"/>
      <c r="E601" s="10"/>
      <c r="F601" s="10"/>
      <c r="G601" s="11"/>
      <c r="H601" s="11"/>
    </row>
    <row r="602" spans="4:8" ht="15.75" customHeight="1" x14ac:dyDescent="0.2">
      <c r="D602" s="10"/>
      <c r="E602" s="10"/>
      <c r="F602" s="10"/>
      <c r="G602" s="11"/>
      <c r="H602" s="11"/>
    </row>
    <row r="603" spans="4:8" ht="15.75" customHeight="1" x14ac:dyDescent="0.2">
      <c r="D603" s="10"/>
      <c r="E603" s="10"/>
      <c r="F603" s="10"/>
      <c r="G603" s="11"/>
      <c r="H603" s="11"/>
    </row>
    <row r="604" spans="4:8" ht="15.75" customHeight="1" x14ac:dyDescent="0.2">
      <c r="D604" s="10"/>
      <c r="E604" s="10"/>
      <c r="F604" s="10"/>
      <c r="G604" s="11"/>
      <c r="H604" s="11"/>
    </row>
    <row r="605" spans="4:8" ht="15.75" customHeight="1" x14ac:dyDescent="0.2">
      <c r="D605" s="10"/>
      <c r="E605" s="10"/>
      <c r="F605" s="10"/>
      <c r="G605" s="11"/>
      <c r="H605" s="11"/>
    </row>
    <row r="606" spans="4:8" ht="15.75" customHeight="1" x14ac:dyDescent="0.2">
      <c r="D606" s="10"/>
      <c r="E606" s="10"/>
      <c r="F606" s="10"/>
      <c r="G606" s="11"/>
      <c r="H606" s="11"/>
    </row>
    <row r="607" spans="4:8" ht="15.75" customHeight="1" x14ac:dyDescent="0.2">
      <c r="D607" s="10"/>
      <c r="E607" s="10"/>
      <c r="F607" s="10"/>
      <c r="G607" s="11"/>
      <c r="H607" s="11"/>
    </row>
    <row r="608" spans="4:8" ht="15.75" customHeight="1" x14ac:dyDescent="0.2">
      <c r="D608" s="10"/>
      <c r="E608" s="10"/>
      <c r="F608" s="10"/>
      <c r="G608" s="11"/>
      <c r="H608" s="11"/>
    </row>
    <row r="609" spans="4:8" ht="15.75" customHeight="1" x14ac:dyDescent="0.2">
      <c r="D609" s="10"/>
      <c r="E609" s="10"/>
      <c r="F609" s="10"/>
      <c r="G609" s="11"/>
      <c r="H609" s="11"/>
    </row>
    <row r="610" spans="4:8" ht="15.75" customHeight="1" x14ac:dyDescent="0.2">
      <c r="D610" s="10"/>
      <c r="E610" s="10"/>
      <c r="F610" s="10"/>
      <c r="G610" s="11"/>
      <c r="H610" s="11"/>
    </row>
    <row r="611" spans="4:8" ht="15.75" customHeight="1" x14ac:dyDescent="0.2">
      <c r="D611" s="10"/>
      <c r="E611" s="10"/>
      <c r="F611" s="10"/>
      <c r="G611" s="11"/>
      <c r="H611" s="11"/>
    </row>
    <row r="612" spans="4:8" ht="15.75" customHeight="1" x14ac:dyDescent="0.2">
      <c r="D612" s="10"/>
      <c r="E612" s="10"/>
      <c r="F612" s="10"/>
      <c r="G612" s="11"/>
      <c r="H612" s="11"/>
    </row>
    <row r="613" spans="4:8" ht="15.75" customHeight="1" x14ac:dyDescent="0.2">
      <c r="D613" s="10"/>
      <c r="E613" s="10"/>
      <c r="F613" s="10"/>
      <c r="G613" s="11"/>
      <c r="H613" s="11"/>
    </row>
    <row r="614" spans="4:8" ht="15.75" customHeight="1" x14ac:dyDescent="0.2">
      <c r="D614" s="10"/>
      <c r="E614" s="10"/>
      <c r="F614" s="10"/>
      <c r="G614" s="11"/>
      <c r="H614" s="11"/>
    </row>
    <row r="615" spans="4:8" ht="15.75" customHeight="1" x14ac:dyDescent="0.2">
      <c r="D615" s="10"/>
      <c r="E615" s="10"/>
      <c r="F615" s="10"/>
      <c r="G615" s="11"/>
      <c r="H615" s="11"/>
    </row>
    <row r="616" spans="4:8" ht="15.75" customHeight="1" x14ac:dyDescent="0.2">
      <c r="D616" s="10"/>
      <c r="E616" s="10"/>
      <c r="F616" s="10"/>
      <c r="G616" s="11"/>
      <c r="H616" s="11"/>
    </row>
    <row r="617" spans="4:8" ht="15.75" customHeight="1" x14ac:dyDescent="0.2">
      <c r="D617" s="10"/>
      <c r="E617" s="10"/>
      <c r="F617" s="10"/>
      <c r="G617" s="11"/>
      <c r="H617" s="11"/>
    </row>
    <row r="618" spans="4:8" ht="15.75" customHeight="1" x14ac:dyDescent="0.2">
      <c r="D618" s="10"/>
      <c r="E618" s="10"/>
      <c r="F618" s="10"/>
      <c r="G618" s="11"/>
      <c r="H618" s="11"/>
    </row>
    <row r="619" spans="4:8" ht="15.75" customHeight="1" x14ac:dyDescent="0.2">
      <c r="D619" s="10"/>
      <c r="E619" s="10"/>
      <c r="F619" s="10"/>
      <c r="G619" s="11"/>
      <c r="H619" s="11"/>
    </row>
    <row r="620" spans="4:8" ht="15.75" customHeight="1" x14ac:dyDescent="0.2">
      <c r="D620" s="10"/>
      <c r="E620" s="10"/>
      <c r="F620" s="10"/>
      <c r="G620" s="11"/>
      <c r="H620" s="11"/>
    </row>
    <row r="621" spans="4:8" ht="15.75" customHeight="1" x14ac:dyDescent="0.2">
      <c r="D621" s="10"/>
      <c r="E621" s="10"/>
      <c r="F621" s="10"/>
      <c r="G621" s="11"/>
      <c r="H621" s="11"/>
    </row>
    <row r="622" spans="4:8" ht="15.75" customHeight="1" x14ac:dyDescent="0.2">
      <c r="D622" s="10"/>
      <c r="E622" s="10"/>
      <c r="F622" s="10"/>
      <c r="G622" s="11"/>
      <c r="H622" s="11"/>
    </row>
    <row r="623" spans="4:8" ht="15.75" customHeight="1" x14ac:dyDescent="0.2">
      <c r="D623" s="10"/>
      <c r="E623" s="10"/>
      <c r="F623" s="10"/>
      <c r="G623" s="11"/>
      <c r="H623" s="11"/>
    </row>
    <row r="624" spans="4:8" ht="15.75" customHeight="1" x14ac:dyDescent="0.2">
      <c r="D624" s="10"/>
      <c r="E624" s="10"/>
      <c r="F624" s="10"/>
      <c r="G624" s="11"/>
      <c r="H624" s="11"/>
    </row>
    <row r="625" spans="4:8" ht="15.75" customHeight="1" x14ac:dyDescent="0.2">
      <c r="D625" s="10"/>
      <c r="E625" s="10"/>
      <c r="F625" s="10"/>
      <c r="G625" s="11"/>
      <c r="H625" s="11"/>
    </row>
    <row r="626" spans="4:8" ht="15.75" customHeight="1" x14ac:dyDescent="0.2">
      <c r="D626" s="10"/>
      <c r="E626" s="10"/>
      <c r="F626" s="10"/>
      <c r="G626" s="11"/>
      <c r="H626" s="11"/>
    </row>
    <row r="627" spans="4:8" ht="15.75" customHeight="1" x14ac:dyDescent="0.2">
      <c r="D627" s="10"/>
      <c r="E627" s="10"/>
      <c r="F627" s="10"/>
      <c r="G627" s="11"/>
      <c r="H627" s="11"/>
    </row>
    <row r="628" spans="4:8" ht="15.75" customHeight="1" x14ac:dyDescent="0.2">
      <c r="D628" s="10"/>
      <c r="E628" s="10"/>
      <c r="F628" s="10"/>
      <c r="G628" s="11"/>
      <c r="H628" s="11"/>
    </row>
    <row r="629" spans="4:8" ht="15.75" customHeight="1" x14ac:dyDescent="0.2">
      <c r="D629" s="10"/>
      <c r="E629" s="10"/>
      <c r="F629" s="10"/>
      <c r="G629" s="11"/>
      <c r="H629" s="11"/>
    </row>
    <row r="630" spans="4:8" ht="15.75" customHeight="1" x14ac:dyDescent="0.2">
      <c r="D630" s="10"/>
      <c r="E630" s="10"/>
      <c r="F630" s="10"/>
      <c r="G630" s="11"/>
      <c r="H630" s="11"/>
    </row>
    <row r="631" spans="4:8" ht="15.75" customHeight="1" x14ac:dyDescent="0.2">
      <c r="D631" s="10"/>
      <c r="E631" s="10"/>
      <c r="F631" s="10"/>
      <c r="G631" s="11"/>
      <c r="H631" s="11"/>
    </row>
    <row r="632" spans="4:8" ht="15.75" customHeight="1" x14ac:dyDescent="0.2">
      <c r="D632" s="10"/>
      <c r="E632" s="10"/>
      <c r="F632" s="10"/>
      <c r="G632" s="11"/>
      <c r="H632" s="11"/>
    </row>
    <row r="633" spans="4:8" ht="15.75" customHeight="1" x14ac:dyDescent="0.2">
      <c r="D633" s="10"/>
      <c r="E633" s="10"/>
      <c r="F633" s="10"/>
      <c r="G633" s="11"/>
      <c r="H633" s="11"/>
    </row>
    <row r="634" spans="4:8" ht="15.75" customHeight="1" x14ac:dyDescent="0.2">
      <c r="D634" s="10"/>
      <c r="E634" s="10"/>
      <c r="F634" s="10"/>
      <c r="G634" s="11"/>
      <c r="H634" s="11"/>
    </row>
    <row r="635" spans="4:8" ht="15.75" customHeight="1" x14ac:dyDescent="0.2">
      <c r="D635" s="10"/>
      <c r="E635" s="10"/>
      <c r="F635" s="10"/>
      <c r="G635" s="11"/>
      <c r="H635" s="11"/>
    </row>
    <row r="636" spans="4:8" ht="15.75" customHeight="1" x14ac:dyDescent="0.2">
      <c r="D636" s="10"/>
      <c r="E636" s="10"/>
      <c r="F636" s="10"/>
      <c r="G636" s="11"/>
      <c r="H636" s="11"/>
    </row>
    <row r="637" spans="4:8" ht="15.75" customHeight="1" x14ac:dyDescent="0.2">
      <c r="D637" s="10"/>
      <c r="E637" s="10"/>
      <c r="F637" s="10"/>
      <c r="G637" s="11"/>
      <c r="H637" s="11"/>
    </row>
    <row r="638" spans="4:8" ht="15.75" customHeight="1" x14ac:dyDescent="0.2">
      <c r="D638" s="10"/>
      <c r="E638" s="10"/>
      <c r="F638" s="10"/>
      <c r="G638" s="11"/>
      <c r="H638" s="11"/>
    </row>
    <row r="639" spans="4:8" ht="15.75" customHeight="1" x14ac:dyDescent="0.2">
      <c r="D639" s="10"/>
      <c r="E639" s="10"/>
      <c r="F639" s="10"/>
      <c r="G639" s="11"/>
      <c r="H639" s="11"/>
    </row>
    <row r="640" spans="4:8" ht="15.75" customHeight="1" x14ac:dyDescent="0.2">
      <c r="D640" s="10"/>
      <c r="E640" s="10"/>
      <c r="F640" s="10"/>
      <c r="G640" s="11"/>
      <c r="H640" s="11"/>
    </row>
    <row r="641" spans="4:8" ht="15.75" customHeight="1" x14ac:dyDescent="0.2">
      <c r="D641" s="10"/>
      <c r="E641" s="10"/>
      <c r="F641" s="10"/>
      <c r="G641" s="11"/>
      <c r="H641" s="11"/>
    </row>
    <row r="642" spans="4:8" ht="15.75" customHeight="1" x14ac:dyDescent="0.2">
      <c r="D642" s="10"/>
      <c r="E642" s="10"/>
      <c r="F642" s="10"/>
      <c r="G642" s="11"/>
      <c r="H642" s="11"/>
    </row>
    <row r="643" spans="4:8" ht="15.75" customHeight="1" x14ac:dyDescent="0.2">
      <c r="D643" s="10"/>
      <c r="E643" s="10"/>
      <c r="F643" s="10"/>
      <c r="G643" s="11"/>
      <c r="H643" s="11"/>
    </row>
    <row r="644" spans="4:8" ht="15.75" customHeight="1" x14ac:dyDescent="0.2">
      <c r="D644" s="10"/>
      <c r="E644" s="10"/>
      <c r="F644" s="10"/>
      <c r="G644" s="11"/>
      <c r="H644" s="11"/>
    </row>
    <row r="645" spans="4:8" ht="15.75" customHeight="1" x14ac:dyDescent="0.2">
      <c r="D645" s="10"/>
      <c r="E645" s="10"/>
      <c r="F645" s="10"/>
      <c r="G645" s="11"/>
      <c r="H645" s="11"/>
    </row>
    <row r="646" spans="4:8" ht="15.75" customHeight="1" x14ac:dyDescent="0.2">
      <c r="D646" s="10"/>
      <c r="E646" s="10"/>
      <c r="F646" s="10"/>
      <c r="G646" s="11"/>
      <c r="H646" s="11"/>
    </row>
    <row r="647" spans="4:8" ht="15.75" customHeight="1" x14ac:dyDescent="0.2">
      <c r="D647" s="10"/>
      <c r="E647" s="10"/>
      <c r="F647" s="10"/>
      <c r="G647" s="11"/>
      <c r="H647" s="11"/>
    </row>
    <row r="648" spans="4:8" ht="15.75" customHeight="1" x14ac:dyDescent="0.2">
      <c r="D648" s="10"/>
      <c r="E648" s="10"/>
      <c r="F648" s="10"/>
      <c r="G648" s="11"/>
      <c r="H648" s="11"/>
    </row>
    <row r="649" spans="4:8" ht="15.75" customHeight="1" x14ac:dyDescent="0.2">
      <c r="D649" s="10"/>
      <c r="E649" s="10"/>
      <c r="F649" s="10"/>
      <c r="G649" s="11"/>
      <c r="H649" s="11"/>
    </row>
    <row r="650" spans="4:8" ht="15.75" customHeight="1" x14ac:dyDescent="0.2">
      <c r="D650" s="10"/>
      <c r="E650" s="10"/>
      <c r="F650" s="10"/>
      <c r="G650" s="11"/>
      <c r="H650" s="11"/>
    </row>
    <row r="651" spans="4:8" ht="15.75" customHeight="1" x14ac:dyDescent="0.2">
      <c r="D651" s="10"/>
      <c r="E651" s="10"/>
      <c r="F651" s="10"/>
      <c r="G651" s="11"/>
      <c r="H651" s="11"/>
    </row>
    <row r="652" spans="4:8" ht="15.75" customHeight="1" x14ac:dyDescent="0.2">
      <c r="D652" s="10"/>
      <c r="E652" s="10"/>
      <c r="F652" s="10"/>
      <c r="G652" s="11"/>
      <c r="H652" s="11"/>
    </row>
    <row r="653" spans="4:8" ht="15.75" customHeight="1" x14ac:dyDescent="0.2">
      <c r="D653" s="10"/>
      <c r="E653" s="10"/>
      <c r="F653" s="10"/>
      <c r="G653" s="11"/>
      <c r="H653" s="11"/>
    </row>
    <row r="654" spans="4:8" ht="15.75" customHeight="1" x14ac:dyDescent="0.2">
      <c r="D654" s="10"/>
      <c r="E654" s="10"/>
      <c r="F654" s="10"/>
      <c r="G654" s="11"/>
      <c r="H654" s="11"/>
    </row>
    <row r="655" spans="4:8" ht="15.75" customHeight="1" x14ac:dyDescent="0.2">
      <c r="D655" s="10"/>
      <c r="E655" s="10"/>
      <c r="F655" s="10"/>
      <c r="G655" s="11"/>
      <c r="H655" s="11"/>
    </row>
    <row r="656" spans="4:8" ht="15.75" customHeight="1" x14ac:dyDescent="0.2">
      <c r="D656" s="10"/>
      <c r="E656" s="10"/>
      <c r="F656" s="10"/>
      <c r="G656" s="11"/>
      <c r="H656" s="11"/>
    </row>
    <row r="657" spans="4:8" ht="15.75" customHeight="1" x14ac:dyDescent="0.2">
      <c r="D657" s="10"/>
      <c r="E657" s="10"/>
      <c r="F657" s="10"/>
      <c r="G657" s="11"/>
      <c r="H657" s="11"/>
    </row>
    <row r="658" spans="4:8" ht="15.75" customHeight="1" x14ac:dyDescent="0.2">
      <c r="D658" s="10"/>
      <c r="E658" s="10"/>
      <c r="F658" s="10"/>
      <c r="G658" s="11"/>
      <c r="H658" s="11"/>
    </row>
    <row r="659" spans="4:8" ht="15.75" customHeight="1" x14ac:dyDescent="0.2">
      <c r="D659" s="10"/>
      <c r="E659" s="10"/>
      <c r="F659" s="10"/>
      <c r="G659" s="11"/>
      <c r="H659" s="11"/>
    </row>
    <row r="660" spans="4:8" ht="15.75" customHeight="1" x14ac:dyDescent="0.2">
      <c r="D660" s="10"/>
      <c r="E660" s="10"/>
      <c r="F660" s="10"/>
      <c r="G660" s="11"/>
      <c r="H660" s="11"/>
    </row>
    <row r="661" spans="4:8" ht="15.75" customHeight="1" x14ac:dyDescent="0.2">
      <c r="D661" s="10"/>
      <c r="E661" s="10"/>
      <c r="F661" s="10"/>
      <c r="G661" s="11"/>
      <c r="H661" s="11"/>
    </row>
    <row r="662" spans="4:8" ht="15.75" customHeight="1" x14ac:dyDescent="0.2">
      <c r="D662" s="10"/>
      <c r="E662" s="10"/>
      <c r="F662" s="10"/>
      <c r="G662" s="11"/>
      <c r="H662" s="11"/>
    </row>
    <row r="663" spans="4:8" ht="15.75" customHeight="1" x14ac:dyDescent="0.2">
      <c r="D663" s="10"/>
      <c r="E663" s="10"/>
      <c r="F663" s="10"/>
      <c r="G663" s="11"/>
      <c r="H663" s="11"/>
    </row>
    <row r="664" spans="4:8" ht="15.75" customHeight="1" x14ac:dyDescent="0.2">
      <c r="D664" s="10"/>
      <c r="E664" s="10"/>
      <c r="F664" s="10"/>
      <c r="G664" s="11"/>
      <c r="H664" s="11"/>
    </row>
    <row r="665" spans="4:8" ht="15.75" customHeight="1" x14ac:dyDescent="0.2">
      <c r="D665" s="10"/>
      <c r="E665" s="10"/>
      <c r="F665" s="10"/>
      <c r="G665" s="11"/>
      <c r="H665" s="11"/>
    </row>
    <row r="666" spans="4:8" ht="15.75" customHeight="1" x14ac:dyDescent="0.2">
      <c r="D666" s="10"/>
      <c r="E666" s="10"/>
      <c r="F666" s="10"/>
      <c r="G666" s="11"/>
      <c r="H666" s="11"/>
    </row>
    <row r="667" spans="4:8" ht="15.75" customHeight="1" x14ac:dyDescent="0.2">
      <c r="D667" s="10"/>
      <c r="E667" s="10"/>
      <c r="F667" s="10"/>
      <c r="G667" s="11"/>
      <c r="H667" s="11"/>
    </row>
    <row r="668" spans="4:8" ht="15.75" customHeight="1" x14ac:dyDescent="0.2">
      <c r="D668" s="10"/>
      <c r="E668" s="10"/>
      <c r="F668" s="10"/>
      <c r="G668" s="11"/>
      <c r="H668" s="11"/>
    </row>
    <row r="669" spans="4:8" ht="15.75" customHeight="1" x14ac:dyDescent="0.2">
      <c r="D669" s="10"/>
      <c r="E669" s="10"/>
      <c r="F669" s="10"/>
      <c r="G669" s="11"/>
      <c r="H669" s="11"/>
    </row>
    <row r="670" spans="4:8" ht="15.75" customHeight="1" x14ac:dyDescent="0.2">
      <c r="D670" s="10"/>
      <c r="E670" s="10"/>
      <c r="F670" s="10"/>
      <c r="G670" s="11"/>
      <c r="H670" s="11"/>
    </row>
    <row r="671" spans="4:8" ht="15.75" customHeight="1" x14ac:dyDescent="0.2">
      <c r="D671" s="10"/>
      <c r="E671" s="10"/>
      <c r="F671" s="10"/>
      <c r="G671" s="11"/>
      <c r="H671" s="11"/>
    </row>
    <row r="672" spans="4:8" ht="15.75" customHeight="1" x14ac:dyDescent="0.2">
      <c r="D672" s="10"/>
      <c r="E672" s="10"/>
      <c r="F672" s="10"/>
      <c r="G672" s="11"/>
      <c r="H672" s="11"/>
    </row>
    <row r="673" spans="4:8" ht="15.75" customHeight="1" x14ac:dyDescent="0.2">
      <c r="D673" s="10"/>
      <c r="E673" s="10"/>
      <c r="F673" s="10"/>
      <c r="G673" s="11"/>
      <c r="H673" s="11"/>
    </row>
    <row r="674" spans="4:8" ht="15.75" customHeight="1" x14ac:dyDescent="0.2">
      <c r="D674" s="10"/>
      <c r="E674" s="10"/>
      <c r="F674" s="10"/>
      <c r="G674" s="11"/>
      <c r="H674" s="11"/>
    </row>
    <row r="675" spans="4:8" ht="15.75" customHeight="1" x14ac:dyDescent="0.2">
      <c r="D675" s="10"/>
      <c r="E675" s="10"/>
      <c r="F675" s="10"/>
      <c r="G675" s="11"/>
      <c r="H675" s="11"/>
    </row>
    <row r="676" spans="4:8" ht="15.75" customHeight="1" x14ac:dyDescent="0.2">
      <c r="D676" s="10"/>
      <c r="E676" s="10"/>
      <c r="F676" s="10"/>
      <c r="G676" s="11"/>
      <c r="H676" s="11"/>
    </row>
    <row r="677" spans="4:8" ht="15.75" customHeight="1" x14ac:dyDescent="0.2">
      <c r="D677" s="10"/>
      <c r="E677" s="10"/>
      <c r="F677" s="10"/>
      <c r="G677" s="11"/>
      <c r="H677" s="11"/>
    </row>
    <row r="678" spans="4:8" ht="15.75" customHeight="1" x14ac:dyDescent="0.2">
      <c r="D678" s="10"/>
      <c r="E678" s="10"/>
      <c r="F678" s="10"/>
      <c r="G678" s="11"/>
      <c r="H678" s="11"/>
    </row>
    <row r="679" spans="4:8" ht="15.75" customHeight="1" x14ac:dyDescent="0.2">
      <c r="D679" s="10"/>
      <c r="E679" s="10"/>
      <c r="F679" s="10"/>
      <c r="G679" s="11"/>
      <c r="H679" s="11"/>
    </row>
    <row r="680" spans="4:8" ht="15.75" customHeight="1" x14ac:dyDescent="0.2">
      <c r="D680" s="10"/>
      <c r="E680" s="10"/>
      <c r="F680" s="10"/>
      <c r="G680" s="11"/>
      <c r="H680" s="11"/>
    </row>
    <row r="681" spans="4:8" ht="15.75" customHeight="1" x14ac:dyDescent="0.2">
      <c r="D681" s="10"/>
      <c r="E681" s="10"/>
      <c r="F681" s="10"/>
      <c r="G681" s="11"/>
      <c r="H681" s="11"/>
    </row>
    <row r="682" spans="4:8" ht="15.75" customHeight="1" x14ac:dyDescent="0.2">
      <c r="D682" s="10"/>
      <c r="E682" s="10"/>
      <c r="F682" s="10"/>
      <c r="G682" s="11"/>
      <c r="H682" s="11"/>
    </row>
    <row r="683" spans="4:8" ht="15.75" customHeight="1" x14ac:dyDescent="0.2">
      <c r="D683" s="10"/>
      <c r="E683" s="10"/>
      <c r="F683" s="10"/>
      <c r="G683" s="11"/>
      <c r="H683" s="11"/>
    </row>
    <row r="684" spans="4:8" ht="15.75" customHeight="1" x14ac:dyDescent="0.2">
      <c r="D684" s="10"/>
      <c r="E684" s="10"/>
      <c r="F684" s="10"/>
      <c r="G684" s="11"/>
      <c r="H684" s="11"/>
    </row>
    <row r="685" spans="4:8" ht="15.75" customHeight="1" x14ac:dyDescent="0.2">
      <c r="D685" s="10"/>
      <c r="E685" s="10"/>
      <c r="F685" s="10"/>
      <c r="G685" s="11"/>
      <c r="H685" s="11"/>
    </row>
    <row r="686" spans="4:8" ht="15.75" customHeight="1" x14ac:dyDescent="0.2">
      <c r="D686" s="10"/>
      <c r="E686" s="10"/>
      <c r="F686" s="10"/>
      <c r="G686" s="11"/>
      <c r="H686" s="11"/>
    </row>
    <row r="687" spans="4:8" ht="15.75" customHeight="1" x14ac:dyDescent="0.2">
      <c r="D687" s="10"/>
      <c r="E687" s="10"/>
      <c r="F687" s="10"/>
      <c r="G687" s="11"/>
      <c r="H687" s="11"/>
    </row>
    <row r="688" spans="4:8" ht="15.75" customHeight="1" x14ac:dyDescent="0.2">
      <c r="D688" s="10"/>
      <c r="E688" s="10"/>
      <c r="F688" s="10"/>
      <c r="G688" s="11"/>
      <c r="H688" s="11"/>
    </row>
    <row r="689" spans="4:8" ht="15.75" customHeight="1" x14ac:dyDescent="0.2">
      <c r="D689" s="10"/>
      <c r="E689" s="10"/>
      <c r="F689" s="10"/>
      <c r="G689" s="11"/>
      <c r="H689" s="11"/>
    </row>
    <row r="690" spans="4:8" ht="15.75" customHeight="1" x14ac:dyDescent="0.2">
      <c r="D690" s="10"/>
      <c r="E690" s="10"/>
      <c r="F690" s="10"/>
      <c r="G690" s="11"/>
      <c r="H690" s="11"/>
    </row>
    <row r="691" spans="4:8" ht="15.75" customHeight="1" x14ac:dyDescent="0.2">
      <c r="D691" s="10"/>
      <c r="E691" s="10"/>
      <c r="F691" s="10"/>
      <c r="G691" s="11"/>
      <c r="H691" s="11"/>
    </row>
    <row r="692" spans="4:8" ht="15.75" customHeight="1" x14ac:dyDescent="0.2">
      <c r="D692" s="10"/>
      <c r="E692" s="10"/>
      <c r="F692" s="10"/>
      <c r="G692" s="11"/>
      <c r="H692" s="11"/>
    </row>
    <row r="693" spans="4:8" ht="15.75" customHeight="1" x14ac:dyDescent="0.2">
      <c r="D693" s="10"/>
      <c r="E693" s="10"/>
      <c r="F693" s="10"/>
      <c r="G693" s="11"/>
      <c r="H693" s="11"/>
    </row>
    <row r="694" spans="4:8" ht="15.75" customHeight="1" x14ac:dyDescent="0.2">
      <c r="D694" s="10"/>
      <c r="E694" s="10"/>
      <c r="F694" s="10"/>
      <c r="G694" s="11"/>
      <c r="H694" s="11"/>
    </row>
    <row r="695" spans="4:8" ht="15.75" customHeight="1" x14ac:dyDescent="0.2">
      <c r="D695" s="10"/>
      <c r="E695" s="10"/>
      <c r="F695" s="10"/>
      <c r="G695" s="11"/>
      <c r="H695" s="11"/>
    </row>
    <row r="696" spans="4:8" ht="15.75" customHeight="1" x14ac:dyDescent="0.2">
      <c r="D696" s="10"/>
      <c r="E696" s="10"/>
      <c r="F696" s="10"/>
      <c r="G696" s="11"/>
      <c r="H696" s="11"/>
    </row>
    <row r="697" spans="4:8" ht="15.75" customHeight="1" x14ac:dyDescent="0.2">
      <c r="D697" s="10"/>
      <c r="E697" s="10"/>
      <c r="F697" s="10"/>
      <c r="G697" s="11"/>
      <c r="H697" s="11"/>
    </row>
    <row r="698" spans="4:8" ht="15.75" customHeight="1" x14ac:dyDescent="0.2">
      <c r="D698" s="10"/>
      <c r="E698" s="10"/>
      <c r="F698" s="10"/>
      <c r="G698" s="11"/>
      <c r="H698" s="11"/>
    </row>
    <row r="699" spans="4:8" ht="15.75" customHeight="1" x14ac:dyDescent="0.2">
      <c r="D699" s="10"/>
      <c r="E699" s="10"/>
      <c r="F699" s="10"/>
      <c r="G699" s="11"/>
      <c r="H699" s="11"/>
    </row>
    <row r="700" spans="4:8" ht="15.75" customHeight="1" x14ac:dyDescent="0.2">
      <c r="D700" s="10"/>
      <c r="E700" s="10"/>
      <c r="F700" s="10"/>
      <c r="G700" s="11"/>
      <c r="H700" s="11"/>
    </row>
    <row r="701" spans="4:8" ht="15.75" customHeight="1" x14ac:dyDescent="0.2">
      <c r="D701" s="10"/>
      <c r="E701" s="10"/>
      <c r="F701" s="10"/>
      <c r="G701" s="11"/>
      <c r="H701" s="11"/>
    </row>
    <row r="702" spans="4:8" ht="15.75" customHeight="1" x14ac:dyDescent="0.2">
      <c r="D702" s="10"/>
      <c r="E702" s="10"/>
      <c r="F702" s="10"/>
      <c r="G702" s="11"/>
      <c r="H702" s="11"/>
    </row>
    <row r="703" spans="4:8" ht="15.75" customHeight="1" x14ac:dyDescent="0.2">
      <c r="D703" s="10"/>
      <c r="E703" s="10"/>
      <c r="F703" s="10"/>
      <c r="G703" s="11"/>
      <c r="H703" s="11"/>
    </row>
    <row r="704" spans="4:8" ht="15.75" customHeight="1" x14ac:dyDescent="0.2">
      <c r="D704" s="10"/>
      <c r="E704" s="10"/>
      <c r="F704" s="10"/>
      <c r="G704" s="11"/>
      <c r="H704" s="11"/>
    </row>
    <row r="705" spans="4:8" ht="15.75" customHeight="1" x14ac:dyDescent="0.2">
      <c r="D705" s="10"/>
      <c r="E705" s="10"/>
      <c r="F705" s="10"/>
      <c r="G705" s="11"/>
      <c r="H705" s="11"/>
    </row>
    <row r="706" spans="4:8" ht="15.75" customHeight="1" x14ac:dyDescent="0.2">
      <c r="D706" s="10"/>
      <c r="E706" s="10"/>
      <c r="F706" s="10"/>
      <c r="G706" s="11"/>
      <c r="H706" s="11"/>
    </row>
    <row r="707" spans="4:8" ht="15.75" customHeight="1" x14ac:dyDescent="0.2">
      <c r="D707" s="10"/>
      <c r="E707" s="10"/>
      <c r="F707" s="10"/>
      <c r="G707" s="11"/>
      <c r="H707" s="11"/>
    </row>
    <row r="708" spans="4:8" ht="15.75" customHeight="1" x14ac:dyDescent="0.2">
      <c r="D708" s="10"/>
      <c r="E708" s="10"/>
      <c r="F708" s="10"/>
      <c r="G708" s="11"/>
      <c r="H708" s="11"/>
    </row>
    <row r="709" spans="4:8" ht="15.75" customHeight="1" x14ac:dyDescent="0.2">
      <c r="D709" s="10"/>
      <c r="E709" s="10"/>
      <c r="F709" s="10"/>
      <c r="G709" s="11"/>
      <c r="H709" s="11"/>
    </row>
    <row r="710" spans="4:8" ht="15.75" customHeight="1" x14ac:dyDescent="0.2">
      <c r="D710" s="10"/>
      <c r="E710" s="10"/>
      <c r="F710" s="10"/>
      <c r="G710" s="11"/>
      <c r="H710" s="11"/>
    </row>
    <row r="711" spans="4:8" ht="15.75" customHeight="1" x14ac:dyDescent="0.2">
      <c r="D711" s="10"/>
      <c r="E711" s="10"/>
      <c r="F711" s="10"/>
      <c r="G711" s="11"/>
      <c r="H711" s="11"/>
    </row>
    <row r="712" spans="4:8" ht="15.75" customHeight="1" x14ac:dyDescent="0.2">
      <c r="D712" s="10"/>
      <c r="E712" s="10"/>
      <c r="F712" s="10"/>
      <c r="G712" s="11"/>
      <c r="H712" s="11"/>
    </row>
    <row r="713" spans="4:8" ht="15.75" customHeight="1" x14ac:dyDescent="0.2">
      <c r="D713" s="10"/>
      <c r="E713" s="10"/>
      <c r="F713" s="10"/>
      <c r="G713" s="11"/>
      <c r="H713" s="11"/>
    </row>
    <row r="714" spans="4:8" ht="15.75" customHeight="1" x14ac:dyDescent="0.2">
      <c r="D714" s="10"/>
      <c r="E714" s="10"/>
      <c r="F714" s="10"/>
      <c r="G714" s="11"/>
      <c r="H714" s="11"/>
    </row>
    <row r="715" spans="4:8" ht="15.75" customHeight="1" x14ac:dyDescent="0.2">
      <c r="D715" s="10"/>
      <c r="E715" s="10"/>
      <c r="F715" s="10"/>
      <c r="G715" s="11"/>
      <c r="H715" s="11"/>
    </row>
    <row r="716" spans="4:8" ht="15.75" customHeight="1" x14ac:dyDescent="0.2">
      <c r="D716" s="10"/>
      <c r="E716" s="10"/>
      <c r="F716" s="10"/>
      <c r="G716" s="11"/>
      <c r="H716" s="11"/>
    </row>
    <row r="717" spans="4:8" ht="15.75" customHeight="1" x14ac:dyDescent="0.2">
      <c r="D717" s="10"/>
      <c r="E717" s="10"/>
      <c r="F717" s="10"/>
      <c r="G717" s="11"/>
      <c r="H717" s="11"/>
    </row>
    <row r="718" spans="4:8" ht="15.75" customHeight="1" x14ac:dyDescent="0.2">
      <c r="D718" s="10"/>
      <c r="E718" s="10"/>
      <c r="F718" s="10"/>
      <c r="G718" s="11"/>
      <c r="H718" s="11"/>
    </row>
    <row r="719" spans="4:8" ht="15.75" customHeight="1" x14ac:dyDescent="0.2">
      <c r="D719" s="10"/>
      <c r="E719" s="10"/>
      <c r="F719" s="10"/>
      <c r="G719" s="11"/>
      <c r="H719" s="11"/>
    </row>
    <row r="720" spans="4:8" ht="15.75" customHeight="1" x14ac:dyDescent="0.2">
      <c r="D720" s="10"/>
      <c r="E720" s="10"/>
      <c r="F720" s="10"/>
      <c r="G720" s="11"/>
      <c r="H720" s="11"/>
    </row>
    <row r="721" spans="4:8" ht="15.75" customHeight="1" x14ac:dyDescent="0.2">
      <c r="D721" s="10"/>
      <c r="E721" s="10"/>
      <c r="F721" s="10"/>
      <c r="G721" s="11"/>
      <c r="H721" s="11"/>
    </row>
    <row r="722" spans="4:8" ht="15.75" customHeight="1" x14ac:dyDescent="0.2">
      <c r="D722" s="10"/>
      <c r="E722" s="10"/>
      <c r="F722" s="10"/>
      <c r="G722" s="11"/>
      <c r="H722" s="11"/>
    </row>
    <row r="723" spans="4:8" ht="15.75" customHeight="1" x14ac:dyDescent="0.2">
      <c r="D723" s="10"/>
      <c r="E723" s="10"/>
      <c r="F723" s="10"/>
      <c r="G723" s="11"/>
      <c r="H723" s="11"/>
    </row>
    <row r="724" spans="4:8" ht="15.75" customHeight="1" x14ac:dyDescent="0.2">
      <c r="D724" s="10"/>
      <c r="E724" s="10"/>
      <c r="F724" s="10"/>
      <c r="G724" s="11"/>
      <c r="H724" s="11"/>
    </row>
    <row r="725" spans="4:8" ht="15.75" customHeight="1" x14ac:dyDescent="0.2">
      <c r="D725" s="10"/>
      <c r="E725" s="10"/>
      <c r="F725" s="10"/>
      <c r="G725" s="11"/>
      <c r="H725" s="11"/>
    </row>
    <row r="726" spans="4:8" ht="15.75" customHeight="1" x14ac:dyDescent="0.2">
      <c r="D726" s="10"/>
      <c r="E726" s="10"/>
      <c r="F726" s="10"/>
      <c r="G726" s="11"/>
      <c r="H726" s="11"/>
    </row>
    <row r="727" spans="4:8" ht="15.75" customHeight="1" x14ac:dyDescent="0.2">
      <c r="D727" s="10"/>
      <c r="E727" s="10"/>
      <c r="F727" s="10"/>
      <c r="G727" s="11"/>
      <c r="H727" s="11"/>
    </row>
    <row r="728" spans="4:8" ht="15.75" customHeight="1" x14ac:dyDescent="0.2">
      <c r="D728" s="10"/>
      <c r="E728" s="10"/>
      <c r="F728" s="10"/>
      <c r="G728" s="11"/>
      <c r="H728" s="11"/>
    </row>
    <row r="729" spans="4:8" ht="15.75" customHeight="1" x14ac:dyDescent="0.2">
      <c r="D729" s="10"/>
      <c r="E729" s="10"/>
      <c r="F729" s="10"/>
      <c r="G729" s="11"/>
      <c r="H729" s="11"/>
    </row>
    <row r="730" spans="4:8" ht="15.75" customHeight="1" x14ac:dyDescent="0.2">
      <c r="D730" s="10"/>
      <c r="E730" s="10"/>
      <c r="F730" s="10"/>
      <c r="G730" s="11"/>
      <c r="H730" s="11"/>
    </row>
    <row r="731" spans="4:8" ht="15.75" customHeight="1" x14ac:dyDescent="0.2">
      <c r="D731" s="10"/>
      <c r="E731" s="10"/>
      <c r="F731" s="10"/>
      <c r="G731" s="11"/>
      <c r="H731" s="11"/>
    </row>
    <row r="732" spans="4:8" ht="15.75" customHeight="1" x14ac:dyDescent="0.2">
      <c r="D732" s="10"/>
      <c r="E732" s="10"/>
      <c r="F732" s="10"/>
      <c r="G732" s="11"/>
      <c r="H732" s="11"/>
    </row>
    <row r="733" spans="4:8" ht="15.75" customHeight="1" x14ac:dyDescent="0.2">
      <c r="D733" s="10"/>
      <c r="E733" s="10"/>
      <c r="F733" s="10"/>
      <c r="G733" s="11"/>
      <c r="H733" s="11"/>
    </row>
    <row r="734" spans="4:8" ht="15.75" customHeight="1" x14ac:dyDescent="0.2">
      <c r="D734" s="10"/>
      <c r="E734" s="10"/>
      <c r="F734" s="10"/>
      <c r="G734" s="11"/>
      <c r="H734" s="11"/>
    </row>
    <row r="735" spans="4:8" ht="15.75" customHeight="1" x14ac:dyDescent="0.2">
      <c r="D735" s="10"/>
      <c r="E735" s="10"/>
      <c r="F735" s="10"/>
      <c r="G735" s="11"/>
      <c r="H735" s="11"/>
    </row>
    <row r="736" spans="4:8" ht="15.75" customHeight="1" x14ac:dyDescent="0.2">
      <c r="D736" s="10"/>
      <c r="E736" s="10"/>
      <c r="F736" s="10"/>
      <c r="G736" s="11"/>
      <c r="H736" s="11"/>
    </row>
    <row r="737" spans="4:8" ht="15.75" customHeight="1" x14ac:dyDescent="0.2">
      <c r="D737" s="10"/>
      <c r="E737" s="10"/>
      <c r="F737" s="10"/>
      <c r="G737" s="11"/>
      <c r="H737" s="11"/>
    </row>
    <row r="738" spans="4:8" ht="15.75" customHeight="1" x14ac:dyDescent="0.2">
      <c r="D738" s="10"/>
      <c r="E738" s="10"/>
      <c r="F738" s="10"/>
      <c r="G738" s="11"/>
      <c r="H738" s="11"/>
    </row>
    <row r="739" spans="4:8" ht="15.75" customHeight="1" x14ac:dyDescent="0.2">
      <c r="D739" s="10"/>
      <c r="E739" s="10"/>
      <c r="F739" s="10"/>
      <c r="G739" s="11"/>
      <c r="H739" s="11"/>
    </row>
    <row r="740" spans="4:8" ht="15.75" customHeight="1" x14ac:dyDescent="0.2">
      <c r="D740" s="10"/>
      <c r="E740" s="10"/>
      <c r="F740" s="10"/>
      <c r="G740" s="11"/>
      <c r="H740" s="11"/>
    </row>
    <row r="741" spans="4:8" ht="15.75" customHeight="1" x14ac:dyDescent="0.2">
      <c r="D741" s="10"/>
      <c r="E741" s="10"/>
      <c r="F741" s="10"/>
      <c r="G741" s="11"/>
      <c r="H741" s="11"/>
    </row>
    <row r="742" spans="4:8" ht="15.75" customHeight="1" x14ac:dyDescent="0.2">
      <c r="D742" s="10"/>
      <c r="E742" s="10"/>
      <c r="F742" s="10"/>
      <c r="G742" s="11"/>
      <c r="H742" s="11"/>
    </row>
    <row r="743" spans="4:8" ht="15.75" customHeight="1" x14ac:dyDescent="0.2">
      <c r="D743" s="10"/>
      <c r="E743" s="10"/>
      <c r="F743" s="10"/>
      <c r="G743" s="11"/>
      <c r="H743" s="11"/>
    </row>
    <row r="744" spans="4:8" ht="15.75" customHeight="1" x14ac:dyDescent="0.2">
      <c r="D744" s="10"/>
      <c r="E744" s="10"/>
      <c r="F744" s="10"/>
      <c r="G744" s="11"/>
      <c r="H744" s="11"/>
    </row>
    <row r="745" spans="4:8" ht="15.75" customHeight="1" x14ac:dyDescent="0.2">
      <c r="D745" s="10"/>
      <c r="E745" s="10"/>
      <c r="F745" s="10"/>
      <c r="G745" s="11"/>
      <c r="H745" s="11"/>
    </row>
    <row r="746" spans="4:8" ht="15.75" customHeight="1" x14ac:dyDescent="0.2">
      <c r="D746" s="10"/>
      <c r="E746" s="10"/>
      <c r="F746" s="10"/>
      <c r="G746" s="11"/>
      <c r="H746" s="11"/>
    </row>
    <row r="747" spans="4:8" ht="15.75" customHeight="1" x14ac:dyDescent="0.2">
      <c r="D747" s="10"/>
      <c r="E747" s="10"/>
      <c r="F747" s="10"/>
      <c r="G747" s="11"/>
      <c r="H747" s="11"/>
    </row>
    <row r="748" spans="4:8" ht="15.75" customHeight="1" x14ac:dyDescent="0.2">
      <c r="D748" s="10"/>
      <c r="E748" s="10"/>
      <c r="F748" s="10"/>
      <c r="G748" s="11"/>
      <c r="H748" s="11"/>
    </row>
    <row r="749" spans="4:8" ht="15.75" customHeight="1" x14ac:dyDescent="0.2">
      <c r="D749" s="10"/>
      <c r="E749" s="10"/>
      <c r="F749" s="10"/>
      <c r="G749" s="11"/>
      <c r="H749" s="11"/>
    </row>
    <row r="750" spans="4:8" ht="15.75" customHeight="1" x14ac:dyDescent="0.2">
      <c r="D750" s="10"/>
      <c r="E750" s="10"/>
      <c r="F750" s="10"/>
      <c r="G750" s="11"/>
      <c r="H750" s="11"/>
    </row>
    <row r="751" spans="4:8" ht="15.75" customHeight="1" x14ac:dyDescent="0.2">
      <c r="D751" s="10"/>
      <c r="E751" s="10"/>
      <c r="F751" s="10"/>
      <c r="G751" s="11"/>
      <c r="H751" s="11"/>
    </row>
    <row r="752" spans="4:8" ht="15.75" customHeight="1" x14ac:dyDescent="0.2">
      <c r="D752" s="10"/>
      <c r="E752" s="10"/>
      <c r="F752" s="10"/>
      <c r="G752" s="11"/>
      <c r="H752" s="11"/>
    </row>
    <row r="753" spans="4:8" ht="15.75" customHeight="1" x14ac:dyDescent="0.2">
      <c r="D753" s="10"/>
      <c r="E753" s="10"/>
      <c r="F753" s="10"/>
      <c r="G753" s="11"/>
      <c r="H753" s="11"/>
    </row>
    <row r="754" spans="4:8" ht="15.75" customHeight="1" x14ac:dyDescent="0.2">
      <c r="D754" s="10"/>
      <c r="E754" s="10"/>
      <c r="F754" s="10"/>
      <c r="G754" s="11"/>
      <c r="H754" s="11"/>
    </row>
    <row r="755" spans="4:8" ht="15.75" customHeight="1" x14ac:dyDescent="0.2">
      <c r="D755" s="10"/>
      <c r="E755" s="10"/>
      <c r="F755" s="10"/>
      <c r="G755" s="11"/>
      <c r="H755" s="11"/>
    </row>
    <row r="756" spans="4:8" ht="15.75" customHeight="1" x14ac:dyDescent="0.2">
      <c r="D756" s="10"/>
      <c r="E756" s="10"/>
      <c r="F756" s="10"/>
      <c r="G756" s="11"/>
      <c r="H756" s="11"/>
    </row>
    <row r="757" spans="4:8" ht="15.75" customHeight="1" x14ac:dyDescent="0.2">
      <c r="D757" s="10"/>
      <c r="E757" s="10"/>
      <c r="F757" s="10"/>
      <c r="G757" s="11"/>
      <c r="H757" s="11"/>
    </row>
    <row r="758" spans="4:8" ht="15.75" customHeight="1" x14ac:dyDescent="0.2">
      <c r="D758" s="10"/>
      <c r="E758" s="10"/>
      <c r="F758" s="10"/>
      <c r="G758" s="11"/>
      <c r="H758" s="11"/>
    </row>
    <row r="759" spans="4:8" ht="15.75" customHeight="1" x14ac:dyDescent="0.2">
      <c r="D759" s="10"/>
      <c r="E759" s="10"/>
      <c r="F759" s="10"/>
      <c r="G759" s="11"/>
      <c r="H759" s="11"/>
    </row>
    <row r="760" spans="4:8" ht="15.75" customHeight="1" x14ac:dyDescent="0.2">
      <c r="D760" s="10"/>
      <c r="E760" s="10"/>
      <c r="F760" s="10"/>
      <c r="G760" s="11"/>
      <c r="H760" s="11"/>
    </row>
    <row r="761" spans="4:8" ht="15.75" customHeight="1" x14ac:dyDescent="0.2">
      <c r="D761" s="10"/>
      <c r="E761" s="10"/>
      <c r="F761" s="10"/>
      <c r="G761" s="11"/>
      <c r="H761" s="11"/>
    </row>
    <row r="762" spans="4:8" ht="15.75" customHeight="1" x14ac:dyDescent="0.2">
      <c r="D762" s="10"/>
      <c r="E762" s="10"/>
      <c r="F762" s="10"/>
      <c r="G762" s="11"/>
      <c r="H762" s="11"/>
    </row>
    <row r="763" spans="4:8" ht="15.75" customHeight="1" x14ac:dyDescent="0.2">
      <c r="D763" s="10"/>
      <c r="E763" s="10"/>
      <c r="F763" s="10"/>
      <c r="G763" s="11"/>
      <c r="H763" s="11"/>
    </row>
    <row r="764" spans="4:8" ht="15.75" customHeight="1" x14ac:dyDescent="0.2">
      <c r="D764" s="10"/>
      <c r="E764" s="10"/>
      <c r="F764" s="10"/>
      <c r="G764" s="11"/>
      <c r="H764" s="11"/>
    </row>
    <row r="765" spans="4:8" ht="15.75" customHeight="1" x14ac:dyDescent="0.2">
      <c r="D765" s="10"/>
      <c r="E765" s="10"/>
      <c r="F765" s="10"/>
      <c r="G765" s="11"/>
      <c r="H765" s="11"/>
    </row>
    <row r="766" spans="4:8" ht="15.75" customHeight="1" x14ac:dyDescent="0.2">
      <c r="D766" s="10"/>
      <c r="E766" s="10"/>
      <c r="F766" s="10"/>
      <c r="G766" s="11"/>
      <c r="H766" s="11"/>
    </row>
    <row r="767" spans="4:8" ht="15.75" customHeight="1" x14ac:dyDescent="0.2">
      <c r="D767" s="10"/>
      <c r="E767" s="10"/>
      <c r="F767" s="10"/>
      <c r="G767" s="11"/>
      <c r="H767" s="11"/>
    </row>
    <row r="768" spans="4:8" ht="15.75" customHeight="1" x14ac:dyDescent="0.2">
      <c r="D768" s="10"/>
      <c r="E768" s="10"/>
      <c r="F768" s="10"/>
      <c r="G768" s="11"/>
      <c r="H768" s="11"/>
    </row>
    <row r="769" spans="4:8" ht="15.75" customHeight="1" x14ac:dyDescent="0.2">
      <c r="D769" s="10"/>
      <c r="E769" s="10"/>
      <c r="F769" s="10"/>
      <c r="G769" s="11"/>
      <c r="H769" s="11"/>
    </row>
    <row r="770" spans="4:8" ht="15.75" customHeight="1" x14ac:dyDescent="0.2">
      <c r="D770" s="10"/>
      <c r="E770" s="10"/>
      <c r="F770" s="10"/>
      <c r="G770" s="11"/>
      <c r="H770" s="11"/>
    </row>
    <row r="771" spans="4:8" ht="15.75" customHeight="1" x14ac:dyDescent="0.2">
      <c r="D771" s="10"/>
      <c r="E771" s="10"/>
      <c r="F771" s="10"/>
      <c r="G771" s="11"/>
      <c r="H771" s="11"/>
    </row>
    <row r="772" spans="4:8" ht="15.75" customHeight="1" x14ac:dyDescent="0.2">
      <c r="D772" s="10"/>
      <c r="E772" s="10"/>
      <c r="F772" s="10"/>
      <c r="G772" s="11"/>
      <c r="H772" s="11"/>
    </row>
    <row r="773" spans="4:8" ht="15.75" customHeight="1" x14ac:dyDescent="0.2">
      <c r="D773" s="10"/>
      <c r="E773" s="10"/>
      <c r="F773" s="10"/>
      <c r="G773" s="11"/>
      <c r="H773" s="11"/>
    </row>
    <row r="774" spans="4:8" ht="15.75" customHeight="1" x14ac:dyDescent="0.2">
      <c r="D774" s="10"/>
      <c r="E774" s="10"/>
      <c r="F774" s="10"/>
      <c r="G774" s="11"/>
      <c r="H774" s="11"/>
    </row>
    <row r="775" spans="4:8" ht="15.75" customHeight="1" x14ac:dyDescent="0.2">
      <c r="D775" s="10"/>
      <c r="E775" s="10"/>
      <c r="F775" s="10"/>
      <c r="G775" s="11"/>
      <c r="H775" s="11"/>
    </row>
    <row r="776" spans="4:8" ht="15.75" customHeight="1" x14ac:dyDescent="0.2">
      <c r="D776" s="10"/>
      <c r="E776" s="10"/>
      <c r="F776" s="10"/>
      <c r="G776" s="11"/>
      <c r="H776" s="11"/>
    </row>
    <row r="777" spans="4:8" ht="15.75" customHeight="1" x14ac:dyDescent="0.2">
      <c r="D777" s="10"/>
      <c r="E777" s="10"/>
      <c r="F777" s="10"/>
      <c r="G777" s="11"/>
      <c r="H777" s="11"/>
    </row>
    <row r="778" spans="4:8" ht="15.75" customHeight="1" x14ac:dyDescent="0.2">
      <c r="D778" s="10"/>
      <c r="E778" s="10"/>
      <c r="F778" s="10"/>
      <c r="G778" s="11"/>
      <c r="H778" s="11"/>
    </row>
    <row r="779" spans="4:8" ht="15.75" customHeight="1" x14ac:dyDescent="0.2">
      <c r="D779" s="10"/>
      <c r="E779" s="10"/>
      <c r="F779" s="10"/>
      <c r="G779" s="11"/>
      <c r="H779" s="11"/>
    </row>
    <row r="780" spans="4:8" ht="15.75" customHeight="1" x14ac:dyDescent="0.2">
      <c r="D780" s="10"/>
      <c r="E780" s="10"/>
      <c r="F780" s="10"/>
      <c r="G780" s="11"/>
      <c r="H780" s="11"/>
    </row>
    <row r="781" spans="4:8" ht="15.75" customHeight="1" x14ac:dyDescent="0.2">
      <c r="D781" s="10"/>
      <c r="E781" s="10"/>
      <c r="F781" s="10"/>
      <c r="G781" s="11"/>
      <c r="H781" s="11"/>
    </row>
    <row r="782" spans="4:8" ht="15.75" customHeight="1" x14ac:dyDescent="0.2">
      <c r="D782" s="10"/>
      <c r="E782" s="10"/>
      <c r="F782" s="10"/>
      <c r="G782" s="11"/>
      <c r="H782" s="11"/>
    </row>
    <row r="783" spans="4:8" ht="15.75" customHeight="1" x14ac:dyDescent="0.2">
      <c r="D783" s="10"/>
      <c r="E783" s="10"/>
      <c r="F783" s="10"/>
      <c r="G783" s="11"/>
      <c r="H783" s="11"/>
    </row>
    <row r="784" spans="4:8" ht="15.75" customHeight="1" x14ac:dyDescent="0.2">
      <c r="D784" s="10"/>
      <c r="E784" s="10"/>
      <c r="F784" s="10"/>
      <c r="G784" s="11"/>
      <c r="H784" s="11"/>
    </row>
    <row r="785" spans="4:8" ht="15.75" customHeight="1" x14ac:dyDescent="0.2">
      <c r="D785" s="10"/>
      <c r="E785" s="10"/>
      <c r="F785" s="10"/>
      <c r="G785" s="11"/>
      <c r="H785" s="11"/>
    </row>
    <row r="786" spans="4:8" ht="15.75" customHeight="1" x14ac:dyDescent="0.2">
      <c r="D786" s="10"/>
      <c r="E786" s="10"/>
      <c r="F786" s="10"/>
      <c r="G786" s="11"/>
      <c r="H786" s="11"/>
    </row>
    <row r="787" spans="4:8" ht="15.75" customHeight="1" x14ac:dyDescent="0.2">
      <c r="D787" s="10"/>
      <c r="E787" s="10"/>
      <c r="F787" s="10"/>
      <c r="G787" s="11"/>
      <c r="H787" s="11"/>
    </row>
    <row r="788" spans="4:8" ht="15.75" customHeight="1" x14ac:dyDescent="0.2">
      <c r="D788" s="10"/>
      <c r="E788" s="10"/>
      <c r="F788" s="10"/>
      <c r="G788" s="11"/>
      <c r="H788" s="11"/>
    </row>
    <row r="789" spans="4:8" ht="15.75" customHeight="1" x14ac:dyDescent="0.2">
      <c r="D789" s="10"/>
      <c r="E789" s="10"/>
      <c r="F789" s="10"/>
      <c r="G789" s="11"/>
      <c r="H789" s="11"/>
    </row>
    <row r="790" spans="4:8" ht="15.75" customHeight="1" x14ac:dyDescent="0.2">
      <c r="D790" s="10"/>
      <c r="E790" s="10"/>
      <c r="F790" s="10"/>
      <c r="G790" s="11"/>
      <c r="H790" s="11"/>
    </row>
    <row r="791" spans="4:8" ht="15.75" customHeight="1" x14ac:dyDescent="0.2">
      <c r="D791" s="10"/>
      <c r="E791" s="10"/>
      <c r="F791" s="10"/>
      <c r="G791" s="11"/>
      <c r="H791" s="11"/>
    </row>
    <row r="792" spans="4:8" ht="15.75" customHeight="1" x14ac:dyDescent="0.2">
      <c r="D792" s="10"/>
      <c r="E792" s="10"/>
      <c r="F792" s="10"/>
      <c r="G792" s="11"/>
      <c r="H792" s="11"/>
    </row>
    <row r="793" spans="4:8" ht="15.75" customHeight="1" x14ac:dyDescent="0.2">
      <c r="D793" s="10"/>
      <c r="E793" s="10"/>
      <c r="F793" s="10"/>
      <c r="G793" s="11"/>
      <c r="H793" s="11"/>
    </row>
    <row r="794" spans="4:8" ht="15.75" customHeight="1" x14ac:dyDescent="0.2">
      <c r="D794" s="10"/>
      <c r="E794" s="10"/>
      <c r="F794" s="10"/>
      <c r="G794" s="11"/>
      <c r="H794" s="11"/>
    </row>
    <row r="795" spans="4:8" ht="15.75" customHeight="1" x14ac:dyDescent="0.2">
      <c r="D795" s="10"/>
      <c r="E795" s="10"/>
      <c r="F795" s="10"/>
      <c r="G795" s="11"/>
      <c r="H795" s="11"/>
    </row>
    <row r="796" spans="4:8" ht="15.75" customHeight="1" x14ac:dyDescent="0.2">
      <c r="D796" s="10"/>
      <c r="E796" s="10"/>
      <c r="F796" s="10"/>
      <c r="G796" s="11"/>
      <c r="H796" s="11"/>
    </row>
    <row r="797" spans="4:8" ht="15.75" customHeight="1" x14ac:dyDescent="0.2">
      <c r="D797" s="10"/>
      <c r="E797" s="10"/>
      <c r="F797" s="10"/>
      <c r="G797" s="11"/>
      <c r="H797" s="11"/>
    </row>
    <row r="798" spans="4:8" ht="15.75" customHeight="1" x14ac:dyDescent="0.2">
      <c r="D798" s="10"/>
      <c r="E798" s="10"/>
      <c r="F798" s="10"/>
      <c r="G798" s="11"/>
      <c r="H798" s="11"/>
    </row>
    <row r="799" spans="4:8" ht="15.75" customHeight="1" x14ac:dyDescent="0.2">
      <c r="D799" s="10"/>
      <c r="E799" s="10"/>
      <c r="F799" s="10"/>
      <c r="G799" s="11"/>
      <c r="H799" s="11"/>
    </row>
    <row r="800" spans="4:8" ht="15.75" customHeight="1" x14ac:dyDescent="0.2">
      <c r="D800" s="10"/>
      <c r="E800" s="10"/>
      <c r="F800" s="10"/>
      <c r="G800" s="11"/>
      <c r="H800" s="11"/>
    </row>
    <row r="801" spans="4:8" ht="15.75" customHeight="1" x14ac:dyDescent="0.2">
      <c r="D801" s="10"/>
      <c r="E801" s="10"/>
      <c r="F801" s="10"/>
      <c r="G801" s="11"/>
      <c r="H801" s="11"/>
    </row>
    <row r="802" spans="4:8" ht="15.75" customHeight="1" x14ac:dyDescent="0.2">
      <c r="D802" s="10"/>
      <c r="E802" s="10"/>
      <c r="F802" s="10"/>
      <c r="G802" s="11"/>
      <c r="H802" s="11"/>
    </row>
    <row r="803" spans="4:8" ht="15.75" customHeight="1" x14ac:dyDescent="0.2">
      <c r="D803" s="10"/>
      <c r="E803" s="10"/>
      <c r="F803" s="10"/>
      <c r="G803" s="11"/>
      <c r="H803" s="11"/>
    </row>
    <row r="804" spans="4:8" ht="15.75" customHeight="1" x14ac:dyDescent="0.2">
      <c r="D804" s="10"/>
      <c r="E804" s="10"/>
      <c r="F804" s="10"/>
      <c r="G804" s="11"/>
      <c r="H804" s="11"/>
    </row>
    <row r="805" spans="4:8" ht="15.75" customHeight="1" x14ac:dyDescent="0.2">
      <c r="D805" s="10"/>
      <c r="E805" s="10"/>
      <c r="F805" s="10"/>
      <c r="G805" s="11"/>
      <c r="H805" s="11"/>
    </row>
    <row r="806" spans="4:8" ht="15.75" customHeight="1" x14ac:dyDescent="0.2">
      <c r="D806" s="10"/>
      <c r="E806" s="10"/>
      <c r="F806" s="10"/>
      <c r="G806" s="11"/>
      <c r="H806" s="11"/>
    </row>
    <row r="807" spans="4:8" ht="15.75" customHeight="1" x14ac:dyDescent="0.2">
      <c r="D807" s="10"/>
      <c r="E807" s="10"/>
      <c r="F807" s="10"/>
      <c r="G807" s="11"/>
      <c r="H807" s="11"/>
    </row>
    <row r="808" spans="4:8" ht="15.75" customHeight="1" x14ac:dyDescent="0.2">
      <c r="D808" s="10"/>
      <c r="E808" s="10"/>
      <c r="F808" s="10"/>
      <c r="G808" s="11"/>
      <c r="H808" s="11"/>
    </row>
    <row r="809" spans="4:8" ht="15.75" customHeight="1" x14ac:dyDescent="0.2">
      <c r="D809" s="10"/>
      <c r="E809" s="10"/>
      <c r="F809" s="10"/>
      <c r="G809" s="11"/>
      <c r="H809" s="11"/>
    </row>
    <row r="810" spans="4:8" ht="15.75" customHeight="1" x14ac:dyDescent="0.2">
      <c r="D810" s="10"/>
      <c r="E810" s="10"/>
      <c r="F810" s="10"/>
      <c r="G810" s="11"/>
      <c r="H810" s="11"/>
    </row>
    <row r="811" spans="4:8" ht="15.75" customHeight="1" x14ac:dyDescent="0.2">
      <c r="D811" s="10"/>
      <c r="E811" s="10"/>
      <c r="F811" s="10"/>
      <c r="G811" s="11"/>
      <c r="H811" s="11"/>
    </row>
    <row r="812" spans="4:8" ht="15.75" customHeight="1" x14ac:dyDescent="0.2">
      <c r="D812" s="10"/>
      <c r="E812" s="10"/>
      <c r="F812" s="10"/>
      <c r="G812" s="11"/>
      <c r="H812" s="11"/>
    </row>
    <row r="813" spans="4:8" ht="15.75" customHeight="1" x14ac:dyDescent="0.2">
      <c r="D813" s="10"/>
      <c r="E813" s="10"/>
      <c r="F813" s="10"/>
      <c r="G813" s="11"/>
      <c r="H813" s="11"/>
    </row>
    <row r="814" spans="4:8" ht="15.75" customHeight="1" x14ac:dyDescent="0.2">
      <c r="D814" s="10"/>
      <c r="E814" s="10"/>
      <c r="F814" s="10"/>
      <c r="G814" s="11"/>
      <c r="H814" s="11"/>
    </row>
    <row r="815" spans="4:8" ht="15.75" customHeight="1" x14ac:dyDescent="0.2">
      <c r="D815" s="10"/>
      <c r="E815" s="10"/>
      <c r="F815" s="10"/>
      <c r="G815" s="11"/>
      <c r="H815" s="11"/>
    </row>
    <row r="816" spans="4:8" ht="15.75" customHeight="1" x14ac:dyDescent="0.2">
      <c r="D816" s="10"/>
      <c r="E816" s="10"/>
      <c r="F816" s="10"/>
      <c r="G816" s="11"/>
      <c r="H816" s="11"/>
    </row>
    <row r="817" spans="4:8" ht="15.75" customHeight="1" x14ac:dyDescent="0.2">
      <c r="D817" s="10"/>
      <c r="E817" s="10"/>
      <c r="F817" s="10"/>
      <c r="G817" s="11"/>
      <c r="H817" s="11"/>
    </row>
    <row r="818" spans="4:8" ht="15.75" customHeight="1" x14ac:dyDescent="0.2">
      <c r="D818" s="10"/>
      <c r="E818" s="10"/>
      <c r="F818" s="10"/>
      <c r="G818" s="11"/>
      <c r="H818" s="11"/>
    </row>
    <row r="819" spans="4:8" ht="15.75" customHeight="1" x14ac:dyDescent="0.2">
      <c r="D819" s="10"/>
      <c r="E819" s="10"/>
      <c r="F819" s="10"/>
      <c r="G819" s="11"/>
      <c r="H819" s="11"/>
    </row>
    <row r="820" spans="4:8" ht="15.75" customHeight="1" x14ac:dyDescent="0.2">
      <c r="D820" s="10"/>
      <c r="E820" s="10"/>
      <c r="F820" s="10"/>
      <c r="G820" s="11"/>
      <c r="H820" s="11"/>
    </row>
    <row r="821" spans="4:8" ht="15.75" customHeight="1" x14ac:dyDescent="0.2">
      <c r="D821" s="10"/>
      <c r="E821" s="10"/>
      <c r="F821" s="10"/>
      <c r="G821" s="11"/>
      <c r="H821" s="11"/>
    </row>
    <row r="822" spans="4:8" ht="15.75" customHeight="1" x14ac:dyDescent="0.2">
      <c r="D822" s="10"/>
      <c r="E822" s="10"/>
      <c r="F822" s="10"/>
      <c r="G822" s="11"/>
      <c r="H822" s="11"/>
    </row>
    <row r="823" spans="4:8" ht="15.75" customHeight="1" x14ac:dyDescent="0.2">
      <c r="D823" s="10"/>
      <c r="E823" s="10"/>
      <c r="F823" s="10"/>
      <c r="G823" s="11"/>
      <c r="H823" s="11"/>
    </row>
    <row r="824" spans="4:8" ht="15.75" customHeight="1" x14ac:dyDescent="0.2">
      <c r="D824" s="10"/>
      <c r="E824" s="10"/>
      <c r="F824" s="10"/>
      <c r="G824" s="11"/>
      <c r="H824" s="11"/>
    </row>
    <row r="825" spans="4:8" ht="15.75" customHeight="1" x14ac:dyDescent="0.2">
      <c r="D825" s="10"/>
      <c r="E825" s="10"/>
      <c r="F825" s="10"/>
      <c r="G825" s="11"/>
      <c r="H825" s="11"/>
    </row>
    <row r="826" spans="4:8" ht="15.75" customHeight="1" x14ac:dyDescent="0.2">
      <c r="D826" s="10"/>
      <c r="E826" s="10"/>
      <c r="F826" s="10"/>
      <c r="G826" s="11"/>
      <c r="H826" s="11"/>
    </row>
    <row r="827" spans="4:8" ht="15.75" customHeight="1" x14ac:dyDescent="0.2">
      <c r="D827" s="10"/>
      <c r="E827" s="10"/>
      <c r="F827" s="10"/>
      <c r="G827" s="11"/>
      <c r="H827" s="11"/>
    </row>
    <row r="828" spans="4:8" ht="15.75" customHeight="1" x14ac:dyDescent="0.2">
      <c r="D828" s="10"/>
      <c r="E828" s="10"/>
      <c r="F828" s="10"/>
      <c r="G828" s="11"/>
      <c r="H828" s="11"/>
    </row>
    <row r="829" spans="4:8" ht="15.75" customHeight="1" x14ac:dyDescent="0.2">
      <c r="D829" s="10"/>
      <c r="E829" s="10"/>
      <c r="F829" s="10"/>
      <c r="G829" s="11"/>
      <c r="H829" s="11"/>
    </row>
    <row r="830" spans="4:8" ht="15.75" customHeight="1" x14ac:dyDescent="0.2">
      <c r="D830" s="10"/>
      <c r="E830" s="10"/>
      <c r="F830" s="10"/>
      <c r="G830" s="11"/>
      <c r="H830" s="11"/>
    </row>
    <row r="831" spans="4:8" ht="15.75" customHeight="1" x14ac:dyDescent="0.2">
      <c r="D831" s="10"/>
      <c r="E831" s="10"/>
      <c r="F831" s="10"/>
      <c r="G831" s="11"/>
      <c r="H831" s="11"/>
    </row>
    <row r="832" spans="4:8" ht="15.75" customHeight="1" x14ac:dyDescent="0.2">
      <c r="D832" s="10"/>
      <c r="E832" s="10"/>
      <c r="F832" s="10"/>
      <c r="G832" s="11"/>
      <c r="H832" s="11"/>
    </row>
    <row r="833" spans="4:8" ht="15.75" customHeight="1" x14ac:dyDescent="0.2">
      <c r="D833" s="10"/>
      <c r="E833" s="10"/>
      <c r="F833" s="10"/>
      <c r="G833" s="11"/>
      <c r="H833" s="11"/>
    </row>
    <row r="834" spans="4:8" ht="15.75" customHeight="1" x14ac:dyDescent="0.2">
      <c r="D834" s="10"/>
      <c r="E834" s="10"/>
      <c r="F834" s="10"/>
      <c r="G834" s="11"/>
      <c r="H834" s="11"/>
    </row>
    <row r="835" spans="4:8" ht="15.75" customHeight="1" x14ac:dyDescent="0.2">
      <c r="D835" s="10"/>
      <c r="E835" s="10"/>
      <c r="F835" s="10"/>
      <c r="G835" s="11"/>
      <c r="H835" s="11"/>
    </row>
    <row r="836" spans="4:8" ht="15.75" customHeight="1" x14ac:dyDescent="0.2">
      <c r="D836" s="10"/>
      <c r="E836" s="10"/>
      <c r="F836" s="10"/>
      <c r="G836" s="11"/>
      <c r="H836" s="11"/>
    </row>
    <row r="837" spans="4:8" ht="15.75" customHeight="1" x14ac:dyDescent="0.2">
      <c r="D837" s="10"/>
      <c r="E837" s="10"/>
      <c r="F837" s="10"/>
      <c r="G837" s="11"/>
      <c r="H837" s="11"/>
    </row>
    <row r="838" spans="4:8" ht="15.75" customHeight="1" x14ac:dyDescent="0.2">
      <c r="D838" s="10"/>
      <c r="E838" s="10"/>
      <c r="F838" s="10"/>
      <c r="G838" s="11"/>
      <c r="H838" s="11"/>
    </row>
    <row r="839" spans="4:8" ht="15.75" customHeight="1" x14ac:dyDescent="0.2">
      <c r="D839" s="10"/>
      <c r="E839" s="10"/>
      <c r="F839" s="10"/>
      <c r="G839" s="11"/>
      <c r="H839" s="11"/>
    </row>
    <row r="840" spans="4:8" ht="15.75" customHeight="1" x14ac:dyDescent="0.2">
      <c r="D840" s="10"/>
      <c r="E840" s="10"/>
      <c r="F840" s="10"/>
      <c r="G840" s="11"/>
      <c r="H840" s="11"/>
    </row>
    <row r="841" spans="4:8" ht="15.75" customHeight="1" x14ac:dyDescent="0.2">
      <c r="D841" s="10"/>
      <c r="E841" s="10"/>
      <c r="F841" s="10"/>
      <c r="G841" s="11"/>
      <c r="H841" s="11"/>
    </row>
    <row r="842" spans="4:8" ht="15.75" customHeight="1" x14ac:dyDescent="0.2">
      <c r="D842" s="10"/>
      <c r="E842" s="10"/>
      <c r="F842" s="10"/>
      <c r="G842" s="11"/>
      <c r="H842" s="11"/>
    </row>
    <row r="843" spans="4:8" ht="15.75" customHeight="1" x14ac:dyDescent="0.2">
      <c r="D843" s="10"/>
      <c r="E843" s="10"/>
      <c r="F843" s="10"/>
      <c r="G843" s="11"/>
      <c r="H843" s="11"/>
    </row>
    <row r="844" spans="4:8" ht="15.75" customHeight="1" x14ac:dyDescent="0.2">
      <c r="D844" s="10"/>
      <c r="E844" s="10"/>
      <c r="F844" s="10"/>
      <c r="G844" s="11"/>
      <c r="H844" s="11"/>
    </row>
    <row r="845" spans="4:8" ht="15.75" customHeight="1" x14ac:dyDescent="0.2">
      <c r="D845" s="10"/>
      <c r="E845" s="10"/>
      <c r="F845" s="10"/>
      <c r="G845" s="11"/>
      <c r="H845" s="11"/>
    </row>
    <row r="846" spans="4:8" ht="15.75" customHeight="1" x14ac:dyDescent="0.2">
      <c r="D846" s="10"/>
      <c r="E846" s="10"/>
      <c r="F846" s="10"/>
      <c r="G846" s="11"/>
      <c r="H846" s="11"/>
    </row>
    <row r="847" spans="4:8" ht="15.75" customHeight="1" x14ac:dyDescent="0.2">
      <c r="D847" s="10"/>
      <c r="E847" s="10"/>
      <c r="F847" s="10"/>
      <c r="G847" s="11"/>
      <c r="H847" s="11"/>
    </row>
    <row r="848" spans="4:8" ht="15.75" customHeight="1" x14ac:dyDescent="0.2">
      <c r="D848" s="10"/>
      <c r="E848" s="10"/>
      <c r="F848" s="10"/>
      <c r="G848" s="11"/>
      <c r="H848" s="11"/>
    </row>
    <row r="849" spans="4:8" ht="15.75" customHeight="1" x14ac:dyDescent="0.2">
      <c r="D849" s="10"/>
      <c r="E849" s="10"/>
      <c r="F849" s="10"/>
      <c r="G849" s="11"/>
      <c r="H849" s="11"/>
    </row>
    <row r="850" spans="4:8" ht="15.75" customHeight="1" x14ac:dyDescent="0.2">
      <c r="D850" s="10"/>
      <c r="E850" s="10"/>
      <c r="F850" s="10"/>
      <c r="G850" s="11"/>
      <c r="H850" s="11"/>
    </row>
    <row r="851" spans="4:8" ht="15.75" customHeight="1" x14ac:dyDescent="0.2">
      <c r="D851" s="10"/>
      <c r="E851" s="10"/>
      <c r="F851" s="10"/>
      <c r="G851" s="11"/>
      <c r="H851" s="11"/>
    </row>
    <row r="852" spans="4:8" ht="15.75" customHeight="1" x14ac:dyDescent="0.2">
      <c r="D852" s="10"/>
      <c r="E852" s="10"/>
      <c r="F852" s="10"/>
      <c r="G852" s="11"/>
      <c r="H852" s="11"/>
    </row>
    <row r="853" spans="4:8" ht="15.75" customHeight="1" x14ac:dyDescent="0.2">
      <c r="D853" s="10"/>
      <c r="E853" s="10"/>
      <c r="F853" s="10"/>
      <c r="G853" s="11"/>
      <c r="H853" s="11"/>
    </row>
    <row r="854" spans="4:8" ht="15.75" customHeight="1" x14ac:dyDescent="0.2">
      <c r="D854" s="10"/>
      <c r="E854" s="10"/>
      <c r="F854" s="10"/>
      <c r="G854" s="11"/>
      <c r="H854" s="11"/>
    </row>
    <row r="855" spans="4:8" ht="15.75" customHeight="1" x14ac:dyDescent="0.2">
      <c r="D855" s="10"/>
      <c r="E855" s="10"/>
      <c r="F855" s="10"/>
      <c r="G855" s="11"/>
      <c r="H855" s="11"/>
    </row>
    <row r="856" spans="4:8" ht="15.75" customHeight="1" x14ac:dyDescent="0.2">
      <c r="D856" s="10"/>
      <c r="E856" s="10"/>
      <c r="F856" s="10"/>
      <c r="G856" s="11"/>
      <c r="H856" s="11"/>
    </row>
    <row r="857" spans="4:8" ht="15.75" customHeight="1" x14ac:dyDescent="0.2">
      <c r="D857" s="10"/>
      <c r="E857" s="10"/>
      <c r="F857" s="10"/>
      <c r="G857" s="11"/>
      <c r="H857" s="11"/>
    </row>
    <row r="858" spans="4:8" ht="15.75" customHeight="1" x14ac:dyDescent="0.2">
      <c r="D858" s="10"/>
      <c r="E858" s="10"/>
      <c r="F858" s="10"/>
      <c r="G858" s="11"/>
      <c r="H858" s="11"/>
    </row>
    <row r="859" spans="4:8" ht="15.75" customHeight="1" x14ac:dyDescent="0.2">
      <c r="D859" s="10"/>
      <c r="E859" s="10"/>
      <c r="F859" s="10"/>
      <c r="G859" s="11"/>
      <c r="H859" s="11"/>
    </row>
    <row r="860" spans="4:8" ht="15.75" customHeight="1" x14ac:dyDescent="0.2">
      <c r="D860" s="10"/>
      <c r="E860" s="10"/>
      <c r="F860" s="10"/>
      <c r="G860" s="11"/>
      <c r="H860" s="11"/>
    </row>
    <row r="861" spans="4:8" ht="15.75" customHeight="1" x14ac:dyDescent="0.2">
      <c r="D861" s="10"/>
      <c r="E861" s="10"/>
      <c r="F861" s="10"/>
      <c r="G861" s="11"/>
      <c r="H861" s="11"/>
    </row>
    <row r="862" spans="4:8" ht="15.75" customHeight="1" x14ac:dyDescent="0.2">
      <c r="D862" s="10"/>
      <c r="E862" s="10"/>
      <c r="F862" s="10"/>
      <c r="G862" s="11"/>
      <c r="H862" s="11"/>
    </row>
    <row r="863" spans="4:8" ht="15.75" customHeight="1" x14ac:dyDescent="0.2">
      <c r="D863" s="10"/>
      <c r="E863" s="10"/>
      <c r="F863" s="10"/>
      <c r="G863" s="11"/>
      <c r="H863" s="11"/>
    </row>
    <row r="864" spans="4:8" ht="15.75" customHeight="1" x14ac:dyDescent="0.2">
      <c r="D864" s="10"/>
      <c r="E864" s="10"/>
      <c r="F864" s="10"/>
      <c r="G864" s="11"/>
      <c r="H864" s="11"/>
    </row>
    <row r="865" spans="4:8" ht="15.75" customHeight="1" x14ac:dyDescent="0.2">
      <c r="D865" s="10"/>
      <c r="E865" s="10"/>
      <c r="F865" s="10"/>
      <c r="G865" s="11"/>
      <c r="H865" s="11"/>
    </row>
    <row r="866" spans="4:8" ht="15.75" customHeight="1" x14ac:dyDescent="0.2">
      <c r="D866" s="10"/>
      <c r="E866" s="10"/>
      <c r="F866" s="10"/>
      <c r="G866" s="11"/>
      <c r="H866" s="11"/>
    </row>
    <row r="867" spans="4:8" ht="15.75" customHeight="1" x14ac:dyDescent="0.2">
      <c r="D867" s="10"/>
      <c r="E867" s="10"/>
      <c r="F867" s="10"/>
      <c r="G867" s="11"/>
      <c r="H867" s="11"/>
    </row>
    <row r="868" spans="4:8" ht="15.75" customHeight="1" x14ac:dyDescent="0.2">
      <c r="D868" s="10"/>
      <c r="E868" s="10"/>
      <c r="F868" s="10"/>
      <c r="G868" s="11"/>
      <c r="H868" s="11"/>
    </row>
    <row r="869" spans="4:8" ht="15.75" customHeight="1" x14ac:dyDescent="0.2">
      <c r="D869" s="10"/>
      <c r="E869" s="10"/>
      <c r="F869" s="10"/>
      <c r="G869" s="11"/>
      <c r="H869" s="11"/>
    </row>
    <row r="870" spans="4:8" ht="15.75" customHeight="1" x14ac:dyDescent="0.2">
      <c r="D870" s="10"/>
      <c r="E870" s="10"/>
      <c r="F870" s="10"/>
      <c r="G870" s="11"/>
      <c r="H870" s="11"/>
    </row>
    <row r="871" spans="4:8" ht="15.75" customHeight="1" x14ac:dyDescent="0.2">
      <c r="D871" s="10"/>
      <c r="E871" s="10"/>
      <c r="F871" s="10"/>
      <c r="G871" s="11"/>
      <c r="H871" s="11"/>
    </row>
    <row r="872" spans="4:8" ht="15.75" customHeight="1" x14ac:dyDescent="0.2">
      <c r="D872" s="10"/>
      <c r="E872" s="10"/>
      <c r="F872" s="10"/>
      <c r="G872" s="11"/>
      <c r="H872" s="11"/>
    </row>
    <row r="873" spans="4:8" ht="15.75" customHeight="1" x14ac:dyDescent="0.2">
      <c r="D873" s="10"/>
      <c r="E873" s="10"/>
      <c r="F873" s="10"/>
      <c r="G873" s="11"/>
      <c r="H873" s="11"/>
    </row>
    <row r="874" spans="4:8" ht="15.75" customHeight="1" x14ac:dyDescent="0.2">
      <c r="D874" s="10"/>
      <c r="E874" s="10"/>
      <c r="F874" s="10"/>
      <c r="G874" s="11"/>
      <c r="H874" s="11"/>
    </row>
    <row r="875" spans="4:8" ht="15.75" customHeight="1" x14ac:dyDescent="0.2">
      <c r="D875" s="10"/>
      <c r="E875" s="10"/>
      <c r="F875" s="10"/>
      <c r="G875" s="11"/>
      <c r="H875" s="11"/>
    </row>
    <row r="876" spans="4:8" ht="15.75" customHeight="1" x14ac:dyDescent="0.2">
      <c r="D876" s="10"/>
      <c r="E876" s="10"/>
      <c r="F876" s="10"/>
      <c r="G876" s="11"/>
      <c r="H876" s="11"/>
    </row>
    <row r="877" spans="4:8" ht="15.75" customHeight="1" x14ac:dyDescent="0.2">
      <c r="D877" s="10"/>
      <c r="E877" s="10"/>
      <c r="F877" s="10"/>
      <c r="G877" s="11"/>
      <c r="H877" s="11"/>
    </row>
    <row r="878" spans="4:8" ht="15.75" customHeight="1" x14ac:dyDescent="0.2">
      <c r="D878" s="10"/>
      <c r="E878" s="10"/>
      <c r="F878" s="10"/>
      <c r="G878" s="11"/>
      <c r="H878" s="11"/>
    </row>
    <row r="879" spans="4:8" ht="15.75" customHeight="1" x14ac:dyDescent="0.2">
      <c r="D879" s="10"/>
      <c r="E879" s="10"/>
      <c r="F879" s="10"/>
      <c r="G879" s="11"/>
      <c r="H879" s="11"/>
    </row>
    <row r="880" spans="4:8" ht="15.75" customHeight="1" x14ac:dyDescent="0.2">
      <c r="D880" s="10"/>
      <c r="E880" s="10"/>
      <c r="F880" s="10"/>
      <c r="G880" s="11"/>
      <c r="H880" s="11"/>
    </row>
    <row r="881" spans="4:8" ht="15.75" customHeight="1" x14ac:dyDescent="0.2">
      <c r="D881" s="10"/>
      <c r="E881" s="10"/>
      <c r="F881" s="10"/>
      <c r="G881" s="11"/>
      <c r="H881" s="11"/>
    </row>
    <row r="882" spans="4:8" ht="15.75" customHeight="1" x14ac:dyDescent="0.2">
      <c r="D882" s="10"/>
      <c r="E882" s="10"/>
      <c r="F882" s="10"/>
      <c r="G882" s="11"/>
      <c r="H882" s="11"/>
    </row>
    <row r="883" spans="4:8" ht="15.75" customHeight="1" x14ac:dyDescent="0.2">
      <c r="D883" s="10"/>
      <c r="E883" s="10"/>
      <c r="F883" s="10"/>
      <c r="G883" s="11"/>
      <c r="H883" s="11"/>
    </row>
    <row r="884" spans="4:8" ht="15.75" customHeight="1" x14ac:dyDescent="0.2">
      <c r="D884" s="10"/>
      <c r="E884" s="10"/>
      <c r="F884" s="10"/>
      <c r="G884" s="11"/>
      <c r="H884" s="11"/>
    </row>
    <row r="885" spans="4:8" ht="15.75" customHeight="1" x14ac:dyDescent="0.2">
      <c r="D885" s="10"/>
      <c r="E885" s="10"/>
      <c r="F885" s="10"/>
      <c r="G885" s="11"/>
      <c r="H885" s="11"/>
    </row>
    <row r="886" spans="4:8" ht="15.75" customHeight="1" x14ac:dyDescent="0.2">
      <c r="D886" s="10"/>
      <c r="E886" s="10"/>
      <c r="F886" s="10"/>
      <c r="G886" s="11"/>
      <c r="H886" s="11"/>
    </row>
    <row r="887" spans="4:8" ht="15.75" customHeight="1" x14ac:dyDescent="0.2">
      <c r="D887" s="10"/>
      <c r="E887" s="10"/>
      <c r="F887" s="10"/>
      <c r="G887" s="11"/>
      <c r="H887" s="11"/>
    </row>
    <row r="888" spans="4:8" ht="15.75" customHeight="1" x14ac:dyDescent="0.2">
      <c r="D888" s="10"/>
      <c r="E888" s="10"/>
      <c r="F888" s="10"/>
      <c r="G888" s="11"/>
      <c r="H888" s="11"/>
    </row>
    <row r="889" spans="4:8" ht="15.75" customHeight="1" x14ac:dyDescent="0.2">
      <c r="D889" s="10"/>
      <c r="E889" s="10"/>
      <c r="F889" s="10"/>
      <c r="G889" s="11"/>
      <c r="H889" s="11"/>
    </row>
    <row r="890" spans="4:8" ht="15.75" customHeight="1" x14ac:dyDescent="0.2">
      <c r="D890" s="10"/>
      <c r="E890" s="10"/>
      <c r="F890" s="10"/>
      <c r="G890" s="11"/>
      <c r="H890" s="11"/>
    </row>
    <row r="891" spans="4:8" ht="15.75" customHeight="1" x14ac:dyDescent="0.2">
      <c r="D891" s="10"/>
      <c r="E891" s="10"/>
      <c r="F891" s="10"/>
      <c r="G891" s="11"/>
      <c r="H891" s="11"/>
    </row>
    <row r="892" spans="4:8" ht="15.75" customHeight="1" x14ac:dyDescent="0.2">
      <c r="D892" s="10"/>
      <c r="E892" s="10"/>
      <c r="F892" s="10"/>
      <c r="G892" s="11"/>
      <c r="H892" s="11"/>
    </row>
    <row r="893" spans="4:8" ht="15.75" customHeight="1" x14ac:dyDescent="0.2">
      <c r="D893" s="10"/>
      <c r="E893" s="10"/>
      <c r="F893" s="10"/>
      <c r="G893" s="11"/>
      <c r="H893" s="11"/>
    </row>
    <row r="894" spans="4:8" ht="15.75" customHeight="1" x14ac:dyDescent="0.2">
      <c r="D894" s="10"/>
      <c r="E894" s="10"/>
      <c r="F894" s="10"/>
      <c r="G894" s="11"/>
      <c r="H894" s="11"/>
    </row>
    <row r="895" spans="4:8" ht="15.75" customHeight="1" x14ac:dyDescent="0.2">
      <c r="D895" s="10"/>
      <c r="E895" s="10"/>
      <c r="F895" s="10"/>
      <c r="G895" s="11"/>
      <c r="H895" s="11"/>
    </row>
    <row r="896" spans="4:8" ht="15.75" customHeight="1" x14ac:dyDescent="0.2">
      <c r="D896" s="10"/>
      <c r="E896" s="10"/>
      <c r="F896" s="10"/>
      <c r="G896" s="11"/>
      <c r="H896" s="11"/>
    </row>
    <row r="897" spans="4:8" ht="15.75" customHeight="1" x14ac:dyDescent="0.2">
      <c r="D897" s="10"/>
      <c r="E897" s="10"/>
      <c r="F897" s="10"/>
      <c r="G897" s="11"/>
      <c r="H897" s="11"/>
    </row>
    <row r="898" spans="4:8" ht="15.75" customHeight="1" x14ac:dyDescent="0.2">
      <c r="D898" s="10"/>
      <c r="E898" s="10"/>
      <c r="F898" s="10"/>
      <c r="G898" s="11"/>
      <c r="H898" s="11"/>
    </row>
    <row r="899" spans="4:8" ht="15.75" customHeight="1" x14ac:dyDescent="0.2">
      <c r="D899" s="10"/>
      <c r="E899" s="10"/>
      <c r="F899" s="10"/>
      <c r="G899" s="11"/>
      <c r="H899" s="11"/>
    </row>
    <row r="900" spans="4:8" ht="15.75" customHeight="1" x14ac:dyDescent="0.2">
      <c r="D900" s="10"/>
      <c r="E900" s="10"/>
      <c r="F900" s="10"/>
      <c r="G900" s="11"/>
      <c r="H900" s="11"/>
    </row>
    <row r="901" spans="4:8" ht="15.75" customHeight="1" x14ac:dyDescent="0.2">
      <c r="D901" s="10"/>
      <c r="E901" s="10"/>
      <c r="F901" s="10"/>
      <c r="G901" s="11"/>
      <c r="H901" s="11"/>
    </row>
    <row r="902" spans="4:8" ht="15.75" customHeight="1" x14ac:dyDescent="0.2">
      <c r="D902" s="10"/>
      <c r="E902" s="10"/>
      <c r="F902" s="10"/>
      <c r="G902" s="11"/>
      <c r="H902" s="11"/>
    </row>
    <row r="903" spans="4:8" ht="15.75" customHeight="1" x14ac:dyDescent="0.2">
      <c r="D903" s="10"/>
      <c r="E903" s="10"/>
      <c r="F903" s="10"/>
      <c r="G903" s="11"/>
      <c r="H903" s="11"/>
    </row>
    <row r="904" spans="4:8" ht="15.75" customHeight="1" x14ac:dyDescent="0.2">
      <c r="D904" s="10"/>
      <c r="E904" s="10"/>
      <c r="F904" s="10"/>
      <c r="G904" s="11"/>
      <c r="H904" s="11"/>
    </row>
    <row r="905" spans="4:8" ht="15.75" customHeight="1" x14ac:dyDescent="0.2">
      <c r="D905" s="10"/>
      <c r="E905" s="10"/>
      <c r="F905" s="10"/>
      <c r="G905" s="11"/>
      <c r="H905" s="11"/>
    </row>
    <row r="906" spans="4:8" ht="15.75" customHeight="1" x14ac:dyDescent="0.2">
      <c r="D906" s="10"/>
      <c r="E906" s="10"/>
      <c r="F906" s="10"/>
      <c r="G906" s="11"/>
      <c r="H906" s="11"/>
    </row>
    <row r="907" spans="4:8" ht="15.75" customHeight="1" x14ac:dyDescent="0.2">
      <c r="D907" s="10"/>
      <c r="E907" s="10"/>
      <c r="F907" s="10"/>
      <c r="G907" s="11"/>
      <c r="H907" s="11"/>
    </row>
    <row r="908" spans="4:8" ht="15.75" customHeight="1" x14ac:dyDescent="0.2">
      <c r="D908" s="10"/>
      <c r="E908" s="10"/>
      <c r="F908" s="10"/>
      <c r="G908" s="11"/>
      <c r="H908" s="11"/>
    </row>
    <row r="909" spans="4:8" ht="15.75" customHeight="1" x14ac:dyDescent="0.2">
      <c r="D909" s="10"/>
      <c r="E909" s="10"/>
      <c r="F909" s="10"/>
      <c r="G909" s="11"/>
      <c r="H909" s="11"/>
    </row>
    <row r="910" spans="4:8" ht="15.75" customHeight="1" x14ac:dyDescent="0.2">
      <c r="D910" s="10"/>
      <c r="E910" s="10"/>
      <c r="F910" s="10"/>
      <c r="G910" s="11"/>
      <c r="H910" s="11"/>
    </row>
    <row r="911" spans="4:8" ht="15.75" customHeight="1" x14ac:dyDescent="0.2">
      <c r="D911" s="10"/>
      <c r="E911" s="10"/>
      <c r="F911" s="10"/>
      <c r="G911" s="11"/>
      <c r="H911" s="11"/>
    </row>
    <row r="912" spans="4:8" ht="15.75" customHeight="1" x14ac:dyDescent="0.2">
      <c r="D912" s="10"/>
      <c r="E912" s="10"/>
      <c r="F912" s="10"/>
      <c r="G912" s="11"/>
      <c r="H912" s="11"/>
    </row>
    <row r="913" spans="4:8" ht="15.75" customHeight="1" x14ac:dyDescent="0.2">
      <c r="D913" s="10"/>
      <c r="E913" s="10"/>
      <c r="F913" s="10"/>
      <c r="G913" s="11"/>
      <c r="H913" s="11"/>
    </row>
    <row r="914" spans="4:8" ht="15.75" customHeight="1" x14ac:dyDescent="0.2">
      <c r="D914" s="10"/>
      <c r="E914" s="10"/>
      <c r="F914" s="10"/>
      <c r="G914" s="11"/>
      <c r="H914" s="11"/>
    </row>
    <row r="915" spans="4:8" ht="15.75" customHeight="1" x14ac:dyDescent="0.2">
      <c r="D915" s="10"/>
      <c r="E915" s="10"/>
      <c r="F915" s="10"/>
      <c r="G915" s="11"/>
      <c r="H915" s="11"/>
    </row>
    <row r="916" spans="4:8" ht="15.75" customHeight="1" x14ac:dyDescent="0.2">
      <c r="D916" s="10"/>
      <c r="E916" s="10"/>
      <c r="F916" s="10"/>
      <c r="G916" s="11"/>
      <c r="H916" s="11"/>
    </row>
    <row r="917" spans="4:8" ht="15.75" customHeight="1" x14ac:dyDescent="0.2">
      <c r="D917" s="10"/>
      <c r="E917" s="10"/>
      <c r="F917" s="10"/>
      <c r="G917" s="11"/>
      <c r="H917" s="11"/>
    </row>
    <row r="918" spans="4:8" ht="15.75" customHeight="1" x14ac:dyDescent="0.2">
      <c r="D918" s="10"/>
      <c r="E918" s="10"/>
      <c r="F918" s="10"/>
      <c r="G918" s="11"/>
      <c r="H918" s="11"/>
    </row>
    <row r="919" spans="4:8" ht="15.75" customHeight="1" x14ac:dyDescent="0.2">
      <c r="D919" s="10"/>
      <c r="E919" s="10"/>
      <c r="F919" s="10"/>
      <c r="G919" s="11"/>
      <c r="H919" s="11"/>
    </row>
    <row r="920" spans="4:8" ht="15.75" customHeight="1" x14ac:dyDescent="0.2">
      <c r="D920" s="10"/>
      <c r="E920" s="10"/>
      <c r="F920" s="10"/>
      <c r="G920" s="11"/>
      <c r="H920" s="11"/>
    </row>
    <row r="921" spans="4:8" ht="15.75" customHeight="1" x14ac:dyDescent="0.2">
      <c r="D921" s="10"/>
      <c r="E921" s="10"/>
      <c r="F921" s="10"/>
      <c r="G921" s="11"/>
      <c r="H921" s="11"/>
    </row>
    <row r="922" spans="4:8" ht="15.75" customHeight="1" x14ac:dyDescent="0.2">
      <c r="D922" s="10"/>
      <c r="E922" s="10"/>
      <c r="F922" s="10"/>
      <c r="G922" s="11"/>
      <c r="H922" s="11"/>
    </row>
    <row r="923" spans="4:8" ht="15.75" customHeight="1" x14ac:dyDescent="0.2">
      <c r="D923" s="10"/>
      <c r="E923" s="10"/>
      <c r="F923" s="10"/>
      <c r="G923" s="11"/>
      <c r="H923" s="11"/>
    </row>
    <row r="924" spans="4:8" ht="15.75" customHeight="1" x14ac:dyDescent="0.2">
      <c r="D924" s="10"/>
      <c r="E924" s="10"/>
      <c r="F924" s="10"/>
      <c r="G924" s="11"/>
      <c r="H924" s="11"/>
    </row>
    <row r="925" spans="4:8" ht="15.75" customHeight="1" x14ac:dyDescent="0.2">
      <c r="D925" s="10"/>
      <c r="E925" s="10"/>
      <c r="F925" s="10"/>
      <c r="G925" s="11"/>
      <c r="H925" s="11"/>
    </row>
    <row r="926" spans="4:8" ht="15.75" customHeight="1" x14ac:dyDescent="0.2">
      <c r="D926" s="10"/>
      <c r="E926" s="10"/>
      <c r="F926" s="10"/>
      <c r="G926" s="11"/>
      <c r="H926" s="11"/>
    </row>
    <row r="927" spans="4:8" ht="15.75" customHeight="1" x14ac:dyDescent="0.2">
      <c r="D927" s="10"/>
      <c r="E927" s="10"/>
      <c r="F927" s="10"/>
      <c r="G927" s="11"/>
      <c r="H927" s="11"/>
    </row>
    <row r="928" spans="4:8" ht="15.75" customHeight="1" x14ac:dyDescent="0.2">
      <c r="D928" s="10"/>
      <c r="E928" s="10"/>
      <c r="F928" s="10"/>
      <c r="G928" s="11"/>
      <c r="H928" s="11"/>
    </row>
    <row r="929" spans="4:8" ht="15.75" customHeight="1" x14ac:dyDescent="0.2">
      <c r="D929" s="10"/>
      <c r="E929" s="10"/>
      <c r="F929" s="10"/>
      <c r="G929" s="11"/>
      <c r="H929" s="11"/>
    </row>
    <row r="930" spans="4:8" ht="15.75" customHeight="1" x14ac:dyDescent="0.2">
      <c r="D930" s="10"/>
      <c r="E930" s="10"/>
      <c r="F930" s="10"/>
      <c r="G930" s="11"/>
      <c r="H930" s="11"/>
    </row>
    <row r="931" spans="4:8" ht="15.75" customHeight="1" x14ac:dyDescent="0.2">
      <c r="D931" s="10"/>
      <c r="E931" s="10"/>
      <c r="F931" s="10"/>
      <c r="G931" s="11"/>
      <c r="H931" s="11"/>
    </row>
    <row r="932" spans="4:8" ht="15.75" customHeight="1" x14ac:dyDescent="0.2">
      <c r="D932" s="10"/>
      <c r="E932" s="10"/>
      <c r="F932" s="10"/>
      <c r="G932" s="11"/>
      <c r="H932" s="11"/>
    </row>
    <row r="933" spans="4:8" ht="15.75" customHeight="1" x14ac:dyDescent="0.2">
      <c r="D933" s="10"/>
      <c r="E933" s="10"/>
      <c r="F933" s="10"/>
      <c r="G933" s="11"/>
      <c r="H933" s="11"/>
    </row>
    <row r="934" spans="4:8" ht="15.75" customHeight="1" x14ac:dyDescent="0.2">
      <c r="D934" s="10"/>
      <c r="E934" s="10"/>
      <c r="F934" s="10"/>
      <c r="G934" s="11"/>
      <c r="H934" s="11"/>
    </row>
    <row r="935" spans="4:8" ht="15.75" customHeight="1" x14ac:dyDescent="0.2">
      <c r="D935" s="10"/>
      <c r="E935" s="10"/>
      <c r="F935" s="10"/>
      <c r="G935" s="11"/>
      <c r="H935" s="11"/>
    </row>
    <row r="936" spans="4:8" ht="15.75" customHeight="1" x14ac:dyDescent="0.2">
      <c r="D936" s="10"/>
      <c r="E936" s="10"/>
      <c r="F936" s="10"/>
      <c r="G936" s="11"/>
      <c r="H936" s="11"/>
    </row>
    <row r="937" spans="4:8" ht="15.75" customHeight="1" x14ac:dyDescent="0.2">
      <c r="D937" s="10"/>
      <c r="E937" s="10"/>
      <c r="F937" s="10"/>
      <c r="G937" s="11"/>
      <c r="H937" s="11"/>
    </row>
    <row r="938" spans="4:8" ht="15.75" customHeight="1" x14ac:dyDescent="0.2">
      <c r="D938" s="10"/>
      <c r="E938" s="10"/>
      <c r="F938" s="10"/>
      <c r="G938" s="11"/>
      <c r="H938" s="11"/>
    </row>
    <row r="939" spans="4:8" ht="15.75" customHeight="1" x14ac:dyDescent="0.2">
      <c r="D939" s="10"/>
      <c r="E939" s="10"/>
      <c r="F939" s="10"/>
      <c r="G939" s="11"/>
      <c r="H939" s="11"/>
    </row>
    <row r="940" spans="4:8" ht="15.75" customHeight="1" x14ac:dyDescent="0.2">
      <c r="D940" s="10"/>
      <c r="E940" s="10"/>
      <c r="F940" s="10"/>
      <c r="G940" s="11"/>
      <c r="H940" s="11"/>
    </row>
    <row r="941" spans="4:8" ht="15.75" customHeight="1" x14ac:dyDescent="0.2">
      <c r="D941" s="10"/>
      <c r="E941" s="10"/>
      <c r="F941" s="10"/>
      <c r="G941" s="11"/>
      <c r="H941" s="11"/>
    </row>
    <row r="942" spans="4:8" ht="15.75" customHeight="1" x14ac:dyDescent="0.2">
      <c r="D942" s="10"/>
      <c r="E942" s="10"/>
      <c r="F942" s="10"/>
      <c r="G942" s="11"/>
      <c r="H942" s="11"/>
    </row>
    <row r="943" spans="4:8" ht="15.75" customHeight="1" x14ac:dyDescent="0.2">
      <c r="D943" s="10"/>
      <c r="E943" s="10"/>
      <c r="F943" s="10"/>
      <c r="G943" s="11"/>
      <c r="H943" s="11"/>
    </row>
    <row r="944" spans="4:8" ht="15.75" customHeight="1" x14ac:dyDescent="0.2">
      <c r="D944" s="10"/>
      <c r="E944" s="10"/>
      <c r="F944" s="10"/>
      <c r="G944" s="11"/>
      <c r="H944" s="11"/>
    </row>
    <row r="945" spans="4:8" ht="15.75" customHeight="1" x14ac:dyDescent="0.2">
      <c r="D945" s="10"/>
      <c r="E945" s="10"/>
      <c r="F945" s="10"/>
      <c r="G945" s="11"/>
      <c r="H945" s="11"/>
    </row>
    <row r="946" spans="4:8" ht="15.75" customHeight="1" x14ac:dyDescent="0.2">
      <c r="D946" s="10"/>
      <c r="E946" s="10"/>
      <c r="F946" s="10"/>
      <c r="G946" s="11"/>
      <c r="H946" s="11"/>
    </row>
    <row r="947" spans="4:8" ht="15.75" customHeight="1" x14ac:dyDescent="0.2">
      <c r="D947" s="10"/>
      <c r="E947" s="10"/>
      <c r="F947" s="10"/>
      <c r="G947" s="11"/>
      <c r="H947" s="11"/>
    </row>
    <row r="948" spans="4:8" ht="15.75" customHeight="1" x14ac:dyDescent="0.2">
      <c r="D948" s="10"/>
      <c r="E948" s="10"/>
      <c r="F948" s="10"/>
      <c r="G948" s="11"/>
      <c r="H948" s="11"/>
    </row>
    <row r="949" spans="4:8" ht="15.75" customHeight="1" x14ac:dyDescent="0.2">
      <c r="D949" s="10"/>
      <c r="E949" s="10"/>
      <c r="F949" s="10"/>
      <c r="G949" s="11"/>
      <c r="H949" s="11"/>
    </row>
    <row r="950" spans="4:8" ht="15.75" customHeight="1" x14ac:dyDescent="0.2">
      <c r="D950" s="10"/>
      <c r="E950" s="10"/>
      <c r="F950" s="10"/>
      <c r="G950" s="11"/>
      <c r="H950" s="11"/>
    </row>
    <row r="951" spans="4:8" ht="15.75" customHeight="1" x14ac:dyDescent="0.2">
      <c r="D951" s="10"/>
      <c r="E951" s="10"/>
      <c r="F951" s="10"/>
      <c r="G951" s="11"/>
      <c r="H951" s="11"/>
    </row>
    <row r="952" spans="4:8" ht="15.75" customHeight="1" x14ac:dyDescent="0.2">
      <c r="D952" s="10"/>
      <c r="E952" s="10"/>
      <c r="F952" s="10"/>
      <c r="G952" s="11"/>
      <c r="H952" s="11"/>
    </row>
    <row r="953" spans="4:8" ht="15.75" customHeight="1" x14ac:dyDescent="0.2">
      <c r="D953" s="10"/>
      <c r="E953" s="10"/>
      <c r="F953" s="10"/>
      <c r="G953" s="11"/>
      <c r="H953" s="11"/>
    </row>
    <row r="954" spans="4:8" ht="15.75" customHeight="1" x14ac:dyDescent="0.2">
      <c r="D954" s="10"/>
      <c r="E954" s="10"/>
      <c r="F954" s="10"/>
      <c r="G954" s="11"/>
      <c r="H954" s="11"/>
    </row>
    <row r="955" spans="4:8" ht="15.75" customHeight="1" x14ac:dyDescent="0.2">
      <c r="D955" s="10"/>
      <c r="E955" s="10"/>
      <c r="F955" s="10"/>
      <c r="G955" s="11"/>
      <c r="H955" s="11"/>
    </row>
    <row r="956" spans="4:8" ht="15.75" customHeight="1" x14ac:dyDescent="0.2">
      <c r="D956" s="10"/>
      <c r="E956" s="10"/>
      <c r="F956" s="10"/>
      <c r="G956" s="11"/>
      <c r="H956" s="11"/>
    </row>
    <row r="957" spans="4:8" ht="15.75" customHeight="1" x14ac:dyDescent="0.2">
      <c r="D957" s="10"/>
      <c r="E957" s="10"/>
      <c r="F957" s="10"/>
      <c r="G957" s="11"/>
      <c r="H957" s="11"/>
    </row>
    <row r="958" spans="4:8" ht="15.75" customHeight="1" x14ac:dyDescent="0.2">
      <c r="D958" s="10"/>
      <c r="E958" s="10"/>
      <c r="F958" s="10"/>
      <c r="G958" s="11"/>
      <c r="H958" s="11"/>
    </row>
    <row r="959" spans="4:8" ht="15.75" customHeight="1" x14ac:dyDescent="0.2">
      <c r="D959" s="10"/>
      <c r="E959" s="10"/>
      <c r="F959" s="10"/>
      <c r="G959" s="11"/>
      <c r="H959" s="11"/>
    </row>
    <row r="960" spans="4:8" ht="15.75" customHeight="1" x14ac:dyDescent="0.2">
      <c r="D960" s="10"/>
      <c r="E960" s="10"/>
      <c r="F960" s="10"/>
      <c r="G960" s="11"/>
      <c r="H960" s="11"/>
    </row>
    <row r="961" spans="4:8" ht="15.75" customHeight="1" x14ac:dyDescent="0.2">
      <c r="D961" s="10"/>
      <c r="E961" s="10"/>
      <c r="F961" s="10"/>
      <c r="G961" s="11"/>
      <c r="H961" s="11"/>
    </row>
    <row r="962" spans="4:8" ht="15.75" customHeight="1" x14ac:dyDescent="0.2">
      <c r="D962" s="10"/>
      <c r="E962" s="10"/>
      <c r="F962" s="10"/>
      <c r="G962" s="11"/>
      <c r="H962" s="11"/>
    </row>
    <row r="963" spans="4:8" ht="15.75" customHeight="1" x14ac:dyDescent="0.2">
      <c r="D963" s="10"/>
      <c r="E963" s="10"/>
      <c r="F963" s="10"/>
      <c r="G963" s="11"/>
      <c r="H963" s="11"/>
    </row>
    <row r="964" spans="4:8" ht="15.75" customHeight="1" x14ac:dyDescent="0.2">
      <c r="D964" s="10"/>
      <c r="E964" s="10"/>
      <c r="F964" s="10"/>
      <c r="G964" s="11"/>
      <c r="H964" s="11"/>
    </row>
    <row r="965" spans="4:8" ht="15.75" customHeight="1" x14ac:dyDescent="0.2">
      <c r="D965" s="10"/>
      <c r="E965" s="10"/>
      <c r="F965" s="10"/>
      <c r="G965" s="11"/>
      <c r="H965" s="11"/>
    </row>
    <row r="966" spans="4:8" ht="15.75" customHeight="1" x14ac:dyDescent="0.2">
      <c r="D966" s="10"/>
      <c r="E966" s="10"/>
      <c r="F966" s="10"/>
      <c r="G966" s="11"/>
      <c r="H966" s="11"/>
    </row>
    <row r="967" spans="4:8" ht="15.75" customHeight="1" x14ac:dyDescent="0.2">
      <c r="D967" s="10"/>
      <c r="E967" s="10"/>
      <c r="F967" s="10"/>
      <c r="G967" s="11"/>
      <c r="H967" s="11"/>
    </row>
    <row r="968" spans="4:8" ht="15.75" customHeight="1" x14ac:dyDescent="0.2">
      <c r="D968" s="10"/>
      <c r="E968" s="10"/>
      <c r="F968" s="10"/>
      <c r="G968" s="11"/>
      <c r="H968" s="11"/>
    </row>
    <row r="969" spans="4:8" ht="15.75" customHeight="1" x14ac:dyDescent="0.2">
      <c r="D969" s="10"/>
      <c r="E969" s="10"/>
      <c r="F969" s="10"/>
      <c r="G969" s="11"/>
      <c r="H969" s="11"/>
    </row>
    <row r="970" spans="4:8" ht="15.75" customHeight="1" x14ac:dyDescent="0.2">
      <c r="D970" s="10"/>
      <c r="E970" s="10"/>
      <c r="F970" s="10"/>
      <c r="G970" s="11"/>
      <c r="H970" s="11"/>
    </row>
    <row r="971" spans="4:8" ht="15.75" customHeight="1" x14ac:dyDescent="0.2">
      <c r="D971" s="10"/>
      <c r="E971" s="10"/>
      <c r="F971" s="10"/>
      <c r="G971" s="11"/>
      <c r="H971" s="11"/>
    </row>
    <row r="972" spans="4:8" ht="15.75" customHeight="1" x14ac:dyDescent="0.2">
      <c r="D972" s="10"/>
      <c r="E972" s="10"/>
      <c r="F972" s="10"/>
      <c r="G972" s="11"/>
      <c r="H972" s="11"/>
    </row>
    <row r="973" spans="4:8" ht="15.75" customHeight="1" x14ac:dyDescent="0.2">
      <c r="D973" s="10"/>
      <c r="E973" s="10"/>
      <c r="F973" s="10"/>
      <c r="G973" s="11"/>
      <c r="H973" s="11"/>
    </row>
    <row r="974" spans="4:8" ht="15.75" customHeight="1" x14ac:dyDescent="0.2">
      <c r="D974" s="10"/>
      <c r="E974" s="10"/>
      <c r="F974" s="10"/>
      <c r="G974" s="11"/>
      <c r="H974" s="11"/>
    </row>
    <row r="975" spans="4:8" ht="15.75" customHeight="1" x14ac:dyDescent="0.2">
      <c r="D975" s="10"/>
      <c r="E975" s="10"/>
      <c r="F975" s="10"/>
      <c r="G975" s="11"/>
      <c r="H975" s="11"/>
    </row>
    <row r="976" spans="4:8" ht="15.75" customHeight="1" x14ac:dyDescent="0.2">
      <c r="D976" s="10"/>
      <c r="E976" s="10"/>
      <c r="F976" s="10"/>
      <c r="G976" s="11"/>
      <c r="H976" s="11"/>
    </row>
    <row r="977" spans="4:8" ht="15.75" customHeight="1" x14ac:dyDescent="0.2">
      <c r="D977" s="10"/>
      <c r="E977" s="10"/>
      <c r="F977" s="10"/>
      <c r="G977" s="11"/>
      <c r="H977" s="11"/>
    </row>
    <row r="978" spans="4:8" ht="15.75" customHeight="1" x14ac:dyDescent="0.2">
      <c r="D978" s="10"/>
      <c r="E978" s="10"/>
      <c r="F978" s="10"/>
      <c r="G978" s="11"/>
      <c r="H978" s="11"/>
    </row>
    <row r="979" spans="4:8" ht="15.75" customHeight="1" x14ac:dyDescent="0.2">
      <c r="D979" s="10"/>
      <c r="E979" s="10"/>
      <c r="F979" s="10"/>
      <c r="G979" s="11"/>
      <c r="H979" s="11"/>
    </row>
    <row r="980" spans="4:8" ht="15.75" customHeight="1" x14ac:dyDescent="0.2">
      <c r="D980" s="10"/>
      <c r="E980" s="10"/>
      <c r="F980" s="10"/>
      <c r="G980" s="11"/>
      <c r="H980" s="11"/>
    </row>
    <row r="981" spans="4:8" ht="15.75" customHeight="1" x14ac:dyDescent="0.2">
      <c r="D981" s="10"/>
      <c r="E981" s="10"/>
      <c r="F981" s="10"/>
      <c r="G981" s="11"/>
      <c r="H981" s="11"/>
    </row>
    <row r="982" spans="4:8" ht="15.75" customHeight="1" x14ac:dyDescent="0.2">
      <c r="D982" s="10"/>
      <c r="E982" s="10"/>
      <c r="F982" s="10"/>
      <c r="G982" s="11"/>
      <c r="H982" s="11"/>
    </row>
    <row r="983" spans="4:8" ht="15.75" customHeight="1" x14ac:dyDescent="0.2">
      <c r="D983" s="10"/>
      <c r="E983" s="10"/>
      <c r="F983" s="10"/>
      <c r="G983" s="11"/>
      <c r="H983" s="11"/>
    </row>
    <row r="984" spans="4:8" ht="15.75" customHeight="1" x14ac:dyDescent="0.2">
      <c r="D984" s="10"/>
      <c r="E984" s="10"/>
      <c r="F984" s="10"/>
      <c r="G984" s="11"/>
      <c r="H984" s="11"/>
    </row>
    <row r="985" spans="4:8" ht="15.75" customHeight="1" x14ac:dyDescent="0.2">
      <c r="D985" s="10"/>
      <c r="E985" s="10"/>
      <c r="F985" s="10"/>
      <c r="G985" s="11"/>
      <c r="H985" s="11"/>
    </row>
    <row r="986" spans="4:8" ht="15.75" customHeight="1" x14ac:dyDescent="0.2">
      <c r="D986" s="10"/>
      <c r="E986" s="10"/>
      <c r="F986" s="10"/>
      <c r="G986" s="11"/>
      <c r="H986" s="11"/>
    </row>
    <row r="987" spans="4:8" ht="15.75" customHeight="1" x14ac:dyDescent="0.2">
      <c r="D987" s="10"/>
      <c r="E987" s="10"/>
      <c r="F987" s="10"/>
      <c r="G987" s="11"/>
      <c r="H987" s="11"/>
    </row>
    <row r="988" spans="4:8" ht="15.75" customHeight="1" x14ac:dyDescent="0.2">
      <c r="D988" s="10"/>
      <c r="E988" s="10"/>
      <c r="F988" s="10"/>
      <c r="G988" s="11"/>
      <c r="H988" s="11"/>
    </row>
    <row r="989" spans="4:8" ht="15.75" customHeight="1" x14ac:dyDescent="0.2">
      <c r="D989" s="10"/>
      <c r="E989" s="10"/>
      <c r="F989" s="10"/>
      <c r="G989" s="11"/>
      <c r="H989" s="11"/>
    </row>
    <row r="990" spans="4:8" ht="15.75" customHeight="1" x14ac:dyDescent="0.2">
      <c r="D990" s="10"/>
      <c r="E990" s="10"/>
      <c r="F990" s="10"/>
      <c r="G990" s="11"/>
      <c r="H990" s="11"/>
    </row>
    <row r="991" spans="4:8" ht="15.75" customHeight="1" x14ac:dyDescent="0.2">
      <c r="D991" s="10"/>
      <c r="E991" s="10"/>
      <c r="F991" s="10"/>
      <c r="G991" s="11"/>
      <c r="H991" s="11"/>
    </row>
    <row r="992" spans="4:8" ht="15.75" customHeight="1" x14ac:dyDescent="0.2">
      <c r="D992" s="10"/>
      <c r="E992" s="10"/>
      <c r="F992" s="10"/>
      <c r="G992" s="11"/>
      <c r="H992" s="11"/>
    </row>
    <row r="993" spans="4:8" ht="15.75" customHeight="1" x14ac:dyDescent="0.2">
      <c r="D993" s="10"/>
      <c r="E993" s="10"/>
      <c r="F993" s="10"/>
      <c r="G993" s="11"/>
      <c r="H993" s="11"/>
    </row>
    <row r="994" spans="4:8" ht="15.75" customHeight="1" x14ac:dyDescent="0.2">
      <c r="D994" s="10"/>
      <c r="E994" s="10"/>
      <c r="F994" s="10"/>
      <c r="G994" s="11"/>
      <c r="H994" s="11"/>
    </row>
    <row r="995" spans="4:8" ht="15.75" customHeight="1" x14ac:dyDescent="0.2">
      <c r="D995" s="10"/>
      <c r="E995" s="10"/>
      <c r="F995" s="10"/>
      <c r="G995" s="11"/>
      <c r="H995" s="11"/>
    </row>
    <row r="996" spans="4:8" ht="15.75" customHeight="1" x14ac:dyDescent="0.2">
      <c r="D996" s="10"/>
      <c r="E996" s="10"/>
      <c r="F996" s="10"/>
      <c r="G996" s="11"/>
      <c r="H996" s="11"/>
    </row>
    <row r="997" spans="4:8" ht="15.75" customHeight="1" x14ac:dyDescent="0.2">
      <c r="D997" s="10"/>
      <c r="E997" s="10"/>
      <c r="F997" s="10"/>
      <c r="G997" s="11"/>
      <c r="H997" s="11"/>
    </row>
    <row r="998" spans="4:8" ht="15.75" customHeight="1" x14ac:dyDescent="0.2">
      <c r="D998" s="10"/>
      <c r="E998" s="10"/>
      <c r="F998" s="10"/>
      <c r="G998" s="11"/>
      <c r="H998" s="11"/>
    </row>
    <row r="999" spans="4:8" ht="15.75" customHeight="1" x14ac:dyDescent="0.2">
      <c r="D999" s="10"/>
      <c r="E999" s="10"/>
      <c r="F999" s="10"/>
      <c r="G999" s="11"/>
      <c r="H999" s="11"/>
    </row>
    <row r="1000" spans="4:8" ht="15.75" customHeight="1" x14ac:dyDescent="0.2">
      <c r="D1000" s="10"/>
      <c r="E1000" s="10"/>
      <c r="F1000" s="10"/>
      <c r="G1000" s="11"/>
      <c r="H1000" s="11"/>
    </row>
    <row r="1001" spans="4:8" ht="15.75" customHeight="1" x14ac:dyDescent="0.2">
      <c r="D1001" s="10"/>
      <c r="E1001" s="10"/>
      <c r="F1001" s="10"/>
      <c r="G1001" s="11"/>
      <c r="H1001" s="11"/>
    </row>
  </sheetData>
  <autoFilter ref="A1:H1001" xr:uid="{00000000-0001-0000-0100-000000000000}"/>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999"/>
  <sheetViews>
    <sheetView workbookViewId="0">
      <selection activeCell="F1" sqref="F1"/>
    </sheetView>
  </sheetViews>
  <sheetFormatPr baseColWidth="10" defaultColWidth="12.5" defaultRowHeight="15" customHeight="1" x14ac:dyDescent="0.15"/>
  <cols>
    <col min="1" max="1" width="32.5" customWidth="1"/>
    <col min="2" max="2" width="13.5" customWidth="1"/>
    <col min="6" max="6" width="18.1640625" customWidth="1"/>
  </cols>
  <sheetData>
    <row r="1" spans="1:13" ht="15.75" customHeight="1" x14ac:dyDescent="0.2">
      <c r="A1" s="68" t="s">
        <v>0</v>
      </c>
      <c r="B1" s="68" t="s">
        <v>1</v>
      </c>
      <c r="C1" s="68" t="s">
        <v>78</v>
      </c>
      <c r="D1" s="68" t="s">
        <v>79</v>
      </c>
      <c r="E1" s="68" t="s">
        <v>80</v>
      </c>
      <c r="F1" s="68" t="s">
        <v>418</v>
      </c>
      <c r="G1" s="68" t="s">
        <v>1317</v>
      </c>
      <c r="H1" s="68" t="s">
        <v>1318</v>
      </c>
      <c r="I1" s="68" t="s">
        <v>81</v>
      </c>
      <c r="J1" s="14" t="s">
        <v>206</v>
      </c>
      <c r="K1" s="14" t="s">
        <v>79</v>
      </c>
      <c r="L1" s="14" t="s">
        <v>207</v>
      </c>
      <c r="M1" s="14" t="s">
        <v>208</v>
      </c>
    </row>
    <row r="2" spans="1:13" ht="15.75" customHeight="1" x14ac:dyDescent="0.2">
      <c r="A2" s="71" t="s">
        <v>82</v>
      </c>
      <c r="B2" s="72" t="s">
        <v>83</v>
      </c>
      <c r="C2" s="71" t="s">
        <v>6</v>
      </c>
      <c r="D2" s="71" t="s">
        <v>6</v>
      </c>
      <c r="E2" s="71" t="s">
        <v>6</v>
      </c>
      <c r="F2" s="71" t="s">
        <v>6</v>
      </c>
      <c r="G2" s="93" t="s">
        <v>944</v>
      </c>
      <c r="H2" s="93" t="s">
        <v>943</v>
      </c>
      <c r="I2" s="73" t="s">
        <v>84</v>
      </c>
      <c r="J2" s="11">
        <f>COUNTIF(C2:C17,"Y")</f>
        <v>13</v>
      </c>
      <c r="K2" s="11">
        <f>COUNTIF(D2:D17,"Y")</f>
        <v>12</v>
      </c>
      <c r="L2" s="11">
        <f>COUNTIF(E2:E17,"Y")</f>
        <v>10</v>
      </c>
      <c r="M2" s="11">
        <f>COUNTIF(F2:F17,"Y")</f>
        <v>10</v>
      </c>
    </row>
    <row r="3" spans="1:13" ht="15.75" customHeight="1" x14ac:dyDescent="0.2">
      <c r="A3" s="71" t="s">
        <v>85</v>
      </c>
      <c r="B3" s="72" t="s">
        <v>83</v>
      </c>
      <c r="C3" s="71" t="s">
        <v>4</v>
      </c>
      <c r="D3" s="71" t="s">
        <v>4</v>
      </c>
      <c r="E3" s="71" t="s">
        <v>4</v>
      </c>
      <c r="F3" s="71" t="s">
        <v>6</v>
      </c>
      <c r="G3" s="93" t="s">
        <v>1162</v>
      </c>
      <c r="H3" s="93" t="s">
        <v>1161</v>
      </c>
      <c r="I3" s="73" t="s">
        <v>84</v>
      </c>
    </row>
    <row r="4" spans="1:13" ht="15.75" customHeight="1" x14ac:dyDescent="0.2">
      <c r="A4" s="69" t="s">
        <v>86</v>
      </c>
      <c r="B4" s="74" t="s">
        <v>83</v>
      </c>
      <c r="C4" s="69" t="s">
        <v>6</v>
      </c>
      <c r="D4" s="69" t="s">
        <v>6</v>
      </c>
      <c r="E4" s="69" t="s">
        <v>6</v>
      </c>
      <c r="F4" s="69" t="s">
        <v>6</v>
      </c>
      <c r="G4" s="93" t="s">
        <v>998</v>
      </c>
      <c r="H4" s="93" t="s">
        <v>997</v>
      </c>
      <c r="I4" s="75"/>
    </row>
    <row r="5" spans="1:13" ht="15.75" customHeight="1" x14ac:dyDescent="0.2">
      <c r="A5" s="69" t="s">
        <v>87</v>
      </c>
      <c r="B5" s="74" t="s">
        <v>83</v>
      </c>
      <c r="C5" s="69" t="s">
        <v>6</v>
      </c>
      <c r="D5" s="69" t="s">
        <v>6</v>
      </c>
      <c r="E5" s="69" t="s">
        <v>4</v>
      </c>
      <c r="F5" s="69" t="s">
        <v>6</v>
      </c>
      <c r="G5" s="93" t="s">
        <v>988</v>
      </c>
      <c r="H5" s="93" t="s">
        <v>987</v>
      </c>
      <c r="I5" s="75"/>
    </row>
    <row r="6" spans="1:13" ht="15.75" customHeight="1" x14ac:dyDescent="0.2">
      <c r="A6" s="69" t="s">
        <v>88</v>
      </c>
      <c r="B6" s="74" t="s">
        <v>83</v>
      </c>
      <c r="C6" s="69" t="s">
        <v>6</v>
      </c>
      <c r="D6" s="69" t="s">
        <v>6</v>
      </c>
      <c r="E6" s="69" t="s">
        <v>6</v>
      </c>
      <c r="F6" s="69" t="s">
        <v>6</v>
      </c>
      <c r="G6" s="93" t="s">
        <v>962</v>
      </c>
      <c r="H6" s="93" t="s">
        <v>961</v>
      </c>
      <c r="I6" s="75"/>
    </row>
    <row r="7" spans="1:13" ht="15.75" customHeight="1" x14ac:dyDescent="0.2">
      <c r="A7" s="69" t="s">
        <v>89</v>
      </c>
      <c r="B7" s="74" t="s">
        <v>83</v>
      </c>
      <c r="C7" s="69" t="s">
        <v>6</v>
      </c>
      <c r="D7" s="69" t="s">
        <v>6</v>
      </c>
      <c r="E7" s="69" t="s">
        <v>6</v>
      </c>
      <c r="F7" s="69" t="s">
        <v>6</v>
      </c>
      <c r="G7" s="93" t="s">
        <v>958</v>
      </c>
      <c r="H7" s="93" t="s">
        <v>957</v>
      </c>
      <c r="I7" s="75"/>
    </row>
    <row r="8" spans="1:13" ht="15.75" customHeight="1" x14ac:dyDescent="0.2">
      <c r="A8" s="69" t="s">
        <v>90</v>
      </c>
      <c r="B8" s="74" t="s">
        <v>83</v>
      </c>
      <c r="C8" s="69" t="s">
        <v>6</v>
      </c>
      <c r="D8" s="69" t="s">
        <v>4</v>
      </c>
      <c r="E8" s="69" t="s">
        <v>4</v>
      </c>
      <c r="F8" s="69" t="s">
        <v>4</v>
      </c>
      <c r="G8" s="93" t="s">
        <v>932</v>
      </c>
      <c r="H8" s="93" t="s">
        <v>931</v>
      </c>
      <c r="I8" s="75"/>
    </row>
    <row r="9" spans="1:13" ht="15.75" customHeight="1" x14ac:dyDescent="0.2">
      <c r="A9" s="69" t="s">
        <v>91</v>
      </c>
      <c r="B9" s="74" t="s">
        <v>83</v>
      </c>
      <c r="C9" s="69" t="s">
        <v>6</v>
      </c>
      <c r="D9" s="69" t="s">
        <v>6</v>
      </c>
      <c r="E9" s="69" t="s">
        <v>6</v>
      </c>
      <c r="F9" s="69" t="s">
        <v>6</v>
      </c>
      <c r="G9" s="93" t="s">
        <v>1050</v>
      </c>
      <c r="H9" s="93" t="s">
        <v>1049</v>
      </c>
      <c r="I9" s="75"/>
    </row>
    <row r="10" spans="1:13" ht="15.75" customHeight="1" x14ac:dyDescent="0.2">
      <c r="A10" s="69" t="s">
        <v>92</v>
      </c>
      <c r="B10" s="74" t="s">
        <v>83</v>
      </c>
      <c r="C10" s="69" t="s">
        <v>6</v>
      </c>
      <c r="D10" s="69" t="s">
        <v>6</v>
      </c>
      <c r="E10" s="69" t="s">
        <v>4</v>
      </c>
      <c r="F10" s="69" t="s">
        <v>4</v>
      </c>
      <c r="G10" s="93" t="s">
        <v>960</v>
      </c>
      <c r="H10" s="93" t="s">
        <v>959</v>
      </c>
      <c r="I10" s="75"/>
    </row>
    <row r="11" spans="1:13" ht="15.75" customHeight="1" x14ac:dyDescent="0.2">
      <c r="A11" s="69" t="s">
        <v>93</v>
      </c>
      <c r="B11" s="74" t="s">
        <v>83</v>
      </c>
      <c r="C11" s="69" t="s">
        <v>4</v>
      </c>
      <c r="D11" s="69" t="s">
        <v>4</v>
      </c>
      <c r="E11" s="69" t="s">
        <v>4</v>
      </c>
      <c r="F11" s="69" t="s">
        <v>4</v>
      </c>
      <c r="G11" s="93" t="s">
        <v>934</v>
      </c>
      <c r="H11" s="93" t="s">
        <v>933</v>
      </c>
      <c r="I11" s="75"/>
    </row>
    <row r="12" spans="1:13" ht="15.75" customHeight="1" x14ac:dyDescent="0.2">
      <c r="A12" s="69" t="s">
        <v>94</v>
      </c>
      <c r="B12" s="74" t="s">
        <v>83</v>
      </c>
      <c r="C12" s="69" t="s">
        <v>6</v>
      </c>
      <c r="D12" s="69" t="s">
        <v>6</v>
      </c>
      <c r="E12" s="69" t="s">
        <v>6</v>
      </c>
      <c r="F12" s="69" t="s">
        <v>6</v>
      </c>
      <c r="G12" s="93" t="s">
        <v>940</v>
      </c>
      <c r="H12" s="93" t="s">
        <v>939</v>
      </c>
      <c r="I12" s="75"/>
    </row>
    <row r="13" spans="1:13" ht="15.75" customHeight="1" x14ac:dyDescent="0.2">
      <c r="A13" s="69" t="s">
        <v>95</v>
      </c>
      <c r="B13" s="74" t="s">
        <v>83</v>
      </c>
      <c r="C13" s="69" t="s">
        <v>6</v>
      </c>
      <c r="D13" s="69" t="s">
        <v>6</v>
      </c>
      <c r="E13" s="69" t="s">
        <v>6</v>
      </c>
      <c r="F13" s="69" t="s">
        <v>4</v>
      </c>
      <c r="G13" s="93" t="s">
        <v>978</v>
      </c>
      <c r="H13" s="93" t="s">
        <v>977</v>
      </c>
      <c r="I13" s="75"/>
    </row>
    <row r="14" spans="1:13" ht="15.75" customHeight="1" x14ac:dyDescent="0.2">
      <c r="A14" s="69" t="s">
        <v>96</v>
      </c>
      <c r="B14" s="74" t="s">
        <v>83</v>
      </c>
      <c r="C14" s="69" t="s">
        <v>6</v>
      </c>
      <c r="D14" s="69" t="s">
        <v>6</v>
      </c>
      <c r="E14" s="69" t="s">
        <v>6</v>
      </c>
      <c r="F14" s="69" t="s">
        <v>6</v>
      </c>
      <c r="G14" s="93" t="s">
        <v>954</v>
      </c>
      <c r="H14" s="93" t="s">
        <v>953</v>
      </c>
      <c r="I14" s="75"/>
    </row>
    <row r="15" spans="1:13" ht="15.75" customHeight="1" x14ac:dyDescent="0.2">
      <c r="A15" s="69" t="s">
        <v>97</v>
      </c>
      <c r="B15" s="74" t="s">
        <v>83</v>
      </c>
      <c r="C15" s="69" t="s">
        <v>6</v>
      </c>
      <c r="D15" s="69" t="s">
        <v>6</v>
      </c>
      <c r="E15" s="69" t="s">
        <v>6</v>
      </c>
      <c r="F15" s="69" t="s">
        <v>6</v>
      </c>
      <c r="G15" s="93" t="s">
        <v>1002</v>
      </c>
      <c r="H15" s="93" t="s">
        <v>1001</v>
      </c>
      <c r="I15" s="75"/>
    </row>
    <row r="16" spans="1:13" ht="15.75" customHeight="1" x14ac:dyDescent="0.2">
      <c r="A16" s="69" t="s">
        <v>98</v>
      </c>
      <c r="B16" s="74" t="s">
        <v>83</v>
      </c>
      <c r="C16" s="69" t="s">
        <v>4</v>
      </c>
      <c r="D16" s="69" t="s">
        <v>4</v>
      </c>
      <c r="E16" s="69" t="s">
        <v>4</v>
      </c>
      <c r="F16" s="69" t="s">
        <v>4</v>
      </c>
      <c r="G16" s="93" t="s">
        <v>1012</v>
      </c>
      <c r="H16" s="93" t="s">
        <v>1011</v>
      </c>
      <c r="I16" s="75"/>
    </row>
    <row r="17" spans="1:13" ht="15.75" customHeight="1" x14ac:dyDescent="0.2">
      <c r="A17" s="76" t="s">
        <v>99</v>
      </c>
      <c r="B17" s="77" t="s">
        <v>83</v>
      </c>
      <c r="C17" s="76" t="s">
        <v>6</v>
      </c>
      <c r="D17" s="76" t="s">
        <v>6</v>
      </c>
      <c r="E17" s="76" t="s">
        <v>6</v>
      </c>
      <c r="F17" s="76" t="s">
        <v>4</v>
      </c>
      <c r="G17" s="93" t="s">
        <v>914</v>
      </c>
      <c r="H17" s="93" t="s">
        <v>913</v>
      </c>
      <c r="I17" s="75"/>
    </row>
    <row r="18" spans="1:13" ht="15.75" customHeight="1" x14ac:dyDescent="0.2">
      <c r="A18" s="78">
        <v>0</v>
      </c>
      <c r="B18" s="78" t="s">
        <v>24</v>
      </c>
      <c r="C18" s="78" t="s">
        <v>6</v>
      </c>
      <c r="D18" s="78" t="s">
        <v>6</v>
      </c>
      <c r="E18" s="78" t="s">
        <v>6</v>
      </c>
      <c r="F18" s="69" t="s">
        <v>4</v>
      </c>
      <c r="G18" s="93" t="s">
        <v>440</v>
      </c>
      <c r="H18" s="93" t="s">
        <v>439</v>
      </c>
      <c r="I18" s="82"/>
      <c r="J18" s="11">
        <f>COUNTIF(C18:C35,"Y")</f>
        <v>18</v>
      </c>
      <c r="K18" s="11">
        <f>COUNTIF(D18:D35,"Y")</f>
        <v>18</v>
      </c>
      <c r="L18" s="11">
        <f>COUNTIF(E18:E35,"Y")</f>
        <v>17</v>
      </c>
      <c r="M18" s="11">
        <f>COUNTIF(F18:F35,"Y")</f>
        <v>12</v>
      </c>
    </row>
    <row r="19" spans="1:13" ht="15.75" customHeight="1" x14ac:dyDescent="0.2">
      <c r="A19" s="74">
        <v>889</v>
      </c>
      <c r="B19" s="74" t="s">
        <v>24</v>
      </c>
      <c r="C19" s="74" t="s">
        <v>6</v>
      </c>
      <c r="D19" s="74" t="s">
        <v>6</v>
      </c>
      <c r="E19" s="74" t="s">
        <v>6</v>
      </c>
      <c r="F19" s="69" t="s">
        <v>6</v>
      </c>
      <c r="G19" s="93" t="s">
        <v>466</v>
      </c>
      <c r="H19" s="93" t="s">
        <v>465</v>
      </c>
      <c r="I19" s="82"/>
    </row>
    <row r="20" spans="1:13" ht="15.75" customHeight="1" x14ac:dyDescent="0.2">
      <c r="A20" s="74">
        <v>1173</v>
      </c>
      <c r="B20" s="74" t="s">
        <v>24</v>
      </c>
      <c r="C20" s="74" t="s">
        <v>6</v>
      </c>
      <c r="D20" s="74" t="s">
        <v>6</v>
      </c>
      <c r="E20" s="74" t="s">
        <v>6</v>
      </c>
      <c r="F20" s="69" t="s">
        <v>6</v>
      </c>
      <c r="G20" s="93" t="s">
        <v>476</v>
      </c>
      <c r="H20" s="93" t="s">
        <v>475</v>
      </c>
      <c r="I20" s="82"/>
    </row>
    <row r="21" spans="1:13" ht="15.75" customHeight="1" x14ac:dyDescent="0.2">
      <c r="A21" s="74">
        <v>1190</v>
      </c>
      <c r="B21" s="74" t="s">
        <v>24</v>
      </c>
      <c r="C21" s="74" t="s">
        <v>6</v>
      </c>
      <c r="D21" s="74" t="s">
        <v>6</v>
      </c>
      <c r="E21" s="74" t="s">
        <v>6</v>
      </c>
      <c r="F21" s="69" t="s">
        <v>6</v>
      </c>
      <c r="G21" s="93" t="s">
        <v>478</v>
      </c>
      <c r="H21" s="93" t="s">
        <v>477</v>
      </c>
      <c r="I21" s="82"/>
    </row>
    <row r="22" spans="1:13" ht="15.75" customHeight="1" x14ac:dyDescent="0.2">
      <c r="A22" s="74">
        <v>2724</v>
      </c>
      <c r="B22" s="74" t="s">
        <v>24</v>
      </c>
      <c r="C22" s="74" t="s">
        <v>6</v>
      </c>
      <c r="D22" s="74" t="s">
        <v>6</v>
      </c>
      <c r="E22" s="74" t="s">
        <v>6</v>
      </c>
      <c r="F22" s="69" t="s">
        <v>4</v>
      </c>
      <c r="G22" s="93" t="s">
        <v>536</v>
      </c>
      <c r="H22" s="93" t="s">
        <v>535</v>
      </c>
      <c r="I22" s="82"/>
    </row>
    <row r="23" spans="1:13" ht="15.75" customHeight="1" x14ac:dyDescent="0.2">
      <c r="A23" s="74">
        <v>4277</v>
      </c>
      <c r="B23" s="74" t="s">
        <v>24</v>
      </c>
      <c r="C23" s="74" t="s">
        <v>6</v>
      </c>
      <c r="D23" s="74" t="s">
        <v>6</v>
      </c>
      <c r="E23" s="74" t="s">
        <v>6</v>
      </c>
      <c r="F23" s="69" t="s">
        <v>6</v>
      </c>
      <c r="G23" s="93" t="s">
        <v>568</v>
      </c>
      <c r="H23" s="93" t="s">
        <v>567</v>
      </c>
      <c r="I23" s="82"/>
    </row>
    <row r="24" spans="1:13" ht="15.75" customHeight="1" x14ac:dyDescent="0.2">
      <c r="A24" s="74">
        <v>4290</v>
      </c>
      <c r="B24" s="74" t="s">
        <v>24</v>
      </c>
      <c r="C24" s="74" t="s">
        <v>6</v>
      </c>
      <c r="D24" s="74" t="s">
        <v>6</v>
      </c>
      <c r="E24" s="74" t="s">
        <v>6</v>
      </c>
      <c r="F24" s="69" t="s">
        <v>6</v>
      </c>
      <c r="G24" s="93" t="s">
        <v>570</v>
      </c>
      <c r="H24" s="93" t="s">
        <v>569</v>
      </c>
      <c r="I24" s="82"/>
    </row>
    <row r="25" spans="1:13" ht="15.75" customHeight="1" x14ac:dyDescent="0.2">
      <c r="A25" s="74">
        <v>5114</v>
      </c>
      <c r="B25" s="74" t="s">
        <v>24</v>
      </c>
      <c r="C25" s="74" t="s">
        <v>6</v>
      </c>
      <c r="D25" s="74" t="s">
        <v>6</v>
      </c>
      <c r="E25" s="74" t="s">
        <v>6</v>
      </c>
      <c r="F25" s="69" t="s">
        <v>6</v>
      </c>
      <c r="G25" s="93" t="s">
        <v>594</v>
      </c>
      <c r="H25" s="93" t="s">
        <v>593</v>
      </c>
      <c r="I25" s="82"/>
    </row>
    <row r="26" spans="1:13" ht="15.75" customHeight="1" x14ac:dyDescent="0.2">
      <c r="A26" s="74">
        <v>5138</v>
      </c>
      <c r="B26" s="74" t="s">
        <v>24</v>
      </c>
      <c r="C26" s="74" t="s">
        <v>6</v>
      </c>
      <c r="D26" s="74" t="s">
        <v>6</v>
      </c>
      <c r="E26" s="74" t="s">
        <v>6</v>
      </c>
      <c r="F26" s="69" t="s">
        <v>6</v>
      </c>
      <c r="G26" s="93" t="s">
        <v>596</v>
      </c>
      <c r="H26" s="93" t="s">
        <v>595</v>
      </c>
      <c r="I26" s="82"/>
    </row>
    <row r="27" spans="1:13" ht="15.75" customHeight="1" x14ac:dyDescent="0.2">
      <c r="A27" s="74">
        <v>5660</v>
      </c>
      <c r="B27" s="74" t="s">
        <v>24</v>
      </c>
      <c r="C27" s="74" t="s">
        <v>6</v>
      </c>
      <c r="D27" s="74" t="s">
        <v>6</v>
      </c>
      <c r="E27" s="74" t="s">
        <v>6</v>
      </c>
      <c r="F27" s="69" t="s">
        <v>6</v>
      </c>
      <c r="G27" s="93" t="s">
        <v>608</v>
      </c>
      <c r="H27" s="93" t="s">
        <v>607</v>
      </c>
      <c r="I27" s="82"/>
    </row>
    <row r="28" spans="1:13" ht="15.75" customHeight="1" x14ac:dyDescent="0.2">
      <c r="A28" s="74">
        <v>5748</v>
      </c>
      <c r="B28" s="74" t="s">
        <v>24</v>
      </c>
      <c r="C28" s="74" t="s">
        <v>6</v>
      </c>
      <c r="D28" s="74" t="s">
        <v>6</v>
      </c>
      <c r="E28" s="74" t="s">
        <v>6</v>
      </c>
      <c r="F28" s="69" t="s">
        <v>6</v>
      </c>
      <c r="G28" s="93" t="s">
        <v>610</v>
      </c>
      <c r="H28" s="93" t="s">
        <v>609</v>
      </c>
      <c r="I28" s="82"/>
    </row>
    <row r="29" spans="1:13" ht="15.75" customHeight="1" x14ac:dyDescent="0.2">
      <c r="A29" s="74">
        <v>6567</v>
      </c>
      <c r="B29" s="74" t="s">
        <v>24</v>
      </c>
      <c r="C29" s="74" t="s">
        <v>6</v>
      </c>
      <c r="D29" s="74" t="s">
        <v>6</v>
      </c>
      <c r="E29" s="74" t="s">
        <v>6</v>
      </c>
      <c r="F29" s="69" t="s">
        <v>4</v>
      </c>
      <c r="G29" s="93" t="s">
        <v>620</v>
      </c>
      <c r="H29" s="93" t="s">
        <v>619</v>
      </c>
      <c r="I29" s="82"/>
    </row>
    <row r="30" spans="1:13" ht="15.75" customHeight="1" x14ac:dyDescent="0.2">
      <c r="A30" s="74">
        <v>7017</v>
      </c>
      <c r="B30" s="74" t="s">
        <v>24</v>
      </c>
      <c r="C30" s="74" t="s">
        <v>6</v>
      </c>
      <c r="D30" s="74" t="s">
        <v>6</v>
      </c>
      <c r="E30" s="74" t="s">
        <v>6</v>
      </c>
      <c r="F30" s="69" t="s">
        <v>4</v>
      </c>
      <c r="G30" s="93" t="s">
        <v>628</v>
      </c>
      <c r="H30" s="93" t="s">
        <v>627</v>
      </c>
      <c r="I30" s="82"/>
    </row>
    <row r="31" spans="1:13" ht="15.75" customHeight="1" x14ac:dyDescent="0.2">
      <c r="A31" s="74">
        <v>9021</v>
      </c>
      <c r="B31" s="74" t="s">
        <v>24</v>
      </c>
      <c r="C31" s="74" t="s">
        <v>6</v>
      </c>
      <c r="D31" s="74" t="s">
        <v>6</v>
      </c>
      <c r="E31" s="74" t="s">
        <v>4</v>
      </c>
      <c r="F31" s="69" t="s">
        <v>4</v>
      </c>
      <c r="G31" s="93" t="s">
        <v>648</v>
      </c>
      <c r="H31" s="93" t="s">
        <v>647</v>
      </c>
      <c r="I31" s="82"/>
    </row>
    <row r="32" spans="1:13" ht="15.75" customHeight="1" x14ac:dyDescent="0.2">
      <c r="A32" s="74">
        <v>9593</v>
      </c>
      <c r="B32" s="74" t="s">
        <v>24</v>
      </c>
      <c r="C32" s="74" t="s">
        <v>6</v>
      </c>
      <c r="D32" s="74" t="s">
        <v>6</v>
      </c>
      <c r="E32" s="74" t="s">
        <v>6</v>
      </c>
      <c r="F32" s="69" t="s">
        <v>6</v>
      </c>
      <c r="G32" s="93" t="s">
        <v>656</v>
      </c>
      <c r="H32" s="93" t="s">
        <v>655</v>
      </c>
      <c r="I32" s="82"/>
    </row>
    <row r="33" spans="1:13" ht="15.75" customHeight="1" x14ac:dyDescent="0.2">
      <c r="A33" s="74">
        <v>9635</v>
      </c>
      <c r="B33" s="74" t="s">
        <v>24</v>
      </c>
      <c r="C33" s="74" t="s">
        <v>6</v>
      </c>
      <c r="D33" s="74" t="s">
        <v>6</v>
      </c>
      <c r="E33" s="74" t="s">
        <v>6</v>
      </c>
      <c r="F33" s="69" t="s">
        <v>6</v>
      </c>
      <c r="G33" s="93" t="s">
        <v>660</v>
      </c>
      <c r="H33" s="93" t="s">
        <v>659</v>
      </c>
      <c r="I33" s="82"/>
    </row>
    <row r="34" spans="1:13" ht="15.75" customHeight="1" x14ac:dyDescent="0.2">
      <c r="A34" s="74">
        <v>9641</v>
      </c>
      <c r="B34" s="74" t="s">
        <v>24</v>
      </c>
      <c r="C34" s="74" t="s">
        <v>6</v>
      </c>
      <c r="D34" s="74" t="s">
        <v>6</v>
      </c>
      <c r="E34" s="74" t="s">
        <v>6</v>
      </c>
      <c r="F34" s="69" t="s">
        <v>6</v>
      </c>
      <c r="G34" s="93" t="s">
        <v>662</v>
      </c>
      <c r="H34" s="93" t="s">
        <v>661</v>
      </c>
      <c r="I34" s="82"/>
    </row>
    <row r="35" spans="1:13" ht="15.75" customHeight="1" x14ac:dyDescent="0.2">
      <c r="A35" s="77">
        <v>9694</v>
      </c>
      <c r="B35" s="77" t="s">
        <v>24</v>
      </c>
      <c r="C35" s="77" t="s">
        <v>6</v>
      </c>
      <c r="D35" s="77" t="s">
        <v>6</v>
      </c>
      <c r="E35" s="77" t="s">
        <v>6</v>
      </c>
      <c r="F35" s="80" t="s">
        <v>4</v>
      </c>
      <c r="G35" s="93" t="s">
        <v>664</v>
      </c>
      <c r="H35" s="93" t="s">
        <v>663</v>
      </c>
      <c r="I35" s="82"/>
    </row>
    <row r="36" spans="1:13" ht="15.75" customHeight="1" x14ac:dyDescent="0.2">
      <c r="A36" s="78" t="s">
        <v>100</v>
      </c>
      <c r="B36" s="78" t="s">
        <v>23</v>
      </c>
      <c r="C36" s="78" t="s">
        <v>6</v>
      </c>
      <c r="D36" s="78" t="s">
        <v>6</v>
      </c>
      <c r="E36" s="78" t="s">
        <v>6</v>
      </c>
      <c r="F36" s="81" t="s">
        <v>4</v>
      </c>
      <c r="G36" s="93" t="s">
        <v>666</v>
      </c>
      <c r="H36" s="93" t="s">
        <v>665</v>
      </c>
      <c r="I36" s="75"/>
      <c r="J36" s="11">
        <f>COUNTIF(C36:C53,"Y")</f>
        <v>18</v>
      </c>
      <c r="K36" s="11">
        <f>COUNTIF(D36:D53,"Y")</f>
        <v>18</v>
      </c>
      <c r="L36" s="11">
        <f>COUNTIF(E36:E53,"Y")</f>
        <v>18</v>
      </c>
      <c r="M36" s="11">
        <f>COUNTIF(F36:F53,"Y")</f>
        <v>10</v>
      </c>
    </row>
    <row r="37" spans="1:13" ht="15.75" customHeight="1" x14ac:dyDescent="0.2">
      <c r="A37" s="74" t="s">
        <v>101</v>
      </c>
      <c r="B37" s="74" t="s">
        <v>23</v>
      </c>
      <c r="C37" s="74" t="s">
        <v>6</v>
      </c>
      <c r="D37" s="74" t="s">
        <v>6</v>
      </c>
      <c r="E37" s="74" t="s">
        <v>6</v>
      </c>
      <c r="F37" s="69" t="s">
        <v>4</v>
      </c>
      <c r="G37" s="93" t="s">
        <v>668</v>
      </c>
      <c r="H37" s="93" t="s">
        <v>667</v>
      </c>
      <c r="I37" s="75"/>
    </row>
    <row r="38" spans="1:13" ht="15.75" customHeight="1" x14ac:dyDescent="0.2">
      <c r="A38" s="74" t="s">
        <v>102</v>
      </c>
      <c r="B38" s="74" t="s">
        <v>23</v>
      </c>
      <c r="C38" s="74" t="s">
        <v>6</v>
      </c>
      <c r="D38" s="74" t="s">
        <v>6</v>
      </c>
      <c r="E38" s="74" t="s">
        <v>6</v>
      </c>
      <c r="F38" s="69" t="s">
        <v>6</v>
      </c>
      <c r="G38" s="93" t="s">
        <v>672</v>
      </c>
      <c r="H38" s="93" t="s">
        <v>671</v>
      </c>
      <c r="I38" s="75"/>
    </row>
    <row r="39" spans="1:13" ht="15.75" customHeight="1" x14ac:dyDescent="0.2">
      <c r="A39" s="74" t="s">
        <v>103</v>
      </c>
      <c r="B39" s="74" t="s">
        <v>23</v>
      </c>
      <c r="C39" s="74" t="s">
        <v>6</v>
      </c>
      <c r="D39" s="74" t="s">
        <v>6</v>
      </c>
      <c r="E39" s="74" t="s">
        <v>6</v>
      </c>
      <c r="F39" s="69" t="s">
        <v>6</v>
      </c>
      <c r="G39" s="93" t="s">
        <v>674</v>
      </c>
      <c r="H39" s="93" t="s">
        <v>673</v>
      </c>
      <c r="I39" s="75"/>
    </row>
    <row r="40" spans="1:13" ht="15.75" customHeight="1" x14ac:dyDescent="0.2">
      <c r="A40" s="74" t="s">
        <v>104</v>
      </c>
      <c r="B40" s="74" t="s">
        <v>23</v>
      </c>
      <c r="C40" s="74" t="s">
        <v>6</v>
      </c>
      <c r="D40" s="74" t="s">
        <v>6</v>
      </c>
      <c r="E40" s="74" t="s">
        <v>6</v>
      </c>
      <c r="F40" s="69" t="s">
        <v>4</v>
      </c>
      <c r="G40" s="93" t="s">
        <v>676</v>
      </c>
      <c r="H40" s="93" t="s">
        <v>675</v>
      </c>
      <c r="I40" s="75"/>
    </row>
    <row r="41" spans="1:13" ht="15.75" customHeight="1" x14ac:dyDescent="0.2">
      <c r="A41" s="74" t="s">
        <v>105</v>
      </c>
      <c r="B41" s="74" t="s">
        <v>23</v>
      </c>
      <c r="C41" s="74" t="s">
        <v>6</v>
      </c>
      <c r="D41" s="74" t="s">
        <v>6</v>
      </c>
      <c r="E41" s="74" t="s">
        <v>6</v>
      </c>
      <c r="F41" s="69" t="s">
        <v>4</v>
      </c>
      <c r="G41" s="93" t="s">
        <v>678</v>
      </c>
      <c r="H41" s="93" t="s">
        <v>677</v>
      </c>
      <c r="I41" s="75"/>
    </row>
    <row r="42" spans="1:13" ht="15.75" customHeight="1" x14ac:dyDescent="0.2">
      <c r="A42" s="74" t="s">
        <v>106</v>
      </c>
      <c r="B42" s="74" t="s">
        <v>23</v>
      </c>
      <c r="C42" s="74" t="s">
        <v>6</v>
      </c>
      <c r="D42" s="74" t="s">
        <v>6</v>
      </c>
      <c r="E42" s="74" t="s">
        <v>6</v>
      </c>
      <c r="F42" s="69" t="s">
        <v>6</v>
      </c>
      <c r="G42" s="93" t="s">
        <v>682</v>
      </c>
      <c r="H42" s="93" t="s">
        <v>681</v>
      </c>
      <c r="I42" s="75"/>
    </row>
    <row r="43" spans="1:13" ht="15.75" customHeight="1" x14ac:dyDescent="0.2">
      <c r="A43" s="74" t="s">
        <v>107</v>
      </c>
      <c r="B43" s="74" t="s">
        <v>23</v>
      </c>
      <c r="C43" s="74" t="s">
        <v>6</v>
      </c>
      <c r="D43" s="74" t="s">
        <v>6</v>
      </c>
      <c r="E43" s="74" t="s">
        <v>6</v>
      </c>
      <c r="F43" s="69" t="s">
        <v>6</v>
      </c>
      <c r="G43" s="93" t="s">
        <v>684</v>
      </c>
      <c r="H43" s="93" t="s">
        <v>683</v>
      </c>
      <c r="I43" s="75"/>
    </row>
    <row r="44" spans="1:13" ht="15.75" customHeight="1" x14ac:dyDescent="0.2">
      <c r="A44" s="74" t="s">
        <v>108</v>
      </c>
      <c r="B44" s="74" t="s">
        <v>23</v>
      </c>
      <c r="C44" s="74" t="s">
        <v>6</v>
      </c>
      <c r="D44" s="74" t="s">
        <v>6</v>
      </c>
      <c r="E44" s="74" t="s">
        <v>6</v>
      </c>
      <c r="F44" s="69" t="s">
        <v>4</v>
      </c>
      <c r="G44" s="93" t="s">
        <v>686</v>
      </c>
      <c r="H44" s="93" t="s">
        <v>685</v>
      </c>
      <c r="I44" s="75"/>
    </row>
    <row r="45" spans="1:13" ht="15.75" customHeight="1" x14ac:dyDescent="0.2">
      <c r="A45" s="74" t="s">
        <v>109</v>
      </c>
      <c r="B45" s="74" t="s">
        <v>23</v>
      </c>
      <c r="C45" s="74" t="s">
        <v>6</v>
      </c>
      <c r="D45" s="74" t="s">
        <v>6</v>
      </c>
      <c r="E45" s="74" t="s">
        <v>6</v>
      </c>
      <c r="F45" s="69" t="s">
        <v>6</v>
      </c>
      <c r="G45" s="93" t="s">
        <v>688</v>
      </c>
      <c r="H45" s="93" t="s">
        <v>687</v>
      </c>
      <c r="I45" s="75"/>
    </row>
    <row r="46" spans="1:13" ht="15.75" customHeight="1" x14ac:dyDescent="0.2">
      <c r="A46" s="74" t="s">
        <v>110</v>
      </c>
      <c r="B46" s="74" t="s">
        <v>23</v>
      </c>
      <c r="C46" s="74" t="s">
        <v>6</v>
      </c>
      <c r="D46" s="74" t="s">
        <v>6</v>
      </c>
      <c r="E46" s="74" t="s">
        <v>6</v>
      </c>
      <c r="F46" s="69" t="s">
        <v>4</v>
      </c>
      <c r="G46" s="93" t="s">
        <v>690</v>
      </c>
      <c r="H46" s="93" t="s">
        <v>689</v>
      </c>
      <c r="I46" s="75"/>
    </row>
    <row r="47" spans="1:13" ht="15.75" customHeight="1" x14ac:dyDescent="0.2">
      <c r="A47" s="74" t="s">
        <v>111</v>
      </c>
      <c r="B47" s="74" t="s">
        <v>23</v>
      </c>
      <c r="C47" s="74" t="s">
        <v>6</v>
      </c>
      <c r="D47" s="74" t="s">
        <v>6</v>
      </c>
      <c r="E47" s="74" t="s">
        <v>6</v>
      </c>
      <c r="F47" s="69" t="s">
        <v>4</v>
      </c>
      <c r="G47" s="93" t="s">
        <v>692</v>
      </c>
      <c r="H47" s="93" t="s">
        <v>691</v>
      </c>
      <c r="I47" s="75"/>
    </row>
    <row r="48" spans="1:13" ht="15.75" customHeight="1" x14ac:dyDescent="0.2">
      <c r="A48" s="74" t="s">
        <v>112</v>
      </c>
      <c r="B48" s="74" t="s">
        <v>23</v>
      </c>
      <c r="C48" s="74" t="s">
        <v>6</v>
      </c>
      <c r="D48" s="74" t="s">
        <v>6</v>
      </c>
      <c r="E48" s="74" t="s">
        <v>6</v>
      </c>
      <c r="F48" s="69" t="s">
        <v>6</v>
      </c>
      <c r="G48" s="93" t="s">
        <v>694</v>
      </c>
      <c r="H48" s="93" t="s">
        <v>693</v>
      </c>
      <c r="I48" s="75"/>
    </row>
    <row r="49" spans="1:13" ht="15.75" customHeight="1" x14ac:dyDescent="0.2">
      <c r="A49" s="74" t="s">
        <v>113</v>
      </c>
      <c r="B49" s="74" t="s">
        <v>23</v>
      </c>
      <c r="C49" s="74" t="s">
        <v>6</v>
      </c>
      <c r="D49" s="74" t="s">
        <v>6</v>
      </c>
      <c r="E49" s="74" t="s">
        <v>6</v>
      </c>
      <c r="F49" s="69" t="s">
        <v>4</v>
      </c>
      <c r="G49" s="93" t="s">
        <v>696</v>
      </c>
      <c r="H49" s="93" t="s">
        <v>695</v>
      </c>
      <c r="I49" s="75"/>
    </row>
    <row r="50" spans="1:13" ht="15.75" customHeight="1" x14ac:dyDescent="0.2">
      <c r="A50" s="74" t="s">
        <v>114</v>
      </c>
      <c r="B50" s="74" t="s">
        <v>23</v>
      </c>
      <c r="C50" s="74" t="s">
        <v>6</v>
      </c>
      <c r="D50" s="74" t="s">
        <v>6</v>
      </c>
      <c r="E50" s="74" t="s">
        <v>6</v>
      </c>
      <c r="F50" s="69" t="s">
        <v>6</v>
      </c>
      <c r="G50" s="93" t="s">
        <v>698</v>
      </c>
      <c r="H50" s="93" t="s">
        <v>697</v>
      </c>
      <c r="I50" s="75"/>
    </row>
    <row r="51" spans="1:13" ht="15.75" customHeight="1" x14ac:dyDescent="0.2">
      <c r="A51" s="74" t="s">
        <v>115</v>
      </c>
      <c r="B51" s="74" t="s">
        <v>23</v>
      </c>
      <c r="C51" s="74" t="s">
        <v>6</v>
      </c>
      <c r="D51" s="74" t="s">
        <v>6</v>
      </c>
      <c r="E51" s="74" t="s">
        <v>6</v>
      </c>
      <c r="F51" s="69" t="s">
        <v>6</v>
      </c>
      <c r="G51" s="93" t="s">
        <v>700</v>
      </c>
      <c r="H51" s="93" t="s">
        <v>699</v>
      </c>
      <c r="I51" s="75"/>
    </row>
    <row r="52" spans="1:13" ht="15.75" customHeight="1" x14ac:dyDescent="0.2">
      <c r="A52" s="74" t="s">
        <v>116</v>
      </c>
      <c r="B52" s="74" t="s">
        <v>23</v>
      </c>
      <c r="C52" s="74" t="s">
        <v>6</v>
      </c>
      <c r="D52" s="74" t="s">
        <v>6</v>
      </c>
      <c r="E52" s="74" t="s">
        <v>6</v>
      </c>
      <c r="F52" s="69" t="s">
        <v>6</v>
      </c>
      <c r="G52" s="93" t="s">
        <v>702</v>
      </c>
      <c r="H52" s="93" t="s">
        <v>701</v>
      </c>
      <c r="I52" s="75"/>
    </row>
    <row r="53" spans="1:13" ht="15.75" customHeight="1" x14ac:dyDescent="0.2">
      <c r="A53" s="77" t="s">
        <v>117</v>
      </c>
      <c r="B53" s="77" t="s">
        <v>23</v>
      </c>
      <c r="C53" s="77" t="s">
        <v>6</v>
      </c>
      <c r="D53" s="77" t="s">
        <v>6</v>
      </c>
      <c r="E53" s="77" t="s">
        <v>6</v>
      </c>
      <c r="F53" s="80" t="s">
        <v>6</v>
      </c>
      <c r="G53" s="93" t="s">
        <v>704</v>
      </c>
      <c r="H53" s="93" t="s">
        <v>703</v>
      </c>
      <c r="I53" s="75"/>
    </row>
    <row r="54" spans="1:13" ht="15.75" customHeight="1" x14ac:dyDescent="0.2">
      <c r="A54" s="79" t="s">
        <v>118</v>
      </c>
      <c r="B54" s="78" t="s">
        <v>119</v>
      </c>
      <c r="C54" s="78" t="s">
        <v>6</v>
      </c>
      <c r="D54" s="78" t="s">
        <v>6</v>
      </c>
      <c r="E54" s="78" t="s">
        <v>6</v>
      </c>
      <c r="F54" s="81" t="s">
        <v>6</v>
      </c>
      <c r="G54" s="93" t="s">
        <v>920</v>
      </c>
      <c r="H54" s="93" t="s">
        <v>919</v>
      </c>
      <c r="I54" s="82"/>
      <c r="J54" s="11">
        <f>COUNTIF(C54:C66,"Y")</f>
        <v>11</v>
      </c>
      <c r="K54" s="11">
        <f>COUNTIF(D54:D66,"Y")</f>
        <v>11</v>
      </c>
      <c r="L54" s="11">
        <f>COUNTIF(E54:E66,"Y")</f>
        <v>11</v>
      </c>
      <c r="M54" s="11">
        <f>COUNTIF(F54:F66,"Y")</f>
        <v>8</v>
      </c>
    </row>
    <row r="55" spans="1:13" ht="15.75" customHeight="1" x14ac:dyDescent="0.2">
      <c r="A55" s="69" t="s">
        <v>120</v>
      </c>
      <c r="B55" s="74" t="s">
        <v>119</v>
      </c>
      <c r="C55" s="74" t="s">
        <v>6</v>
      </c>
      <c r="D55" s="74" t="s">
        <v>6</v>
      </c>
      <c r="E55" s="74" t="s">
        <v>6</v>
      </c>
      <c r="F55" s="69" t="s">
        <v>4</v>
      </c>
      <c r="G55" s="93" t="s">
        <v>990</v>
      </c>
      <c r="H55" s="93" t="s">
        <v>989</v>
      </c>
      <c r="I55" s="82"/>
    </row>
    <row r="56" spans="1:13" ht="15.75" customHeight="1" x14ac:dyDescent="0.2">
      <c r="A56" s="69" t="s">
        <v>121</v>
      </c>
      <c r="B56" s="74" t="s">
        <v>119</v>
      </c>
      <c r="C56" s="74" t="s">
        <v>6</v>
      </c>
      <c r="D56" s="74" t="s">
        <v>6</v>
      </c>
      <c r="E56" s="74" t="s">
        <v>6</v>
      </c>
      <c r="F56" s="69" t="s">
        <v>6</v>
      </c>
      <c r="G56" s="93" t="s">
        <v>1164</v>
      </c>
      <c r="H56" s="93" t="s">
        <v>1163</v>
      </c>
      <c r="I56" s="82"/>
    </row>
    <row r="57" spans="1:13" ht="15.75" customHeight="1" x14ac:dyDescent="0.2">
      <c r="A57" s="69" t="s">
        <v>122</v>
      </c>
      <c r="B57" s="74" t="s">
        <v>119</v>
      </c>
      <c r="C57" s="74" t="s">
        <v>6</v>
      </c>
      <c r="D57" s="74" t="s">
        <v>6</v>
      </c>
      <c r="E57" s="74" t="s">
        <v>6</v>
      </c>
      <c r="F57" s="69" t="s">
        <v>4</v>
      </c>
      <c r="G57" s="93" t="s">
        <v>1166</v>
      </c>
      <c r="H57" s="93" t="s">
        <v>1165</v>
      </c>
      <c r="I57" s="82"/>
    </row>
    <row r="58" spans="1:13" ht="15.75" customHeight="1" x14ac:dyDescent="0.2">
      <c r="A58" s="69" t="s">
        <v>123</v>
      </c>
      <c r="B58" s="74" t="s">
        <v>119</v>
      </c>
      <c r="C58" s="74" t="s">
        <v>6</v>
      </c>
      <c r="D58" s="74" t="s">
        <v>6</v>
      </c>
      <c r="E58" s="74" t="s">
        <v>6</v>
      </c>
      <c r="F58" s="69" t="s">
        <v>6</v>
      </c>
      <c r="G58" s="93" t="s">
        <v>1168</v>
      </c>
      <c r="H58" s="93" t="s">
        <v>1167</v>
      </c>
      <c r="I58" s="82"/>
    </row>
    <row r="59" spans="1:13" ht="15.75" customHeight="1" x14ac:dyDescent="0.2">
      <c r="A59" s="69" t="s">
        <v>124</v>
      </c>
      <c r="B59" s="74" t="s">
        <v>119</v>
      </c>
      <c r="C59" s="74" t="s">
        <v>6</v>
      </c>
      <c r="D59" s="74" t="s">
        <v>6</v>
      </c>
      <c r="E59" s="74" t="s">
        <v>6</v>
      </c>
      <c r="F59" s="69" t="s">
        <v>6</v>
      </c>
      <c r="G59" s="93" t="s">
        <v>1170</v>
      </c>
      <c r="H59" s="93" t="s">
        <v>1169</v>
      </c>
      <c r="I59" s="82"/>
    </row>
    <row r="60" spans="1:13" ht="15.75" customHeight="1" x14ac:dyDescent="0.2">
      <c r="A60" s="69" t="s">
        <v>125</v>
      </c>
      <c r="B60" s="74" t="s">
        <v>119</v>
      </c>
      <c r="C60" s="74" t="s">
        <v>6</v>
      </c>
      <c r="D60" s="74" t="s">
        <v>6</v>
      </c>
      <c r="E60" s="74" t="s">
        <v>6</v>
      </c>
      <c r="F60" s="69" t="s">
        <v>6</v>
      </c>
      <c r="G60" s="93" t="s">
        <v>1172</v>
      </c>
      <c r="H60" s="93" t="s">
        <v>1171</v>
      </c>
      <c r="I60" s="82"/>
    </row>
    <row r="61" spans="1:13" ht="15.75" customHeight="1" x14ac:dyDescent="0.2">
      <c r="A61" s="69" t="s">
        <v>126</v>
      </c>
      <c r="B61" s="74" t="s">
        <v>119</v>
      </c>
      <c r="C61" s="74" t="s">
        <v>6</v>
      </c>
      <c r="D61" s="74" t="s">
        <v>6</v>
      </c>
      <c r="E61" s="74" t="s">
        <v>6</v>
      </c>
      <c r="F61" s="69" t="s">
        <v>6</v>
      </c>
      <c r="G61" s="93" t="s">
        <v>1174</v>
      </c>
      <c r="H61" s="93" t="s">
        <v>1173</v>
      </c>
      <c r="I61" s="82"/>
    </row>
    <row r="62" spans="1:13" ht="15.75" customHeight="1" x14ac:dyDescent="0.2">
      <c r="A62" s="69" t="s">
        <v>127</v>
      </c>
      <c r="B62" s="74" t="s">
        <v>119</v>
      </c>
      <c r="C62" s="74" t="s">
        <v>6</v>
      </c>
      <c r="D62" s="74" t="s">
        <v>6</v>
      </c>
      <c r="E62" s="74" t="s">
        <v>6</v>
      </c>
      <c r="F62" s="69" t="s">
        <v>4</v>
      </c>
      <c r="G62" s="93" t="s">
        <v>1176</v>
      </c>
      <c r="H62" s="93" t="s">
        <v>1175</v>
      </c>
      <c r="I62" s="82"/>
    </row>
    <row r="63" spans="1:13" ht="15.75" customHeight="1" x14ac:dyDescent="0.2">
      <c r="A63" s="69" t="s">
        <v>128</v>
      </c>
      <c r="B63" s="74" t="s">
        <v>119</v>
      </c>
      <c r="C63" s="74" t="s">
        <v>4</v>
      </c>
      <c r="D63" s="74" t="s">
        <v>4</v>
      </c>
      <c r="E63" s="74" t="s">
        <v>4</v>
      </c>
      <c r="F63" s="69" t="s">
        <v>4</v>
      </c>
      <c r="G63" s="93" t="s">
        <v>1178</v>
      </c>
      <c r="H63" s="93" t="s">
        <v>1177</v>
      </c>
      <c r="I63" s="82"/>
    </row>
    <row r="64" spans="1:13" ht="15.75" customHeight="1" x14ac:dyDescent="0.2">
      <c r="A64" s="69" t="s">
        <v>129</v>
      </c>
      <c r="B64" s="74" t="s">
        <v>119</v>
      </c>
      <c r="C64" s="74" t="s">
        <v>6</v>
      </c>
      <c r="D64" s="74" t="s">
        <v>6</v>
      </c>
      <c r="E64" s="74" t="s">
        <v>6</v>
      </c>
      <c r="F64" s="69" t="s">
        <v>6</v>
      </c>
      <c r="G64" s="93" t="s">
        <v>1180</v>
      </c>
      <c r="H64" s="93" t="s">
        <v>1179</v>
      </c>
      <c r="I64" s="82"/>
    </row>
    <row r="65" spans="1:13" ht="15.75" customHeight="1" x14ac:dyDescent="0.2">
      <c r="A65" s="74" t="s">
        <v>130</v>
      </c>
      <c r="B65" s="74" t="s">
        <v>119</v>
      </c>
      <c r="C65" s="74" t="s">
        <v>6</v>
      </c>
      <c r="D65" s="74" t="s">
        <v>6</v>
      </c>
      <c r="E65" s="74" t="s">
        <v>6</v>
      </c>
      <c r="F65" s="69" t="s">
        <v>6</v>
      </c>
      <c r="G65" s="93" t="s">
        <v>1182</v>
      </c>
      <c r="H65" s="93" t="s">
        <v>1181</v>
      </c>
      <c r="I65" s="82"/>
    </row>
    <row r="66" spans="1:13" ht="15.75" customHeight="1" x14ac:dyDescent="0.2">
      <c r="A66" s="77" t="s">
        <v>131</v>
      </c>
      <c r="B66" s="77" t="s">
        <v>119</v>
      </c>
      <c r="C66" s="77" t="s">
        <v>4</v>
      </c>
      <c r="D66" s="77" t="s">
        <v>4</v>
      </c>
      <c r="E66" s="77" t="s">
        <v>4</v>
      </c>
      <c r="F66" s="80" t="s">
        <v>4</v>
      </c>
      <c r="G66" s="93" t="s">
        <v>1184</v>
      </c>
      <c r="H66" s="93" t="s">
        <v>1183</v>
      </c>
      <c r="I66" s="82"/>
    </row>
    <row r="67" spans="1:13" ht="15.75" customHeight="1" x14ac:dyDescent="0.2">
      <c r="A67" s="78" t="s">
        <v>132</v>
      </c>
      <c r="B67" s="78" t="s">
        <v>3</v>
      </c>
      <c r="C67" s="78" t="s">
        <v>6</v>
      </c>
      <c r="D67" s="78" t="s">
        <v>6</v>
      </c>
      <c r="E67" s="78" t="s">
        <v>6</v>
      </c>
      <c r="F67" s="81" t="s">
        <v>6</v>
      </c>
      <c r="G67" s="93" t="s">
        <v>1212</v>
      </c>
      <c r="H67" s="93" t="s">
        <v>1211</v>
      </c>
      <c r="I67" s="75"/>
      <c r="J67" s="11">
        <f>COUNTIF(C67:C84,"Y")</f>
        <v>18</v>
      </c>
      <c r="K67" s="11">
        <f>COUNTIF(D67:D84,"Y")</f>
        <v>18</v>
      </c>
      <c r="L67" s="11">
        <f>COUNTIF(E67:E84,"Y")</f>
        <v>18</v>
      </c>
      <c r="M67" s="11">
        <f>COUNTIF(F67:F84,"Y")</f>
        <v>17</v>
      </c>
    </row>
    <row r="68" spans="1:13" ht="15.75" customHeight="1" x14ac:dyDescent="0.2">
      <c r="A68" s="74" t="s">
        <v>133</v>
      </c>
      <c r="B68" s="74" t="s">
        <v>3</v>
      </c>
      <c r="C68" s="74" t="s">
        <v>6</v>
      </c>
      <c r="D68" s="74" t="s">
        <v>6</v>
      </c>
      <c r="E68" s="74" t="s">
        <v>6</v>
      </c>
      <c r="F68" s="69" t="s">
        <v>6</v>
      </c>
      <c r="G68" s="93" t="s">
        <v>1220</v>
      </c>
      <c r="H68" s="93" t="s">
        <v>1219</v>
      </c>
      <c r="I68" s="75"/>
    </row>
    <row r="69" spans="1:13" ht="15.75" customHeight="1" x14ac:dyDescent="0.2">
      <c r="A69" s="74" t="s">
        <v>134</v>
      </c>
      <c r="B69" s="74" t="s">
        <v>3</v>
      </c>
      <c r="C69" s="74" t="s">
        <v>6</v>
      </c>
      <c r="D69" s="74" t="s">
        <v>6</v>
      </c>
      <c r="E69" s="74" t="s">
        <v>6</v>
      </c>
      <c r="F69" s="69" t="s">
        <v>6</v>
      </c>
      <c r="G69" s="93" t="s">
        <v>1224</v>
      </c>
      <c r="H69" s="93" t="s">
        <v>1223</v>
      </c>
      <c r="I69" s="75"/>
    </row>
    <row r="70" spans="1:13" ht="15.75" customHeight="1" x14ac:dyDescent="0.2">
      <c r="A70" s="74" t="s">
        <v>135</v>
      </c>
      <c r="B70" s="74" t="s">
        <v>3</v>
      </c>
      <c r="C70" s="74" t="s">
        <v>6</v>
      </c>
      <c r="D70" s="74" t="s">
        <v>6</v>
      </c>
      <c r="E70" s="74" t="s">
        <v>6</v>
      </c>
      <c r="F70" s="69" t="s">
        <v>6</v>
      </c>
      <c r="G70" s="93" t="s">
        <v>1230</v>
      </c>
      <c r="H70" s="93" t="s">
        <v>1229</v>
      </c>
      <c r="I70" s="75"/>
    </row>
    <row r="71" spans="1:13" ht="15.75" customHeight="1" x14ac:dyDescent="0.2">
      <c r="A71" s="74" t="s">
        <v>136</v>
      </c>
      <c r="B71" s="74" t="s">
        <v>3</v>
      </c>
      <c r="C71" s="74" t="s">
        <v>6</v>
      </c>
      <c r="D71" s="74" t="s">
        <v>6</v>
      </c>
      <c r="E71" s="74" t="s">
        <v>6</v>
      </c>
      <c r="F71" s="69" t="s">
        <v>6</v>
      </c>
      <c r="G71" s="93" t="s">
        <v>1246</v>
      </c>
      <c r="H71" s="93" t="s">
        <v>1245</v>
      </c>
      <c r="I71" s="75"/>
    </row>
    <row r="72" spans="1:13" ht="15.75" customHeight="1" x14ac:dyDescent="0.2">
      <c r="A72" s="74" t="s">
        <v>137</v>
      </c>
      <c r="B72" s="74" t="s">
        <v>3</v>
      </c>
      <c r="C72" s="74" t="s">
        <v>6</v>
      </c>
      <c r="D72" s="74" t="s">
        <v>6</v>
      </c>
      <c r="E72" s="74" t="s">
        <v>6</v>
      </c>
      <c r="F72" s="69" t="s">
        <v>6</v>
      </c>
      <c r="G72" s="93" t="s">
        <v>1254</v>
      </c>
      <c r="H72" s="93" t="s">
        <v>1253</v>
      </c>
      <c r="I72" s="75"/>
    </row>
    <row r="73" spans="1:13" ht="15.75" customHeight="1" x14ac:dyDescent="0.2">
      <c r="A73" s="74" t="s">
        <v>138</v>
      </c>
      <c r="B73" s="74" t="s">
        <v>3</v>
      </c>
      <c r="C73" s="74" t="s">
        <v>6</v>
      </c>
      <c r="D73" s="74" t="s">
        <v>6</v>
      </c>
      <c r="E73" s="74" t="s">
        <v>6</v>
      </c>
      <c r="F73" s="69" t="s">
        <v>6</v>
      </c>
      <c r="G73" s="93" t="s">
        <v>1260</v>
      </c>
      <c r="H73" s="93" t="s">
        <v>1259</v>
      </c>
      <c r="I73" s="75"/>
    </row>
    <row r="74" spans="1:13" ht="15.75" customHeight="1" x14ac:dyDescent="0.2">
      <c r="A74" s="74" t="s">
        <v>139</v>
      </c>
      <c r="B74" s="74" t="s">
        <v>3</v>
      </c>
      <c r="C74" s="74" t="s">
        <v>6</v>
      </c>
      <c r="D74" s="74" t="s">
        <v>6</v>
      </c>
      <c r="E74" s="74" t="s">
        <v>6</v>
      </c>
      <c r="F74" s="69" t="s">
        <v>6</v>
      </c>
      <c r="G74" s="93" t="s">
        <v>1268</v>
      </c>
      <c r="H74" s="93" t="s">
        <v>1267</v>
      </c>
      <c r="I74" s="75"/>
    </row>
    <row r="75" spans="1:13" ht="15.75" customHeight="1" x14ac:dyDescent="0.2">
      <c r="A75" s="74" t="s">
        <v>140</v>
      </c>
      <c r="B75" s="74" t="s">
        <v>3</v>
      </c>
      <c r="C75" s="74" t="s">
        <v>6</v>
      </c>
      <c r="D75" s="74" t="s">
        <v>6</v>
      </c>
      <c r="E75" s="74" t="s">
        <v>6</v>
      </c>
      <c r="F75" s="69" t="s">
        <v>6</v>
      </c>
      <c r="G75" s="93" t="s">
        <v>1270</v>
      </c>
      <c r="H75" s="93" t="s">
        <v>1269</v>
      </c>
      <c r="I75" s="75"/>
    </row>
    <row r="76" spans="1:13" ht="15.75" customHeight="1" x14ac:dyDescent="0.2">
      <c r="A76" s="74" t="s">
        <v>141</v>
      </c>
      <c r="B76" s="74" t="s">
        <v>3</v>
      </c>
      <c r="C76" s="74" t="s">
        <v>6</v>
      </c>
      <c r="D76" s="74" t="s">
        <v>6</v>
      </c>
      <c r="E76" s="74" t="s">
        <v>6</v>
      </c>
      <c r="F76" s="69" t="s">
        <v>6</v>
      </c>
      <c r="G76" s="93" t="s">
        <v>1272</v>
      </c>
      <c r="H76" s="93" t="s">
        <v>1271</v>
      </c>
      <c r="I76" s="75"/>
    </row>
    <row r="77" spans="1:13" ht="15.75" customHeight="1" x14ac:dyDescent="0.2">
      <c r="A77" s="74" t="s">
        <v>142</v>
      </c>
      <c r="B77" s="74" t="s">
        <v>3</v>
      </c>
      <c r="C77" s="74" t="s">
        <v>6</v>
      </c>
      <c r="D77" s="74" t="s">
        <v>6</v>
      </c>
      <c r="E77" s="74" t="s">
        <v>6</v>
      </c>
      <c r="F77" s="69" t="s">
        <v>4</v>
      </c>
      <c r="G77" s="93" t="s">
        <v>1276</v>
      </c>
      <c r="H77" s="93" t="s">
        <v>1275</v>
      </c>
      <c r="I77" s="75"/>
    </row>
    <row r="78" spans="1:13" ht="15.75" customHeight="1" x14ac:dyDescent="0.2">
      <c r="A78" s="74" t="s">
        <v>143</v>
      </c>
      <c r="B78" s="74" t="s">
        <v>3</v>
      </c>
      <c r="C78" s="74" t="s">
        <v>6</v>
      </c>
      <c r="D78" s="74" t="s">
        <v>6</v>
      </c>
      <c r="E78" s="74" t="s">
        <v>6</v>
      </c>
      <c r="F78" s="69" t="s">
        <v>6</v>
      </c>
      <c r="G78" s="93" t="s">
        <v>1278</v>
      </c>
      <c r="H78" s="93" t="s">
        <v>1277</v>
      </c>
      <c r="I78" s="75"/>
    </row>
    <row r="79" spans="1:13" ht="15.75" customHeight="1" x14ac:dyDescent="0.2">
      <c r="A79" s="74" t="s">
        <v>144</v>
      </c>
      <c r="B79" s="74" t="s">
        <v>3</v>
      </c>
      <c r="C79" s="74" t="s">
        <v>6</v>
      </c>
      <c r="D79" s="74" t="s">
        <v>6</v>
      </c>
      <c r="E79" s="74" t="s">
        <v>6</v>
      </c>
      <c r="F79" s="69" t="s">
        <v>6</v>
      </c>
      <c r="G79" s="93" t="s">
        <v>1282</v>
      </c>
      <c r="H79" s="93" t="s">
        <v>1281</v>
      </c>
      <c r="I79" s="75"/>
    </row>
    <row r="80" spans="1:13" ht="15.75" customHeight="1" x14ac:dyDescent="0.2">
      <c r="A80" s="74" t="s">
        <v>145</v>
      </c>
      <c r="B80" s="74" t="s">
        <v>3</v>
      </c>
      <c r="C80" s="74" t="s">
        <v>6</v>
      </c>
      <c r="D80" s="74" t="s">
        <v>6</v>
      </c>
      <c r="E80" s="74" t="s">
        <v>6</v>
      </c>
      <c r="F80" s="69" t="s">
        <v>6</v>
      </c>
      <c r="G80" s="93" t="s">
        <v>1302</v>
      </c>
      <c r="H80" s="93" t="s">
        <v>1301</v>
      </c>
      <c r="I80" s="75"/>
    </row>
    <row r="81" spans="1:9" ht="15.75" customHeight="1" x14ac:dyDescent="0.2">
      <c r="A81" s="74" t="s">
        <v>146</v>
      </c>
      <c r="B81" s="74" t="s">
        <v>3</v>
      </c>
      <c r="C81" s="74" t="s">
        <v>6</v>
      </c>
      <c r="D81" s="74" t="s">
        <v>6</v>
      </c>
      <c r="E81" s="74" t="s">
        <v>6</v>
      </c>
      <c r="F81" s="69" t="s">
        <v>6</v>
      </c>
      <c r="G81" s="93" t="s">
        <v>1306</v>
      </c>
      <c r="H81" s="93" t="s">
        <v>1305</v>
      </c>
      <c r="I81" s="75"/>
    </row>
    <row r="82" spans="1:9" ht="15.75" customHeight="1" x14ac:dyDescent="0.2">
      <c r="A82" s="74" t="s">
        <v>147</v>
      </c>
      <c r="B82" s="74" t="s">
        <v>3</v>
      </c>
      <c r="C82" s="74" t="s">
        <v>6</v>
      </c>
      <c r="D82" s="74" t="s">
        <v>6</v>
      </c>
      <c r="E82" s="74" t="s">
        <v>6</v>
      </c>
      <c r="F82" s="69" t="s">
        <v>6</v>
      </c>
      <c r="G82" s="93" t="s">
        <v>1308</v>
      </c>
      <c r="H82" s="93" t="s">
        <v>1307</v>
      </c>
      <c r="I82" s="75"/>
    </row>
    <row r="83" spans="1:9" ht="15.75" customHeight="1" x14ac:dyDescent="0.2">
      <c r="A83" s="74" t="s">
        <v>148</v>
      </c>
      <c r="B83" s="74" t="s">
        <v>3</v>
      </c>
      <c r="C83" s="74" t="s">
        <v>6</v>
      </c>
      <c r="D83" s="74" t="s">
        <v>6</v>
      </c>
      <c r="E83" s="74" t="s">
        <v>6</v>
      </c>
      <c r="F83" s="69" t="s">
        <v>6</v>
      </c>
      <c r="G83" s="93" t="s">
        <v>1310</v>
      </c>
      <c r="H83" s="93" t="s">
        <v>1309</v>
      </c>
      <c r="I83" s="75"/>
    </row>
    <row r="84" spans="1:9" ht="15.75" customHeight="1" x14ac:dyDescent="0.2">
      <c r="A84" s="74" t="s">
        <v>149</v>
      </c>
      <c r="B84" s="74" t="s">
        <v>3</v>
      </c>
      <c r="C84" s="74" t="s">
        <v>6</v>
      </c>
      <c r="D84" s="74" t="s">
        <v>6</v>
      </c>
      <c r="E84" s="74" t="s">
        <v>6</v>
      </c>
      <c r="F84" s="69" t="s">
        <v>6</v>
      </c>
      <c r="G84" s="93" t="s">
        <v>1312</v>
      </c>
      <c r="H84" s="93" t="s">
        <v>1311</v>
      </c>
      <c r="I84" s="75"/>
    </row>
    <row r="85" spans="1:9" ht="15.75" customHeight="1" x14ac:dyDescent="0.2">
      <c r="A85" s="15"/>
      <c r="B85" s="19"/>
      <c r="C85" s="15"/>
      <c r="D85" s="15"/>
      <c r="E85" s="15"/>
      <c r="F85" s="15"/>
    </row>
    <row r="86" spans="1:9" ht="15.75" customHeight="1" x14ac:dyDescent="0.2">
      <c r="A86" s="15"/>
      <c r="B86" s="19"/>
      <c r="C86" s="15"/>
      <c r="D86" s="15"/>
      <c r="E86" s="15"/>
      <c r="F86" s="15"/>
    </row>
    <row r="87" spans="1:9" ht="15.75" customHeight="1" x14ac:dyDescent="0.2">
      <c r="A87" s="15"/>
      <c r="B87" s="19"/>
      <c r="C87" s="15"/>
      <c r="D87" s="15"/>
      <c r="E87" s="15"/>
      <c r="F87" s="15"/>
    </row>
    <row r="88" spans="1:9" ht="15.75" customHeight="1" x14ac:dyDescent="0.2">
      <c r="A88" s="15"/>
      <c r="B88" s="19"/>
      <c r="C88" s="15"/>
      <c r="D88" s="15"/>
      <c r="E88" s="15"/>
      <c r="F88" s="15"/>
    </row>
    <row r="89" spans="1:9" ht="15.75" customHeight="1" x14ac:dyDescent="0.2">
      <c r="A89" s="15"/>
      <c r="B89" s="19"/>
      <c r="C89" s="15"/>
      <c r="D89" s="15"/>
      <c r="E89" s="15"/>
      <c r="F89" s="15"/>
    </row>
    <row r="90" spans="1:9" ht="15.75" customHeight="1" x14ac:dyDescent="0.15">
      <c r="A90" s="20"/>
      <c r="B90" s="20"/>
      <c r="C90" s="20"/>
      <c r="D90" s="20"/>
      <c r="E90" s="20"/>
      <c r="F90" s="20"/>
    </row>
    <row r="91" spans="1:9" ht="15.75" customHeight="1" x14ac:dyDescent="0.15">
      <c r="A91" s="20"/>
      <c r="B91" s="20"/>
      <c r="C91" s="20"/>
      <c r="D91" s="20"/>
      <c r="E91" s="20"/>
      <c r="F91" s="20"/>
    </row>
    <row r="92" spans="1:9" ht="15.75" customHeight="1" x14ac:dyDescent="0.15">
      <c r="A92" s="20"/>
      <c r="B92" s="20"/>
      <c r="C92" s="20"/>
      <c r="D92" s="20"/>
      <c r="E92" s="20"/>
      <c r="F92" s="20"/>
    </row>
    <row r="93" spans="1:9" ht="15.75" customHeight="1" x14ac:dyDescent="0.15">
      <c r="A93" s="20"/>
      <c r="B93" s="20"/>
      <c r="C93" s="20"/>
      <c r="D93" s="20"/>
      <c r="E93" s="20"/>
      <c r="F93" s="20"/>
    </row>
    <row r="94" spans="1:9" ht="15.75" customHeight="1" x14ac:dyDescent="0.15">
      <c r="A94" s="20"/>
      <c r="B94" s="20"/>
      <c r="C94" s="20"/>
      <c r="D94" s="20"/>
      <c r="E94" s="20"/>
      <c r="F94" s="20"/>
    </row>
    <row r="95" spans="1:9" ht="15.75" customHeight="1" x14ac:dyDescent="0.15">
      <c r="A95" s="20"/>
      <c r="B95" s="20"/>
      <c r="C95" s="20"/>
      <c r="D95" s="20"/>
      <c r="E95" s="20"/>
      <c r="F95" s="20"/>
    </row>
    <row r="96" spans="1:9" ht="15.75" customHeight="1" x14ac:dyDescent="0.15">
      <c r="A96" s="20"/>
      <c r="B96" s="20"/>
      <c r="C96" s="20"/>
      <c r="D96" s="20"/>
      <c r="E96" s="20"/>
      <c r="F96" s="20"/>
    </row>
    <row r="97" spans="1:6" ht="15.75" customHeight="1" x14ac:dyDescent="0.15">
      <c r="A97" s="20"/>
      <c r="B97" s="20"/>
      <c r="C97" s="20"/>
      <c r="D97" s="20"/>
      <c r="E97" s="20"/>
      <c r="F97" s="20"/>
    </row>
    <row r="98" spans="1:6" ht="15.75" customHeight="1" x14ac:dyDescent="0.15">
      <c r="A98" s="20"/>
      <c r="B98" s="20"/>
      <c r="C98" s="20"/>
      <c r="D98" s="20"/>
      <c r="E98" s="20"/>
      <c r="F98" s="20"/>
    </row>
    <row r="99" spans="1:6" ht="15.75" customHeight="1" x14ac:dyDescent="0.15">
      <c r="A99" s="20"/>
      <c r="B99" s="20"/>
      <c r="C99" s="20"/>
      <c r="D99" s="20"/>
      <c r="E99" s="20"/>
      <c r="F99" s="20"/>
    </row>
    <row r="100" spans="1:6" ht="15.75" customHeight="1" x14ac:dyDescent="0.15">
      <c r="A100" s="20"/>
      <c r="B100" s="20"/>
      <c r="C100" s="20"/>
      <c r="D100" s="20"/>
      <c r="E100" s="20"/>
      <c r="F100" s="20"/>
    </row>
    <row r="101" spans="1:6" ht="15.75" customHeight="1" x14ac:dyDescent="0.15">
      <c r="A101" s="20"/>
      <c r="B101" s="20"/>
      <c r="C101" s="20"/>
      <c r="D101" s="20"/>
      <c r="E101" s="20"/>
      <c r="F101" s="20"/>
    </row>
    <row r="102" spans="1:6" ht="15.75" customHeight="1" x14ac:dyDescent="0.15">
      <c r="A102" s="20"/>
      <c r="B102" s="20"/>
      <c r="C102" s="20"/>
      <c r="D102" s="20"/>
      <c r="E102" s="20"/>
      <c r="F102" s="20"/>
    </row>
    <row r="103" spans="1:6" ht="15.75" customHeight="1" x14ac:dyDescent="0.15">
      <c r="A103" s="20"/>
      <c r="B103" s="20"/>
      <c r="C103" s="20"/>
      <c r="D103" s="20"/>
      <c r="E103" s="20"/>
      <c r="F103" s="20"/>
    </row>
    <row r="104" spans="1:6" ht="15.75" customHeight="1" x14ac:dyDescent="0.15">
      <c r="A104" s="20"/>
      <c r="B104" s="20"/>
      <c r="C104" s="20"/>
      <c r="D104" s="20"/>
      <c r="E104" s="20"/>
      <c r="F104" s="20"/>
    </row>
    <row r="105" spans="1:6" ht="15.75" customHeight="1" x14ac:dyDescent="0.15">
      <c r="A105" s="20"/>
      <c r="B105" s="20"/>
      <c r="C105" s="20"/>
      <c r="D105" s="20"/>
      <c r="E105" s="20"/>
      <c r="F105" s="20"/>
    </row>
    <row r="106" spans="1:6" ht="15.75" customHeight="1" x14ac:dyDescent="0.15">
      <c r="A106" s="20"/>
      <c r="B106" s="20"/>
      <c r="C106" s="20"/>
      <c r="D106" s="20"/>
      <c r="E106" s="20"/>
      <c r="F106" s="20"/>
    </row>
    <row r="107" spans="1:6" ht="15.75" customHeight="1" x14ac:dyDescent="0.15">
      <c r="A107" s="20"/>
      <c r="B107" s="20"/>
      <c r="C107" s="20"/>
      <c r="D107" s="20"/>
      <c r="E107" s="20"/>
      <c r="F107" s="20"/>
    </row>
    <row r="108" spans="1:6" ht="15.75" customHeight="1" x14ac:dyDescent="0.15">
      <c r="A108" s="20"/>
      <c r="B108" s="20"/>
      <c r="C108" s="20"/>
      <c r="D108" s="20"/>
      <c r="E108" s="20"/>
      <c r="F108" s="20"/>
    </row>
    <row r="109" spans="1:6" ht="15.75" customHeight="1" x14ac:dyDescent="0.15">
      <c r="A109" s="20"/>
      <c r="B109" s="20"/>
      <c r="C109" s="20"/>
      <c r="D109" s="20"/>
      <c r="E109" s="20"/>
      <c r="F109" s="20"/>
    </row>
    <row r="110" spans="1:6" ht="15.75" customHeight="1" x14ac:dyDescent="0.15">
      <c r="A110" s="20"/>
      <c r="B110" s="20"/>
      <c r="C110" s="20"/>
      <c r="D110" s="20"/>
      <c r="E110" s="20"/>
      <c r="F110" s="20"/>
    </row>
    <row r="111" spans="1:6" ht="15.75" customHeight="1" x14ac:dyDescent="0.15">
      <c r="A111" s="20"/>
      <c r="B111" s="20"/>
      <c r="C111" s="20"/>
      <c r="D111" s="20"/>
      <c r="E111" s="20"/>
      <c r="F111" s="20"/>
    </row>
    <row r="112" spans="1:6" ht="15.75" customHeight="1" x14ac:dyDescent="0.15">
      <c r="A112" s="20"/>
      <c r="B112" s="20"/>
      <c r="C112" s="20"/>
      <c r="D112" s="20"/>
      <c r="E112" s="20"/>
      <c r="F112" s="20"/>
    </row>
    <row r="113" spans="1:6" ht="15.75" customHeight="1" x14ac:dyDescent="0.15">
      <c r="A113" s="20"/>
      <c r="B113" s="20"/>
      <c r="C113" s="20"/>
      <c r="D113" s="20"/>
      <c r="E113" s="20"/>
      <c r="F113" s="20"/>
    </row>
    <row r="114" spans="1:6" ht="15.75" customHeight="1" x14ac:dyDescent="0.15">
      <c r="A114" s="20"/>
      <c r="B114" s="20"/>
      <c r="C114" s="20"/>
      <c r="D114" s="20"/>
      <c r="E114" s="20"/>
      <c r="F114" s="20"/>
    </row>
    <row r="115" spans="1:6" ht="15.75" customHeight="1" x14ac:dyDescent="0.15">
      <c r="A115" s="20"/>
      <c r="B115" s="20"/>
      <c r="C115" s="20"/>
      <c r="D115" s="20"/>
      <c r="E115" s="20"/>
      <c r="F115" s="20"/>
    </row>
    <row r="116" spans="1:6" ht="15.75" customHeight="1" x14ac:dyDescent="0.15">
      <c r="A116" s="20"/>
      <c r="B116" s="20"/>
      <c r="C116" s="20"/>
      <c r="D116" s="20"/>
      <c r="E116" s="20"/>
      <c r="F116" s="20"/>
    </row>
    <row r="117" spans="1:6" ht="15.75" customHeight="1" x14ac:dyDescent="0.15">
      <c r="A117" s="20"/>
      <c r="B117" s="20"/>
      <c r="C117" s="20"/>
      <c r="D117" s="20"/>
      <c r="E117" s="20"/>
      <c r="F117" s="20"/>
    </row>
    <row r="118" spans="1:6" ht="15.75" customHeight="1" x14ac:dyDescent="0.15">
      <c r="A118" s="20"/>
      <c r="B118" s="20"/>
      <c r="C118" s="20"/>
      <c r="D118" s="20"/>
      <c r="E118" s="20"/>
      <c r="F118" s="20"/>
    </row>
    <row r="119" spans="1:6" ht="15.75" customHeight="1" x14ac:dyDescent="0.15">
      <c r="A119" s="20"/>
      <c r="B119" s="20"/>
      <c r="C119" s="20"/>
      <c r="D119" s="20"/>
      <c r="E119" s="20"/>
      <c r="F119" s="20"/>
    </row>
    <row r="120" spans="1:6" ht="15.75" customHeight="1" x14ac:dyDescent="0.15">
      <c r="A120" s="20"/>
      <c r="B120" s="20"/>
      <c r="C120" s="20"/>
      <c r="D120" s="20"/>
      <c r="E120" s="20"/>
      <c r="F120" s="20"/>
    </row>
    <row r="121" spans="1:6" ht="15.75" customHeight="1" x14ac:dyDescent="0.15">
      <c r="A121" s="20"/>
      <c r="B121" s="20"/>
      <c r="C121" s="20"/>
      <c r="D121" s="20"/>
      <c r="E121" s="20"/>
      <c r="F121" s="20"/>
    </row>
    <row r="122" spans="1:6" ht="15.75" customHeight="1" x14ac:dyDescent="0.15">
      <c r="A122" s="20"/>
      <c r="B122" s="20"/>
      <c r="C122" s="20"/>
      <c r="D122" s="20"/>
      <c r="E122" s="20"/>
      <c r="F122" s="20"/>
    </row>
    <row r="123" spans="1:6" ht="15.75" customHeight="1" x14ac:dyDescent="0.15">
      <c r="A123" s="20"/>
      <c r="B123" s="20"/>
      <c r="C123" s="20"/>
      <c r="D123" s="20"/>
      <c r="E123" s="20"/>
      <c r="F123" s="20"/>
    </row>
    <row r="124" spans="1:6" ht="15.75" customHeight="1" x14ac:dyDescent="0.15">
      <c r="A124" s="20"/>
      <c r="B124" s="20"/>
      <c r="C124" s="20"/>
      <c r="D124" s="20"/>
      <c r="E124" s="20"/>
      <c r="F124" s="20"/>
    </row>
    <row r="125" spans="1:6" ht="15.75" customHeight="1" x14ac:dyDescent="0.15">
      <c r="A125" s="20"/>
      <c r="B125" s="20"/>
      <c r="C125" s="20"/>
      <c r="D125" s="20"/>
      <c r="E125" s="20"/>
      <c r="F125" s="20"/>
    </row>
    <row r="126" spans="1:6" ht="15.75" customHeight="1" x14ac:dyDescent="0.15">
      <c r="A126" s="20"/>
      <c r="B126" s="20"/>
      <c r="C126" s="20"/>
      <c r="D126" s="20"/>
      <c r="E126" s="20"/>
      <c r="F126" s="20"/>
    </row>
    <row r="127" spans="1:6" ht="15.75" customHeight="1" x14ac:dyDescent="0.15">
      <c r="A127" s="20"/>
      <c r="B127" s="20"/>
      <c r="C127" s="20"/>
      <c r="D127" s="20"/>
      <c r="E127" s="20"/>
      <c r="F127" s="20"/>
    </row>
    <row r="128" spans="1:6" ht="15.75" customHeight="1" x14ac:dyDescent="0.15">
      <c r="A128" s="20"/>
      <c r="B128" s="20"/>
      <c r="C128" s="20"/>
      <c r="D128" s="20"/>
      <c r="E128" s="20"/>
      <c r="F128" s="20"/>
    </row>
    <row r="129" spans="1:6" ht="15.75" customHeight="1" x14ac:dyDescent="0.15">
      <c r="A129" s="20"/>
      <c r="B129" s="20"/>
      <c r="C129" s="20"/>
      <c r="D129" s="20"/>
      <c r="E129" s="20"/>
      <c r="F129" s="20"/>
    </row>
    <row r="130" spans="1:6" ht="15.75" customHeight="1" x14ac:dyDescent="0.15">
      <c r="A130" s="20"/>
      <c r="B130" s="20"/>
      <c r="C130" s="20"/>
      <c r="D130" s="20"/>
      <c r="E130" s="20"/>
      <c r="F130" s="20"/>
    </row>
    <row r="131" spans="1:6" ht="15.75" customHeight="1" x14ac:dyDescent="0.15">
      <c r="A131" s="20"/>
      <c r="B131" s="20"/>
      <c r="C131" s="20"/>
      <c r="D131" s="20"/>
      <c r="E131" s="20"/>
      <c r="F131" s="20"/>
    </row>
    <row r="132" spans="1:6" ht="15.75" customHeight="1" x14ac:dyDescent="0.15">
      <c r="A132" s="20"/>
      <c r="B132" s="20"/>
      <c r="C132" s="20"/>
      <c r="D132" s="20"/>
      <c r="E132" s="20"/>
      <c r="F132" s="20"/>
    </row>
    <row r="133" spans="1:6" ht="15.75" customHeight="1" x14ac:dyDescent="0.15">
      <c r="A133" s="20"/>
      <c r="B133" s="20"/>
      <c r="C133" s="20"/>
      <c r="D133" s="20"/>
      <c r="E133" s="20"/>
      <c r="F133" s="20"/>
    </row>
    <row r="134" spans="1:6" ht="15.75" customHeight="1" x14ac:dyDescent="0.15">
      <c r="A134" s="20"/>
      <c r="B134" s="20"/>
      <c r="C134" s="20"/>
      <c r="D134" s="20"/>
      <c r="E134" s="20"/>
      <c r="F134" s="20"/>
    </row>
    <row r="135" spans="1:6" ht="15.75" customHeight="1" x14ac:dyDescent="0.15">
      <c r="A135" s="20"/>
      <c r="B135" s="20"/>
      <c r="C135" s="20"/>
      <c r="D135" s="20"/>
      <c r="E135" s="20"/>
      <c r="F135" s="20"/>
    </row>
    <row r="136" spans="1:6" ht="15.75" customHeight="1" x14ac:dyDescent="0.15">
      <c r="A136" s="20"/>
      <c r="B136" s="20"/>
      <c r="C136" s="20"/>
      <c r="D136" s="20"/>
      <c r="E136" s="20"/>
      <c r="F136" s="20"/>
    </row>
    <row r="137" spans="1:6" ht="15.75" customHeight="1" x14ac:dyDescent="0.15">
      <c r="A137" s="20"/>
      <c r="B137" s="20"/>
      <c r="C137" s="20"/>
      <c r="D137" s="20"/>
      <c r="E137" s="20"/>
      <c r="F137" s="20"/>
    </row>
    <row r="138" spans="1:6" ht="15.75" customHeight="1" x14ac:dyDescent="0.15">
      <c r="A138" s="20"/>
      <c r="B138" s="20"/>
      <c r="C138" s="20"/>
      <c r="D138" s="20"/>
      <c r="E138" s="20"/>
      <c r="F138" s="20"/>
    </row>
    <row r="139" spans="1:6" ht="15.75" customHeight="1" x14ac:dyDescent="0.15">
      <c r="A139" s="20"/>
      <c r="B139" s="20"/>
      <c r="C139" s="20"/>
      <c r="D139" s="20"/>
      <c r="E139" s="20"/>
      <c r="F139" s="20"/>
    </row>
    <row r="140" spans="1:6" ht="15.75" customHeight="1" x14ac:dyDescent="0.15">
      <c r="A140" s="20"/>
      <c r="B140" s="20"/>
      <c r="C140" s="20"/>
      <c r="D140" s="20"/>
      <c r="E140" s="20"/>
      <c r="F140" s="20"/>
    </row>
    <row r="141" spans="1:6" ht="15.75" customHeight="1" x14ac:dyDescent="0.15">
      <c r="A141" s="20"/>
      <c r="B141" s="20"/>
      <c r="C141" s="20"/>
      <c r="D141" s="20"/>
      <c r="E141" s="20"/>
      <c r="F141" s="20"/>
    </row>
    <row r="142" spans="1:6" ht="15.75" customHeight="1" x14ac:dyDescent="0.15">
      <c r="A142" s="20"/>
      <c r="B142" s="20"/>
      <c r="C142" s="20"/>
      <c r="D142" s="20"/>
      <c r="E142" s="20"/>
      <c r="F142" s="20"/>
    </row>
    <row r="143" spans="1:6" ht="15.75" customHeight="1" x14ac:dyDescent="0.15">
      <c r="A143" s="20"/>
      <c r="B143" s="20"/>
      <c r="C143" s="20"/>
      <c r="D143" s="20"/>
      <c r="E143" s="20"/>
      <c r="F143" s="20"/>
    </row>
    <row r="144" spans="1:6" ht="15.75" customHeight="1" x14ac:dyDescent="0.15">
      <c r="A144" s="20"/>
      <c r="B144" s="20"/>
      <c r="C144" s="20"/>
      <c r="D144" s="20"/>
      <c r="E144" s="20"/>
      <c r="F144" s="20"/>
    </row>
    <row r="145" spans="1:6" ht="15.75" customHeight="1" x14ac:dyDescent="0.15">
      <c r="A145" s="20"/>
      <c r="B145" s="20"/>
      <c r="C145" s="20"/>
      <c r="D145" s="20"/>
      <c r="E145" s="20"/>
      <c r="F145" s="20"/>
    </row>
    <row r="146" spans="1:6" ht="15.75" customHeight="1" x14ac:dyDescent="0.15">
      <c r="A146" s="20"/>
      <c r="B146" s="20"/>
      <c r="C146" s="20"/>
      <c r="D146" s="20"/>
      <c r="E146" s="20"/>
      <c r="F146" s="20"/>
    </row>
    <row r="147" spans="1:6" ht="15.75" customHeight="1" x14ac:dyDescent="0.15">
      <c r="A147" s="20"/>
      <c r="B147" s="20"/>
      <c r="C147" s="20"/>
      <c r="D147" s="20"/>
      <c r="E147" s="20"/>
      <c r="F147" s="20"/>
    </row>
    <row r="148" spans="1:6" ht="15.75" customHeight="1" x14ac:dyDescent="0.15">
      <c r="A148" s="20"/>
      <c r="B148" s="20"/>
      <c r="C148" s="20"/>
      <c r="D148" s="20"/>
      <c r="E148" s="20"/>
      <c r="F148" s="20"/>
    </row>
    <row r="149" spans="1:6" ht="15.75" customHeight="1" x14ac:dyDescent="0.15">
      <c r="A149" s="20"/>
      <c r="B149" s="20"/>
      <c r="C149" s="20"/>
      <c r="D149" s="20"/>
      <c r="E149" s="20"/>
      <c r="F149" s="20"/>
    </row>
    <row r="150" spans="1:6" ht="15.75" customHeight="1" x14ac:dyDescent="0.15">
      <c r="A150" s="20"/>
      <c r="B150" s="20"/>
      <c r="C150" s="20"/>
      <c r="D150" s="20"/>
      <c r="E150" s="20"/>
      <c r="F150" s="20"/>
    </row>
    <row r="151" spans="1:6" ht="15.75" customHeight="1" x14ac:dyDescent="0.15">
      <c r="A151" s="20"/>
      <c r="B151" s="20"/>
      <c r="C151" s="20"/>
      <c r="D151" s="20"/>
      <c r="E151" s="20"/>
      <c r="F151" s="20"/>
    </row>
    <row r="152" spans="1:6" ht="15.75" customHeight="1" x14ac:dyDescent="0.15">
      <c r="A152" s="20"/>
      <c r="B152" s="20"/>
      <c r="C152" s="20"/>
      <c r="D152" s="20"/>
      <c r="E152" s="20"/>
      <c r="F152" s="20"/>
    </row>
    <row r="153" spans="1:6" ht="15.75" customHeight="1" x14ac:dyDescent="0.15">
      <c r="A153" s="20"/>
      <c r="B153" s="20"/>
      <c r="C153" s="20"/>
      <c r="D153" s="20"/>
      <c r="E153" s="20"/>
      <c r="F153" s="20"/>
    </row>
    <row r="154" spans="1:6" ht="15.75" customHeight="1" x14ac:dyDescent="0.15">
      <c r="A154" s="20"/>
      <c r="B154" s="20"/>
      <c r="C154" s="20"/>
      <c r="D154" s="20"/>
      <c r="E154" s="20"/>
      <c r="F154" s="20"/>
    </row>
    <row r="155" spans="1:6" ht="15.75" customHeight="1" x14ac:dyDescent="0.15">
      <c r="A155" s="20"/>
      <c r="B155" s="20"/>
      <c r="C155" s="20"/>
      <c r="D155" s="20"/>
      <c r="E155" s="20"/>
      <c r="F155" s="20"/>
    </row>
    <row r="156" spans="1:6" ht="15.75" customHeight="1" x14ac:dyDescent="0.15">
      <c r="A156" s="20"/>
      <c r="B156" s="20"/>
      <c r="C156" s="20"/>
      <c r="D156" s="20"/>
      <c r="E156" s="20"/>
      <c r="F156" s="20"/>
    </row>
    <row r="157" spans="1:6" ht="15.75" customHeight="1" x14ac:dyDescent="0.15">
      <c r="A157" s="20"/>
      <c r="B157" s="20"/>
      <c r="C157" s="20"/>
      <c r="D157" s="20"/>
      <c r="E157" s="20"/>
      <c r="F157" s="20"/>
    </row>
    <row r="158" spans="1:6" ht="15.75" customHeight="1" x14ac:dyDescent="0.15">
      <c r="A158" s="20"/>
      <c r="B158" s="20"/>
      <c r="C158" s="20"/>
      <c r="D158" s="20"/>
      <c r="E158" s="20"/>
      <c r="F158" s="20"/>
    </row>
    <row r="159" spans="1:6" ht="15.75" customHeight="1" x14ac:dyDescent="0.15">
      <c r="A159" s="20"/>
      <c r="B159" s="20"/>
      <c r="C159" s="20"/>
      <c r="D159" s="20"/>
      <c r="E159" s="20"/>
      <c r="F159" s="20"/>
    </row>
    <row r="160" spans="1:6" ht="15.75" customHeight="1" x14ac:dyDescent="0.15">
      <c r="A160" s="20"/>
      <c r="B160" s="20"/>
      <c r="C160" s="20"/>
      <c r="D160" s="20"/>
      <c r="E160" s="20"/>
      <c r="F160" s="20"/>
    </row>
    <row r="161" spans="1:6" ht="15.75" customHeight="1" x14ac:dyDescent="0.15">
      <c r="A161" s="20"/>
      <c r="B161" s="20"/>
      <c r="C161" s="20"/>
      <c r="D161" s="20"/>
      <c r="E161" s="20"/>
      <c r="F161" s="20"/>
    </row>
    <row r="162" spans="1:6" ht="15.75" customHeight="1" x14ac:dyDescent="0.15">
      <c r="A162" s="20"/>
      <c r="B162" s="20"/>
      <c r="C162" s="20"/>
      <c r="D162" s="20"/>
      <c r="E162" s="20"/>
      <c r="F162" s="20"/>
    </row>
    <row r="163" spans="1:6" ht="15.75" customHeight="1" x14ac:dyDescent="0.15">
      <c r="A163" s="20"/>
      <c r="B163" s="20"/>
      <c r="C163" s="20"/>
      <c r="D163" s="20"/>
      <c r="E163" s="20"/>
      <c r="F163" s="20"/>
    </row>
    <row r="164" spans="1:6" ht="15.75" customHeight="1" x14ac:dyDescent="0.15">
      <c r="A164" s="20"/>
      <c r="B164" s="20"/>
      <c r="C164" s="20"/>
      <c r="D164" s="20"/>
      <c r="E164" s="20"/>
      <c r="F164" s="20"/>
    </row>
    <row r="165" spans="1:6" ht="15.75" customHeight="1" x14ac:dyDescent="0.15">
      <c r="A165" s="20"/>
      <c r="B165" s="20"/>
      <c r="C165" s="20"/>
      <c r="D165" s="20"/>
      <c r="E165" s="20"/>
      <c r="F165" s="20"/>
    </row>
    <row r="166" spans="1:6" ht="15.75" customHeight="1" x14ac:dyDescent="0.15">
      <c r="A166" s="20"/>
      <c r="B166" s="20"/>
      <c r="C166" s="20"/>
      <c r="D166" s="20"/>
      <c r="E166" s="20"/>
      <c r="F166" s="20"/>
    </row>
    <row r="167" spans="1:6" ht="15.75" customHeight="1" x14ac:dyDescent="0.15">
      <c r="A167" s="20"/>
      <c r="B167" s="20"/>
      <c r="C167" s="20"/>
      <c r="D167" s="20"/>
      <c r="E167" s="20"/>
      <c r="F167" s="20"/>
    </row>
    <row r="168" spans="1:6" ht="15.75" customHeight="1" x14ac:dyDescent="0.15">
      <c r="A168" s="20"/>
      <c r="B168" s="20"/>
      <c r="C168" s="20"/>
      <c r="D168" s="20"/>
      <c r="E168" s="20"/>
      <c r="F168" s="20"/>
    </row>
    <row r="169" spans="1:6" ht="15.75" customHeight="1" x14ac:dyDescent="0.15">
      <c r="A169" s="20"/>
      <c r="B169" s="20"/>
      <c r="C169" s="20"/>
      <c r="D169" s="20"/>
      <c r="E169" s="20"/>
      <c r="F169" s="20"/>
    </row>
    <row r="170" spans="1:6" ht="15.75" customHeight="1" x14ac:dyDescent="0.15">
      <c r="A170" s="20"/>
      <c r="B170" s="20"/>
      <c r="C170" s="20"/>
      <c r="D170" s="20"/>
      <c r="E170" s="20"/>
      <c r="F170" s="20"/>
    </row>
    <row r="171" spans="1:6" ht="15.75" customHeight="1" x14ac:dyDescent="0.15">
      <c r="A171" s="20"/>
      <c r="B171" s="20"/>
      <c r="C171" s="20"/>
      <c r="D171" s="20"/>
      <c r="E171" s="20"/>
      <c r="F171" s="20"/>
    </row>
    <row r="172" spans="1:6" ht="15.75" customHeight="1" x14ac:dyDescent="0.15">
      <c r="A172" s="20"/>
      <c r="B172" s="20"/>
      <c r="C172" s="20"/>
      <c r="D172" s="20"/>
      <c r="E172" s="20"/>
      <c r="F172" s="20"/>
    </row>
    <row r="173" spans="1:6" ht="15.75" customHeight="1" x14ac:dyDescent="0.15">
      <c r="A173" s="20"/>
      <c r="B173" s="20"/>
      <c r="C173" s="20"/>
      <c r="D173" s="20"/>
      <c r="E173" s="20"/>
      <c r="F173" s="20"/>
    </row>
    <row r="174" spans="1:6" ht="15.75" customHeight="1" x14ac:dyDescent="0.15">
      <c r="A174" s="20"/>
      <c r="B174" s="20"/>
      <c r="C174" s="20"/>
      <c r="D174" s="20"/>
      <c r="E174" s="20"/>
      <c r="F174" s="20"/>
    </row>
    <row r="175" spans="1:6" ht="15.75" customHeight="1" x14ac:dyDescent="0.15">
      <c r="A175" s="20"/>
      <c r="B175" s="20"/>
      <c r="C175" s="20"/>
      <c r="D175" s="20"/>
      <c r="E175" s="20"/>
      <c r="F175" s="20"/>
    </row>
    <row r="176" spans="1:6" ht="15.75" customHeight="1" x14ac:dyDescent="0.15">
      <c r="A176" s="20"/>
      <c r="B176" s="20"/>
      <c r="C176" s="20"/>
      <c r="D176" s="20"/>
      <c r="E176" s="20"/>
      <c r="F176" s="20"/>
    </row>
    <row r="177" spans="1:6" ht="15.75" customHeight="1" x14ac:dyDescent="0.15">
      <c r="A177" s="20"/>
      <c r="B177" s="20"/>
      <c r="C177" s="20"/>
      <c r="D177" s="20"/>
      <c r="E177" s="20"/>
      <c r="F177" s="20"/>
    </row>
    <row r="178" spans="1:6" ht="15.75" customHeight="1" x14ac:dyDescent="0.15">
      <c r="A178" s="20"/>
      <c r="B178" s="20"/>
      <c r="C178" s="20"/>
      <c r="D178" s="20"/>
      <c r="E178" s="20"/>
      <c r="F178" s="20"/>
    </row>
    <row r="179" spans="1:6" ht="15.75" customHeight="1" x14ac:dyDescent="0.15">
      <c r="A179" s="20"/>
      <c r="B179" s="20"/>
      <c r="C179" s="20"/>
      <c r="D179" s="20"/>
      <c r="E179" s="20"/>
      <c r="F179" s="20"/>
    </row>
    <row r="180" spans="1:6" ht="15.75" customHeight="1" x14ac:dyDescent="0.15">
      <c r="A180" s="20"/>
      <c r="B180" s="20"/>
      <c r="C180" s="20"/>
      <c r="D180" s="20"/>
      <c r="E180" s="20"/>
      <c r="F180" s="20"/>
    </row>
    <row r="181" spans="1:6" ht="15.75" customHeight="1" x14ac:dyDescent="0.15">
      <c r="A181" s="20"/>
      <c r="B181" s="20"/>
      <c r="C181" s="20"/>
      <c r="D181" s="20"/>
      <c r="E181" s="20"/>
      <c r="F181" s="20"/>
    </row>
    <row r="182" spans="1:6" ht="15.75" customHeight="1" x14ac:dyDescent="0.15">
      <c r="A182" s="20"/>
      <c r="B182" s="20"/>
      <c r="C182" s="20"/>
      <c r="D182" s="20"/>
      <c r="E182" s="20"/>
      <c r="F182" s="20"/>
    </row>
    <row r="183" spans="1:6" ht="15.75" customHeight="1" x14ac:dyDescent="0.15">
      <c r="A183" s="20"/>
      <c r="B183" s="20"/>
      <c r="C183" s="20"/>
      <c r="D183" s="20"/>
      <c r="E183" s="20"/>
      <c r="F183" s="20"/>
    </row>
    <row r="184" spans="1:6" ht="15.75" customHeight="1" x14ac:dyDescent="0.15">
      <c r="A184" s="20"/>
      <c r="B184" s="20"/>
      <c r="C184" s="20"/>
      <c r="D184" s="20"/>
      <c r="E184" s="20"/>
      <c r="F184" s="20"/>
    </row>
    <row r="185" spans="1:6" ht="15.75" customHeight="1" x14ac:dyDescent="0.15">
      <c r="A185" s="20"/>
      <c r="B185" s="20"/>
      <c r="C185" s="20"/>
      <c r="D185" s="20"/>
      <c r="E185" s="20"/>
      <c r="F185" s="20"/>
    </row>
    <row r="186" spans="1:6" ht="15.75" customHeight="1" x14ac:dyDescent="0.15">
      <c r="A186" s="20"/>
      <c r="B186" s="20"/>
      <c r="C186" s="20"/>
      <c r="D186" s="20"/>
      <c r="E186" s="20"/>
      <c r="F186" s="20"/>
    </row>
    <row r="187" spans="1:6" ht="15.75" customHeight="1" x14ac:dyDescent="0.15">
      <c r="A187" s="20"/>
      <c r="B187" s="20"/>
      <c r="C187" s="20"/>
      <c r="D187" s="20"/>
      <c r="E187" s="20"/>
      <c r="F187" s="20"/>
    </row>
    <row r="188" spans="1:6" ht="15.75" customHeight="1" x14ac:dyDescent="0.15">
      <c r="A188" s="20"/>
      <c r="B188" s="20"/>
      <c r="C188" s="20"/>
      <c r="D188" s="20"/>
      <c r="E188" s="20"/>
      <c r="F188" s="20"/>
    </row>
    <row r="189" spans="1:6" ht="15.75" customHeight="1" x14ac:dyDescent="0.15">
      <c r="A189" s="20"/>
      <c r="B189" s="20"/>
      <c r="C189" s="20"/>
      <c r="D189" s="20"/>
      <c r="E189" s="20"/>
      <c r="F189" s="20"/>
    </row>
    <row r="190" spans="1:6" ht="15.75" customHeight="1" x14ac:dyDescent="0.15">
      <c r="A190" s="20"/>
      <c r="B190" s="20"/>
      <c r="C190" s="20"/>
      <c r="D190" s="20"/>
      <c r="E190" s="20"/>
      <c r="F190" s="20"/>
    </row>
    <row r="191" spans="1:6" ht="15.75" customHeight="1" x14ac:dyDescent="0.15">
      <c r="A191" s="20"/>
      <c r="B191" s="20"/>
      <c r="C191" s="20"/>
      <c r="D191" s="20"/>
      <c r="E191" s="20"/>
      <c r="F191" s="20"/>
    </row>
    <row r="192" spans="1:6" ht="15.75" customHeight="1" x14ac:dyDescent="0.15">
      <c r="A192" s="20"/>
      <c r="B192" s="20"/>
      <c r="C192" s="20"/>
      <c r="D192" s="20"/>
      <c r="E192" s="20"/>
      <c r="F192" s="20"/>
    </row>
    <row r="193" spans="1:6" ht="15.75" customHeight="1" x14ac:dyDescent="0.15">
      <c r="A193" s="20"/>
      <c r="B193" s="20"/>
      <c r="C193" s="20"/>
      <c r="D193" s="20"/>
      <c r="E193" s="20"/>
      <c r="F193" s="20"/>
    </row>
    <row r="194" spans="1:6" ht="15.75" customHeight="1" x14ac:dyDescent="0.15">
      <c r="A194" s="20"/>
      <c r="B194" s="20"/>
      <c r="C194" s="20"/>
      <c r="D194" s="20"/>
      <c r="E194" s="20"/>
      <c r="F194" s="20"/>
    </row>
    <row r="195" spans="1:6" ht="15.75" customHeight="1" x14ac:dyDescent="0.15">
      <c r="A195" s="20"/>
      <c r="B195" s="20"/>
      <c r="C195" s="20"/>
      <c r="D195" s="20"/>
      <c r="E195" s="20"/>
      <c r="F195" s="20"/>
    </row>
    <row r="196" spans="1:6" ht="15.75" customHeight="1" x14ac:dyDescent="0.15">
      <c r="A196" s="20"/>
      <c r="B196" s="20"/>
      <c r="C196" s="20"/>
      <c r="D196" s="20"/>
      <c r="E196" s="20"/>
      <c r="F196" s="20"/>
    </row>
    <row r="197" spans="1:6" ht="15.75" customHeight="1" x14ac:dyDescent="0.15">
      <c r="A197" s="20"/>
      <c r="B197" s="20"/>
      <c r="C197" s="20"/>
      <c r="D197" s="20"/>
      <c r="E197" s="20"/>
      <c r="F197" s="20"/>
    </row>
    <row r="198" spans="1:6" ht="15.75" customHeight="1" x14ac:dyDescent="0.15">
      <c r="A198" s="20"/>
      <c r="B198" s="20"/>
      <c r="C198" s="20"/>
      <c r="D198" s="20"/>
      <c r="E198" s="20"/>
      <c r="F198" s="20"/>
    </row>
    <row r="199" spans="1:6" ht="15.75" customHeight="1" x14ac:dyDescent="0.15">
      <c r="A199" s="20"/>
      <c r="B199" s="20"/>
      <c r="C199" s="20"/>
      <c r="D199" s="20"/>
      <c r="E199" s="20"/>
      <c r="F199" s="20"/>
    </row>
    <row r="200" spans="1:6" ht="15.75" customHeight="1" x14ac:dyDescent="0.15">
      <c r="A200" s="20"/>
      <c r="B200" s="20"/>
      <c r="C200" s="20"/>
      <c r="D200" s="20"/>
      <c r="E200" s="20"/>
      <c r="F200" s="20"/>
    </row>
    <row r="201" spans="1:6" ht="15.75" customHeight="1" x14ac:dyDescent="0.15">
      <c r="A201" s="20"/>
      <c r="B201" s="20"/>
      <c r="C201" s="20"/>
      <c r="D201" s="20"/>
      <c r="E201" s="20"/>
      <c r="F201" s="20"/>
    </row>
    <row r="202" spans="1:6" ht="15.75" customHeight="1" x14ac:dyDescent="0.15">
      <c r="A202" s="20"/>
      <c r="B202" s="20"/>
      <c r="C202" s="20"/>
      <c r="D202" s="20"/>
      <c r="E202" s="20"/>
      <c r="F202" s="20"/>
    </row>
    <row r="203" spans="1:6" ht="15.75" customHeight="1" x14ac:dyDescent="0.15">
      <c r="A203" s="20"/>
      <c r="B203" s="20"/>
      <c r="C203" s="20"/>
      <c r="D203" s="20"/>
      <c r="E203" s="20"/>
      <c r="F203" s="20"/>
    </row>
    <row r="204" spans="1:6" ht="15.75" customHeight="1" x14ac:dyDescent="0.15">
      <c r="A204" s="20"/>
      <c r="B204" s="20"/>
      <c r="C204" s="20"/>
      <c r="D204" s="20"/>
      <c r="E204" s="20"/>
      <c r="F204" s="20"/>
    </row>
    <row r="205" spans="1:6" ht="15.75" customHeight="1" x14ac:dyDescent="0.15">
      <c r="A205" s="20"/>
      <c r="B205" s="20"/>
      <c r="C205" s="20"/>
      <c r="D205" s="20"/>
      <c r="E205" s="20"/>
      <c r="F205" s="20"/>
    </row>
    <row r="206" spans="1:6" ht="15.75" customHeight="1" x14ac:dyDescent="0.15">
      <c r="A206" s="20"/>
      <c r="B206" s="20"/>
      <c r="C206" s="20"/>
      <c r="D206" s="20"/>
      <c r="E206" s="20"/>
      <c r="F206" s="20"/>
    </row>
    <row r="207" spans="1:6" ht="15.75" customHeight="1" x14ac:dyDescent="0.15">
      <c r="A207" s="20"/>
      <c r="B207" s="20"/>
      <c r="C207" s="20"/>
      <c r="D207" s="20"/>
      <c r="E207" s="20"/>
      <c r="F207" s="20"/>
    </row>
    <row r="208" spans="1:6" ht="15.75" customHeight="1" x14ac:dyDescent="0.15">
      <c r="A208" s="20"/>
      <c r="B208" s="20"/>
      <c r="C208" s="20"/>
      <c r="D208" s="20"/>
      <c r="E208" s="20"/>
      <c r="F208" s="20"/>
    </row>
    <row r="209" spans="1:6" ht="15.75" customHeight="1" x14ac:dyDescent="0.15">
      <c r="A209" s="20"/>
      <c r="B209" s="20"/>
      <c r="C209" s="20"/>
      <c r="D209" s="20"/>
      <c r="E209" s="20"/>
      <c r="F209" s="20"/>
    </row>
    <row r="210" spans="1:6" ht="15.75" customHeight="1" x14ac:dyDescent="0.15">
      <c r="A210" s="20"/>
      <c r="B210" s="20"/>
      <c r="C210" s="20"/>
      <c r="D210" s="20"/>
      <c r="E210" s="20"/>
      <c r="F210" s="20"/>
    </row>
    <row r="211" spans="1:6" ht="15.75" customHeight="1" x14ac:dyDescent="0.15">
      <c r="A211" s="20"/>
      <c r="B211" s="20"/>
      <c r="C211" s="20"/>
      <c r="D211" s="20"/>
      <c r="E211" s="20"/>
      <c r="F211" s="20"/>
    </row>
    <row r="212" spans="1:6" ht="15.75" customHeight="1" x14ac:dyDescent="0.15">
      <c r="A212" s="20"/>
      <c r="B212" s="20"/>
      <c r="C212" s="20"/>
      <c r="D212" s="20"/>
      <c r="E212" s="20"/>
      <c r="F212" s="20"/>
    </row>
    <row r="213" spans="1:6" ht="15.75" customHeight="1" x14ac:dyDescent="0.15">
      <c r="A213" s="20"/>
      <c r="B213" s="20"/>
      <c r="C213" s="20"/>
      <c r="D213" s="20"/>
      <c r="E213" s="20"/>
      <c r="F213" s="20"/>
    </row>
    <row r="214" spans="1:6" ht="15.75" customHeight="1" x14ac:dyDescent="0.15">
      <c r="A214" s="20"/>
      <c r="B214" s="20"/>
      <c r="C214" s="20"/>
      <c r="D214" s="20"/>
      <c r="E214" s="20"/>
      <c r="F214" s="20"/>
    </row>
    <row r="215" spans="1:6" ht="15.75" customHeight="1" x14ac:dyDescent="0.15">
      <c r="A215" s="20"/>
      <c r="B215" s="20"/>
      <c r="C215" s="20"/>
      <c r="D215" s="20"/>
      <c r="E215" s="20"/>
      <c r="F215" s="20"/>
    </row>
    <row r="216" spans="1:6" ht="15.75" customHeight="1" x14ac:dyDescent="0.15">
      <c r="A216" s="20"/>
      <c r="B216" s="20"/>
      <c r="C216" s="20"/>
      <c r="D216" s="20"/>
      <c r="E216" s="20"/>
      <c r="F216" s="20"/>
    </row>
    <row r="217" spans="1:6" ht="15.75" customHeight="1" x14ac:dyDescent="0.15">
      <c r="A217" s="20"/>
      <c r="B217" s="20"/>
      <c r="C217" s="20"/>
      <c r="D217" s="20"/>
      <c r="E217" s="20"/>
      <c r="F217" s="20"/>
    </row>
    <row r="218" spans="1:6" ht="15.75" customHeight="1" x14ac:dyDescent="0.15">
      <c r="A218" s="20"/>
      <c r="B218" s="20"/>
      <c r="C218" s="20"/>
      <c r="D218" s="20"/>
      <c r="E218" s="20"/>
      <c r="F218" s="20"/>
    </row>
    <row r="219" spans="1:6" ht="15.75" customHeight="1" x14ac:dyDescent="0.15">
      <c r="A219" s="20"/>
      <c r="B219" s="20"/>
      <c r="C219" s="20"/>
      <c r="D219" s="20"/>
      <c r="E219" s="20"/>
      <c r="F219" s="20"/>
    </row>
    <row r="220" spans="1:6" ht="15.75" customHeight="1" x14ac:dyDescent="0.15">
      <c r="A220" s="20"/>
      <c r="B220" s="20"/>
      <c r="C220" s="20"/>
      <c r="D220" s="20"/>
      <c r="E220" s="20"/>
      <c r="F220" s="20"/>
    </row>
    <row r="221" spans="1:6" ht="15.75" customHeight="1" x14ac:dyDescent="0.15">
      <c r="A221" s="20"/>
      <c r="B221" s="20"/>
      <c r="C221" s="20"/>
      <c r="D221" s="20"/>
      <c r="E221" s="20"/>
      <c r="F221" s="20"/>
    </row>
    <row r="222" spans="1:6" ht="15.75" customHeight="1" x14ac:dyDescent="0.15">
      <c r="A222" s="20"/>
      <c r="B222" s="20"/>
      <c r="C222" s="20"/>
      <c r="D222" s="20"/>
      <c r="E222" s="20"/>
      <c r="F222" s="20"/>
    </row>
    <row r="223" spans="1:6" ht="15.75" customHeight="1" x14ac:dyDescent="0.15">
      <c r="A223" s="20"/>
      <c r="B223" s="20"/>
      <c r="C223" s="20"/>
      <c r="D223" s="20"/>
      <c r="E223" s="20"/>
      <c r="F223" s="20"/>
    </row>
    <row r="224" spans="1:6" ht="15.75" customHeight="1" x14ac:dyDescent="0.15">
      <c r="A224" s="20"/>
      <c r="B224" s="20"/>
      <c r="C224" s="20"/>
      <c r="D224" s="20"/>
      <c r="E224" s="20"/>
      <c r="F224" s="20"/>
    </row>
    <row r="225" spans="1:6" ht="15.75" customHeight="1" x14ac:dyDescent="0.15">
      <c r="A225" s="20"/>
      <c r="B225" s="20"/>
      <c r="C225" s="20"/>
      <c r="D225" s="20"/>
      <c r="E225" s="20"/>
      <c r="F225" s="20"/>
    </row>
    <row r="226" spans="1:6" ht="15.75" customHeight="1" x14ac:dyDescent="0.15">
      <c r="A226" s="20"/>
      <c r="B226" s="20"/>
      <c r="C226" s="20"/>
      <c r="D226" s="20"/>
      <c r="E226" s="20"/>
      <c r="F226" s="20"/>
    </row>
    <row r="227" spans="1:6" ht="15.75" customHeight="1" x14ac:dyDescent="0.15">
      <c r="A227" s="20"/>
      <c r="B227" s="20"/>
      <c r="C227" s="20"/>
      <c r="D227" s="20"/>
      <c r="E227" s="20"/>
      <c r="F227" s="20"/>
    </row>
    <row r="228" spans="1:6" ht="15.75" customHeight="1" x14ac:dyDescent="0.15">
      <c r="A228" s="20"/>
      <c r="B228" s="20"/>
      <c r="C228" s="20"/>
      <c r="D228" s="20"/>
      <c r="E228" s="20"/>
      <c r="F228" s="20"/>
    </row>
    <row r="229" spans="1:6" ht="15.75" customHeight="1" x14ac:dyDescent="0.15">
      <c r="A229" s="20"/>
      <c r="B229" s="20"/>
      <c r="C229" s="20"/>
      <c r="D229" s="20"/>
      <c r="E229" s="20"/>
      <c r="F229" s="20"/>
    </row>
    <row r="230" spans="1:6" ht="15.75" customHeight="1" x14ac:dyDescent="0.15">
      <c r="A230" s="20"/>
      <c r="B230" s="20"/>
      <c r="C230" s="20"/>
      <c r="D230" s="20"/>
      <c r="E230" s="20"/>
      <c r="F230" s="20"/>
    </row>
    <row r="231" spans="1:6" ht="15.75" customHeight="1" x14ac:dyDescent="0.15">
      <c r="A231" s="20"/>
      <c r="B231" s="20"/>
      <c r="C231" s="20"/>
      <c r="D231" s="20"/>
      <c r="E231" s="20"/>
      <c r="F231" s="20"/>
    </row>
    <row r="232" spans="1:6" ht="15.75" customHeight="1" x14ac:dyDescent="0.15">
      <c r="A232" s="20"/>
      <c r="B232" s="20"/>
      <c r="C232" s="20"/>
      <c r="D232" s="20"/>
      <c r="E232" s="20"/>
      <c r="F232" s="20"/>
    </row>
    <row r="233" spans="1:6" ht="15.75" customHeight="1" x14ac:dyDescent="0.15">
      <c r="A233" s="20"/>
      <c r="B233" s="20"/>
      <c r="C233" s="20"/>
      <c r="D233" s="20"/>
      <c r="E233" s="20"/>
      <c r="F233" s="20"/>
    </row>
    <row r="234" spans="1:6" ht="15.75" customHeight="1" x14ac:dyDescent="0.15">
      <c r="A234" s="20"/>
      <c r="B234" s="20"/>
      <c r="C234" s="20"/>
      <c r="D234" s="20"/>
      <c r="E234" s="20"/>
      <c r="F234" s="20"/>
    </row>
    <row r="235" spans="1:6" ht="15.75" customHeight="1" x14ac:dyDescent="0.15">
      <c r="A235" s="20"/>
      <c r="B235" s="20"/>
      <c r="C235" s="20"/>
      <c r="D235" s="20"/>
      <c r="E235" s="20"/>
      <c r="F235" s="20"/>
    </row>
    <row r="236" spans="1:6" ht="15.75" customHeight="1" x14ac:dyDescent="0.15">
      <c r="A236" s="20"/>
      <c r="B236" s="20"/>
      <c r="C236" s="20"/>
      <c r="D236" s="20"/>
      <c r="E236" s="20"/>
      <c r="F236" s="20"/>
    </row>
    <row r="237" spans="1:6" ht="15.75" customHeight="1" x14ac:dyDescent="0.15">
      <c r="A237" s="20"/>
      <c r="B237" s="20"/>
      <c r="C237" s="20"/>
      <c r="D237" s="20"/>
      <c r="E237" s="20"/>
      <c r="F237" s="20"/>
    </row>
    <row r="238" spans="1:6" ht="15.75" customHeight="1" x14ac:dyDescent="0.15">
      <c r="A238" s="20"/>
      <c r="B238" s="20"/>
      <c r="C238" s="20"/>
      <c r="D238" s="20"/>
      <c r="E238" s="20"/>
      <c r="F238" s="20"/>
    </row>
    <row r="239" spans="1:6" ht="15.75" customHeight="1" x14ac:dyDescent="0.15">
      <c r="A239" s="20"/>
      <c r="B239" s="20"/>
      <c r="C239" s="20"/>
      <c r="D239" s="20"/>
      <c r="E239" s="20"/>
      <c r="F239" s="20"/>
    </row>
    <row r="240" spans="1:6" ht="15.75" customHeight="1" x14ac:dyDescent="0.15">
      <c r="A240" s="20"/>
      <c r="B240" s="20"/>
      <c r="C240" s="20"/>
      <c r="D240" s="20"/>
      <c r="E240" s="20"/>
      <c r="F240" s="20"/>
    </row>
    <row r="241" spans="1:6" ht="15.75" customHeight="1" x14ac:dyDescent="0.15">
      <c r="A241" s="20"/>
      <c r="B241" s="20"/>
      <c r="C241" s="20"/>
      <c r="D241" s="20"/>
      <c r="E241" s="20"/>
      <c r="F241" s="20"/>
    </row>
    <row r="242" spans="1:6" ht="15.75" customHeight="1" x14ac:dyDescent="0.15">
      <c r="A242" s="20"/>
      <c r="B242" s="20"/>
      <c r="C242" s="20"/>
      <c r="D242" s="20"/>
      <c r="E242" s="20"/>
      <c r="F242" s="20"/>
    </row>
    <row r="243" spans="1:6" ht="15.75" customHeight="1" x14ac:dyDescent="0.15">
      <c r="A243" s="20"/>
      <c r="B243" s="20"/>
      <c r="C243" s="20"/>
      <c r="D243" s="20"/>
      <c r="E243" s="20"/>
      <c r="F243" s="20"/>
    </row>
    <row r="244" spans="1:6" ht="15.75" customHeight="1" x14ac:dyDescent="0.15">
      <c r="A244" s="20"/>
      <c r="B244" s="20"/>
      <c r="C244" s="20"/>
      <c r="D244" s="20"/>
      <c r="E244" s="20"/>
      <c r="F244" s="20"/>
    </row>
    <row r="245" spans="1:6" ht="15.75" customHeight="1" x14ac:dyDescent="0.15">
      <c r="A245" s="20"/>
      <c r="B245" s="20"/>
      <c r="C245" s="20"/>
      <c r="D245" s="20"/>
      <c r="E245" s="20"/>
      <c r="F245" s="20"/>
    </row>
    <row r="246" spans="1:6" ht="15.75" customHeight="1" x14ac:dyDescent="0.15">
      <c r="A246" s="20"/>
      <c r="B246" s="20"/>
      <c r="C246" s="20"/>
      <c r="D246" s="20"/>
      <c r="E246" s="20"/>
      <c r="F246" s="20"/>
    </row>
    <row r="247" spans="1:6" ht="15.75" customHeight="1" x14ac:dyDescent="0.15">
      <c r="A247" s="20"/>
      <c r="B247" s="20"/>
      <c r="C247" s="20"/>
      <c r="D247" s="20"/>
      <c r="E247" s="20"/>
      <c r="F247" s="20"/>
    </row>
    <row r="248" spans="1:6" ht="15.75" customHeight="1" x14ac:dyDescent="0.15">
      <c r="A248" s="20"/>
      <c r="B248" s="20"/>
      <c r="C248" s="20"/>
      <c r="D248" s="20"/>
      <c r="E248" s="20"/>
      <c r="F248" s="20"/>
    </row>
    <row r="249" spans="1:6" ht="15.75" customHeight="1" x14ac:dyDescent="0.15">
      <c r="A249" s="20"/>
      <c r="B249" s="20"/>
      <c r="C249" s="20"/>
      <c r="D249" s="20"/>
      <c r="E249" s="20"/>
      <c r="F249" s="20"/>
    </row>
    <row r="250" spans="1:6" ht="15.75" customHeight="1" x14ac:dyDescent="0.15">
      <c r="A250" s="20"/>
      <c r="B250" s="20"/>
      <c r="C250" s="20"/>
      <c r="D250" s="20"/>
      <c r="E250" s="20"/>
      <c r="F250" s="20"/>
    </row>
    <row r="251" spans="1:6" ht="15.75" customHeight="1" x14ac:dyDescent="0.15">
      <c r="A251" s="20"/>
      <c r="B251" s="20"/>
      <c r="C251" s="20"/>
      <c r="D251" s="20"/>
      <c r="E251" s="20"/>
      <c r="F251" s="20"/>
    </row>
    <row r="252" spans="1:6" ht="15.75" customHeight="1" x14ac:dyDescent="0.15">
      <c r="A252" s="20"/>
      <c r="B252" s="20"/>
      <c r="C252" s="20"/>
      <c r="D252" s="20"/>
      <c r="E252" s="20"/>
      <c r="F252" s="20"/>
    </row>
    <row r="253" spans="1:6" ht="15.75" customHeight="1" x14ac:dyDescent="0.15">
      <c r="A253" s="20"/>
      <c r="B253" s="20"/>
      <c r="C253" s="20"/>
      <c r="D253" s="20"/>
      <c r="E253" s="20"/>
      <c r="F253" s="20"/>
    </row>
    <row r="254" spans="1:6" ht="15.75" customHeight="1" x14ac:dyDescent="0.15">
      <c r="A254" s="20"/>
      <c r="B254" s="20"/>
      <c r="C254" s="20"/>
      <c r="D254" s="20"/>
      <c r="E254" s="20"/>
      <c r="F254" s="20"/>
    </row>
    <row r="255" spans="1:6" ht="15.75" customHeight="1" x14ac:dyDescent="0.15">
      <c r="A255" s="20"/>
      <c r="B255" s="20"/>
      <c r="C255" s="20"/>
      <c r="D255" s="20"/>
      <c r="E255" s="20"/>
      <c r="F255" s="20"/>
    </row>
    <row r="256" spans="1:6" ht="15.75" customHeight="1" x14ac:dyDescent="0.15">
      <c r="A256" s="20"/>
      <c r="B256" s="20"/>
      <c r="C256" s="20"/>
      <c r="D256" s="20"/>
      <c r="E256" s="20"/>
      <c r="F256" s="20"/>
    </row>
    <row r="257" spans="1:6" ht="15.75" customHeight="1" x14ac:dyDescent="0.15">
      <c r="A257" s="20"/>
      <c r="B257" s="20"/>
      <c r="C257" s="20"/>
      <c r="D257" s="20"/>
      <c r="E257" s="20"/>
      <c r="F257" s="20"/>
    </row>
    <row r="258" spans="1:6" ht="15.75" customHeight="1" x14ac:dyDescent="0.15">
      <c r="A258" s="20"/>
      <c r="B258" s="20"/>
      <c r="C258" s="20"/>
      <c r="D258" s="20"/>
      <c r="E258" s="20"/>
      <c r="F258" s="20"/>
    </row>
    <row r="259" spans="1:6" ht="15.75" customHeight="1" x14ac:dyDescent="0.15">
      <c r="A259" s="20"/>
      <c r="B259" s="20"/>
      <c r="C259" s="20"/>
      <c r="D259" s="20"/>
      <c r="E259" s="20"/>
      <c r="F259" s="20"/>
    </row>
    <row r="260" spans="1:6" ht="15.75" customHeight="1" x14ac:dyDescent="0.15">
      <c r="A260" s="20"/>
      <c r="B260" s="20"/>
      <c r="C260" s="20"/>
      <c r="D260" s="20"/>
      <c r="E260" s="20"/>
      <c r="F260" s="20"/>
    </row>
    <row r="261" spans="1:6" ht="15.75" customHeight="1" x14ac:dyDescent="0.15">
      <c r="A261" s="20"/>
      <c r="B261" s="20"/>
      <c r="C261" s="20"/>
      <c r="D261" s="20"/>
      <c r="E261" s="20"/>
      <c r="F261" s="20"/>
    </row>
    <row r="262" spans="1:6" ht="15.75" customHeight="1" x14ac:dyDescent="0.15">
      <c r="A262" s="20"/>
      <c r="B262" s="20"/>
      <c r="C262" s="20"/>
      <c r="D262" s="20"/>
      <c r="E262" s="20"/>
      <c r="F262" s="20"/>
    </row>
    <row r="263" spans="1:6" ht="15.75" customHeight="1" x14ac:dyDescent="0.15">
      <c r="A263" s="20"/>
      <c r="B263" s="20"/>
      <c r="C263" s="20"/>
      <c r="D263" s="20"/>
      <c r="E263" s="20"/>
      <c r="F263" s="20"/>
    </row>
    <row r="264" spans="1:6" ht="15.75" customHeight="1" x14ac:dyDescent="0.15">
      <c r="A264" s="20"/>
      <c r="B264" s="20"/>
      <c r="C264" s="20"/>
      <c r="D264" s="20"/>
      <c r="E264" s="20"/>
      <c r="F264" s="20"/>
    </row>
    <row r="265" spans="1:6" ht="15.75" customHeight="1" x14ac:dyDescent="0.15">
      <c r="A265" s="20"/>
      <c r="B265" s="20"/>
      <c r="C265" s="20"/>
      <c r="D265" s="20"/>
      <c r="E265" s="20"/>
      <c r="F265" s="20"/>
    </row>
    <row r="266" spans="1:6" ht="15.75" customHeight="1" x14ac:dyDescent="0.15">
      <c r="A266" s="20"/>
      <c r="B266" s="20"/>
      <c r="C266" s="20"/>
      <c r="D266" s="20"/>
      <c r="E266" s="20"/>
      <c r="F266" s="20"/>
    </row>
    <row r="267" spans="1:6" ht="15.75" customHeight="1" x14ac:dyDescent="0.15">
      <c r="A267" s="20"/>
      <c r="B267" s="20"/>
      <c r="C267" s="20"/>
      <c r="D267" s="20"/>
      <c r="E267" s="20"/>
      <c r="F267" s="20"/>
    </row>
    <row r="268" spans="1:6" ht="15.75" customHeight="1" x14ac:dyDescent="0.15">
      <c r="A268" s="20"/>
      <c r="B268" s="20"/>
      <c r="C268" s="20"/>
      <c r="D268" s="20"/>
      <c r="E268" s="20"/>
      <c r="F268" s="20"/>
    </row>
    <row r="269" spans="1:6" ht="15.75" customHeight="1" x14ac:dyDescent="0.15">
      <c r="A269" s="20"/>
      <c r="B269" s="20"/>
      <c r="C269" s="20"/>
      <c r="D269" s="20"/>
      <c r="E269" s="20"/>
      <c r="F269" s="20"/>
    </row>
    <row r="270" spans="1:6" ht="15.75" customHeight="1" x14ac:dyDescent="0.15">
      <c r="A270" s="20"/>
      <c r="B270" s="20"/>
      <c r="C270" s="20"/>
      <c r="D270" s="20"/>
      <c r="E270" s="20"/>
      <c r="F270" s="20"/>
    </row>
    <row r="271" spans="1:6" ht="15.75" customHeight="1" x14ac:dyDescent="0.15">
      <c r="A271" s="20"/>
      <c r="B271" s="20"/>
      <c r="C271" s="20"/>
      <c r="D271" s="20"/>
      <c r="E271" s="20"/>
      <c r="F271" s="20"/>
    </row>
    <row r="272" spans="1:6" ht="15.75" customHeight="1" x14ac:dyDescent="0.15">
      <c r="A272" s="20"/>
      <c r="B272" s="20"/>
      <c r="C272" s="20"/>
      <c r="D272" s="20"/>
      <c r="E272" s="20"/>
      <c r="F272" s="20"/>
    </row>
    <row r="273" spans="1:6" ht="15.75" customHeight="1" x14ac:dyDescent="0.15">
      <c r="A273" s="20"/>
      <c r="B273" s="20"/>
      <c r="C273" s="20"/>
      <c r="D273" s="20"/>
      <c r="E273" s="20"/>
      <c r="F273" s="20"/>
    </row>
    <row r="274" spans="1:6" ht="15.75" customHeight="1" x14ac:dyDescent="0.15">
      <c r="A274" s="20"/>
      <c r="B274" s="20"/>
      <c r="C274" s="20"/>
      <c r="D274" s="20"/>
      <c r="E274" s="20"/>
      <c r="F274" s="20"/>
    </row>
    <row r="275" spans="1:6" ht="15.75" customHeight="1" x14ac:dyDescent="0.15">
      <c r="A275" s="20"/>
      <c r="B275" s="20"/>
      <c r="C275" s="20"/>
      <c r="D275" s="20"/>
      <c r="E275" s="20"/>
      <c r="F275" s="20"/>
    </row>
    <row r="276" spans="1:6" ht="15.75" customHeight="1" x14ac:dyDescent="0.15">
      <c r="A276" s="20"/>
      <c r="B276" s="20"/>
      <c r="C276" s="20"/>
      <c r="D276" s="20"/>
      <c r="E276" s="20"/>
      <c r="F276" s="20"/>
    </row>
    <row r="277" spans="1:6" ht="15.75" customHeight="1" x14ac:dyDescent="0.15">
      <c r="A277" s="20"/>
      <c r="B277" s="20"/>
      <c r="C277" s="20"/>
      <c r="D277" s="20"/>
      <c r="E277" s="20"/>
      <c r="F277" s="20"/>
    </row>
    <row r="278" spans="1:6" ht="15.75" customHeight="1" x14ac:dyDescent="0.15">
      <c r="A278" s="20"/>
      <c r="B278" s="20"/>
      <c r="C278" s="20"/>
      <c r="D278" s="20"/>
      <c r="E278" s="20"/>
      <c r="F278" s="20"/>
    </row>
    <row r="279" spans="1:6" ht="15.75" customHeight="1" x14ac:dyDescent="0.15">
      <c r="A279" s="20"/>
      <c r="B279" s="20"/>
      <c r="C279" s="20"/>
      <c r="D279" s="20"/>
      <c r="E279" s="20"/>
      <c r="F279" s="20"/>
    </row>
    <row r="280" spans="1:6" ht="15.75" customHeight="1" x14ac:dyDescent="0.15">
      <c r="A280" s="20"/>
      <c r="B280" s="20"/>
      <c r="C280" s="20"/>
      <c r="D280" s="20"/>
      <c r="E280" s="20"/>
      <c r="F280" s="20"/>
    </row>
    <row r="281" spans="1:6" ht="15.75" customHeight="1" x14ac:dyDescent="0.15">
      <c r="A281" s="20"/>
      <c r="B281" s="20"/>
      <c r="C281" s="20"/>
      <c r="D281" s="20"/>
      <c r="E281" s="20"/>
      <c r="F281" s="20"/>
    </row>
    <row r="282" spans="1:6" ht="15.75" customHeight="1" x14ac:dyDescent="0.15">
      <c r="A282" s="20"/>
      <c r="B282" s="20"/>
      <c r="C282" s="20"/>
      <c r="D282" s="20"/>
      <c r="E282" s="20"/>
      <c r="F282" s="20"/>
    </row>
    <row r="283" spans="1:6" ht="15.75" customHeight="1" x14ac:dyDescent="0.15">
      <c r="A283" s="20"/>
      <c r="B283" s="20"/>
      <c r="C283" s="20"/>
      <c r="D283" s="20"/>
      <c r="E283" s="20"/>
      <c r="F283" s="20"/>
    </row>
    <row r="284" spans="1:6" ht="15.75" customHeight="1" x14ac:dyDescent="0.15">
      <c r="A284" s="20"/>
      <c r="B284" s="20"/>
      <c r="C284" s="20"/>
      <c r="D284" s="20"/>
      <c r="E284" s="20"/>
      <c r="F284" s="20"/>
    </row>
    <row r="285" spans="1:6" ht="15.75" customHeight="1" x14ac:dyDescent="0.15">
      <c r="A285" s="20"/>
      <c r="B285" s="20"/>
      <c r="C285" s="20"/>
      <c r="D285" s="20"/>
      <c r="E285" s="20"/>
      <c r="F285" s="20"/>
    </row>
    <row r="286" spans="1:6" ht="15.75" customHeight="1" x14ac:dyDescent="0.15">
      <c r="A286" s="20"/>
      <c r="B286" s="20"/>
      <c r="C286" s="20"/>
      <c r="D286" s="20"/>
      <c r="E286" s="20"/>
      <c r="F286" s="20"/>
    </row>
    <row r="287" spans="1:6" ht="15.75" customHeight="1" x14ac:dyDescent="0.15">
      <c r="A287" s="20"/>
      <c r="B287" s="20"/>
      <c r="C287" s="20"/>
      <c r="D287" s="20"/>
      <c r="E287" s="20"/>
      <c r="F287" s="20"/>
    </row>
    <row r="288" spans="1:6" ht="15.75" customHeight="1" x14ac:dyDescent="0.15">
      <c r="A288" s="20"/>
      <c r="B288" s="20"/>
      <c r="C288" s="20"/>
      <c r="D288" s="20"/>
      <c r="E288" s="20"/>
      <c r="F288" s="20"/>
    </row>
    <row r="289" spans="1:6" ht="15.75" customHeight="1" x14ac:dyDescent="0.15">
      <c r="A289" s="20"/>
      <c r="B289" s="20"/>
      <c r="C289" s="20"/>
      <c r="D289" s="20"/>
      <c r="E289" s="20"/>
      <c r="F289" s="20"/>
    </row>
    <row r="290" spans="1:6" ht="15.75" customHeight="1" x14ac:dyDescent="0.15">
      <c r="A290" s="20"/>
      <c r="B290" s="20"/>
      <c r="C290" s="20"/>
      <c r="D290" s="20"/>
      <c r="E290" s="20"/>
      <c r="F290" s="20"/>
    </row>
    <row r="291" spans="1:6" ht="15.75" customHeight="1" x14ac:dyDescent="0.15">
      <c r="A291" s="20"/>
      <c r="B291" s="20"/>
      <c r="C291" s="20"/>
      <c r="D291" s="20"/>
      <c r="E291" s="20"/>
      <c r="F291" s="20"/>
    </row>
    <row r="292" spans="1:6" ht="15.75" customHeight="1" x14ac:dyDescent="0.15">
      <c r="A292" s="20"/>
      <c r="B292" s="20"/>
      <c r="C292" s="20"/>
      <c r="D292" s="20"/>
      <c r="E292" s="20"/>
      <c r="F292" s="20"/>
    </row>
    <row r="293" spans="1:6" ht="15.75" customHeight="1" x14ac:dyDescent="0.15">
      <c r="A293" s="20"/>
      <c r="B293" s="20"/>
      <c r="C293" s="20"/>
      <c r="D293" s="20"/>
      <c r="E293" s="20"/>
      <c r="F293" s="20"/>
    </row>
    <row r="294" spans="1:6" ht="15.75" customHeight="1" x14ac:dyDescent="0.15">
      <c r="A294" s="20"/>
      <c r="B294" s="20"/>
      <c r="C294" s="20"/>
      <c r="D294" s="20"/>
      <c r="E294" s="20"/>
      <c r="F294" s="20"/>
    </row>
    <row r="295" spans="1:6" ht="15.75" customHeight="1" x14ac:dyDescent="0.15">
      <c r="A295" s="20"/>
      <c r="B295" s="20"/>
      <c r="C295" s="20"/>
      <c r="D295" s="20"/>
      <c r="E295" s="20"/>
      <c r="F295" s="20"/>
    </row>
    <row r="296" spans="1:6" ht="15.75" customHeight="1" x14ac:dyDescent="0.15">
      <c r="A296" s="20"/>
      <c r="B296" s="20"/>
      <c r="C296" s="20"/>
      <c r="D296" s="20"/>
      <c r="E296" s="20"/>
      <c r="F296" s="20"/>
    </row>
    <row r="297" spans="1:6" ht="15.75" customHeight="1" x14ac:dyDescent="0.15">
      <c r="A297" s="20"/>
      <c r="B297" s="20"/>
      <c r="C297" s="20"/>
      <c r="D297" s="20"/>
      <c r="E297" s="20"/>
      <c r="F297" s="20"/>
    </row>
    <row r="298" spans="1:6" ht="15.75" customHeight="1" x14ac:dyDescent="0.15">
      <c r="A298" s="20"/>
      <c r="B298" s="20"/>
      <c r="C298" s="20"/>
      <c r="D298" s="20"/>
      <c r="E298" s="20"/>
      <c r="F298" s="20"/>
    </row>
    <row r="299" spans="1:6" ht="15.75" customHeight="1" x14ac:dyDescent="0.15">
      <c r="A299" s="20"/>
      <c r="B299" s="20"/>
      <c r="C299" s="20"/>
      <c r="D299" s="20"/>
      <c r="E299" s="20"/>
      <c r="F299" s="20"/>
    </row>
    <row r="300" spans="1:6" ht="15.75" customHeight="1" x14ac:dyDescent="0.15">
      <c r="A300" s="20"/>
      <c r="B300" s="20"/>
      <c r="C300" s="20"/>
      <c r="D300" s="20"/>
      <c r="E300" s="20"/>
      <c r="F300" s="20"/>
    </row>
    <row r="301" spans="1:6" ht="15.75" customHeight="1" x14ac:dyDescent="0.15">
      <c r="A301" s="20"/>
      <c r="B301" s="20"/>
      <c r="C301" s="20"/>
      <c r="D301" s="20"/>
      <c r="E301" s="20"/>
      <c r="F301" s="20"/>
    </row>
    <row r="302" spans="1:6" ht="15.75" customHeight="1" x14ac:dyDescent="0.15">
      <c r="A302" s="20"/>
      <c r="B302" s="20"/>
      <c r="C302" s="20"/>
      <c r="D302" s="20"/>
      <c r="E302" s="20"/>
      <c r="F302" s="20"/>
    </row>
    <row r="303" spans="1:6" ht="15.75" customHeight="1" x14ac:dyDescent="0.15">
      <c r="A303" s="20"/>
      <c r="B303" s="20"/>
      <c r="C303" s="20"/>
      <c r="D303" s="20"/>
      <c r="E303" s="20"/>
      <c r="F303" s="20"/>
    </row>
    <row r="304" spans="1:6" ht="15.75" customHeight="1" x14ac:dyDescent="0.15">
      <c r="A304" s="20"/>
      <c r="B304" s="20"/>
      <c r="C304" s="20"/>
      <c r="D304" s="20"/>
      <c r="E304" s="20"/>
      <c r="F304" s="20"/>
    </row>
    <row r="305" spans="1:6" ht="15.75" customHeight="1" x14ac:dyDescent="0.15">
      <c r="A305" s="20"/>
      <c r="B305" s="20"/>
      <c r="C305" s="20"/>
      <c r="D305" s="20"/>
      <c r="E305" s="20"/>
      <c r="F305" s="20"/>
    </row>
    <row r="306" spans="1:6" ht="15.75" customHeight="1" x14ac:dyDescent="0.15">
      <c r="A306" s="20"/>
      <c r="B306" s="20"/>
      <c r="C306" s="20"/>
      <c r="D306" s="20"/>
      <c r="E306" s="20"/>
      <c r="F306" s="20"/>
    </row>
    <row r="307" spans="1:6" ht="15.75" customHeight="1" x14ac:dyDescent="0.15">
      <c r="A307" s="20"/>
      <c r="B307" s="20"/>
      <c r="C307" s="20"/>
      <c r="D307" s="20"/>
      <c r="E307" s="20"/>
      <c r="F307" s="20"/>
    </row>
    <row r="308" spans="1:6" ht="15.75" customHeight="1" x14ac:dyDescent="0.15">
      <c r="A308" s="20"/>
      <c r="B308" s="20"/>
      <c r="C308" s="20"/>
      <c r="D308" s="20"/>
      <c r="E308" s="20"/>
      <c r="F308" s="20"/>
    </row>
    <row r="309" spans="1:6" ht="15.75" customHeight="1" x14ac:dyDescent="0.15">
      <c r="A309" s="20"/>
      <c r="B309" s="20"/>
      <c r="C309" s="20"/>
      <c r="D309" s="20"/>
      <c r="E309" s="20"/>
      <c r="F309" s="20"/>
    </row>
    <row r="310" spans="1:6" ht="15.75" customHeight="1" x14ac:dyDescent="0.15">
      <c r="A310" s="20"/>
      <c r="B310" s="20"/>
      <c r="C310" s="20"/>
      <c r="D310" s="20"/>
      <c r="E310" s="20"/>
      <c r="F310" s="20"/>
    </row>
    <row r="311" spans="1:6" ht="15.75" customHeight="1" x14ac:dyDescent="0.15">
      <c r="A311" s="20"/>
      <c r="B311" s="20"/>
      <c r="C311" s="20"/>
      <c r="D311" s="20"/>
      <c r="E311" s="20"/>
      <c r="F311" s="20"/>
    </row>
    <row r="312" spans="1:6" ht="15.75" customHeight="1" x14ac:dyDescent="0.15">
      <c r="A312" s="20"/>
      <c r="B312" s="20"/>
      <c r="C312" s="20"/>
      <c r="D312" s="20"/>
      <c r="E312" s="20"/>
      <c r="F312" s="20"/>
    </row>
    <row r="313" spans="1:6" ht="15.75" customHeight="1" x14ac:dyDescent="0.15">
      <c r="A313" s="20"/>
      <c r="B313" s="20"/>
      <c r="C313" s="20"/>
      <c r="D313" s="20"/>
      <c r="E313" s="20"/>
      <c r="F313" s="20"/>
    </row>
    <row r="314" spans="1:6" ht="15.75" customHeight="1" x14ac:dyDescent="0.15">
      <c r="A314" s="20"/>
      <c r="B314" s="20"/>
      <c r="C314" s="20"/>
      <c r="D314" s="20"/>
      <c r="E314" s="20"/>
      <c r="F314" s="20"/>
    </row>
    <row r="315" spans="1:6" ht="15.75" customHeight="1" x14ac:dyDescent="0.15">
      <c r="A315" s="20"/>
      <c r="B315" s="20"/>
      <c r="C315" s="20"/>
      <c r="D315" s="20"/>
      <c r="E315" s="20"/>
      <c r="F315" s="20"/>
    </row>
    <row r="316" spans="1:6" ht="15.75" customHeight="1" x14ac:dyDescent="0.15">
      <c r="A316" s="20"/>
      <c r="B316" s="20"/>
      <c r="C316" s="20"/>
      <c r="D316" s="20"/>
      <c r="E316" s="20"/>
      <c r="F316" s="20"/>
    </row>
    <row r="317" spans="1:6" ht="15.75" customHeight="1" x14ac:dyDescent="0.15">
      <c r="A317" s="20"/>
      <c r="B317" s="20"/>
      <c r="C317" s="20"/>
      <c r="D317" s="20"/>
      <c r="E317" s="20"/>
      <c r="F317" s="20"/>
    </row>
    <row r="318" spans="1:6" ht="15.75" customHeight="1" x14ac:dyDescent="0.15">
      <c r="A318" s="20"/>
      <c r="B318" s="20"/>
      <c r="C318" s="20"/>
      <c r="D318" s="20"/>
      <c r="E318" s="20"/>
      <c r="F318" s="20"/>
    </row>
    <row r="319" spans="1:6" ht="15.75" customHeight="1" x14ac:dyDescent="0.15">
      <c r="A319" s="20"/>
      <c r="B319" s="20"/>
      <c r="C319" s="20"/>
      <c r="D319" s="20"/>
      <c r="E319" s="20"/>
      <c r="F319" s="20"/>
    </row>
    <row r="320" spans="1:6" ht="15.75" customHeight="1" x14ac:dyDescent="0.15">
      <c r="A320" s="20"/>
      <c r="B320" s="20"/>
      <c r="C320" s="20"/>
      <c r="D320" s="20"/>
      <c r="E320" s="20"/>
      <c r="F320" s="20"/>
    </row>
    <row r="321" spans="1:6" ht="15.75" customHeight="1" x14ac:dyDescent="0.15">
      <c r="A321" s="20"/>
      <c r="B321" s="20"/>
      <c r="C321" s="20"/>
      <c r="D321" s="20"/>
      <c r="E321" s="20"/>
      <c r="F321" s="20"/>
    </row>
    <row r="322" spans="1:6" ht="15.75" customHeight="1" x14ac:dyDescent="0.15">
      <c r="A322" s="20"/>
      <c r="B322" s="20"/>
      <c r="C322" s="20"/>
      <c r="D322" s="20"/>
      <c r="E322" s="20"/>
      <c r="F322" s="20"/>
    </row>
    <row r="323" spans="1:6" ht="15.75" customHeight="1" x14ac:dyDescent="0.15">
      <c r="A323" s="20"/>
      <c r="B323" s="20"/>
      <c r="C323" s="20"/>
      <c r="D323" s="20"/>
      <c r="E323" s="20"/>
      <c r="F323" s="20"/>
    </row>
    <row r="324" spans="1:6" ht="15.75" customHeight="1" x14ac:dyDescent="0.15">
      <c r="A324" s="20"/>
      <c r="B324" s="20"/>
      <c r="C324" s="20"/>
      <c r="D324" s="20"/>
      <c r="E324" s="20"/>
      <c r="F324" s="20"/>
    </row>
    <row r="325" spans="1:6" ht="15.75" customHeight="1" x14ac:dyDescent="0.15">
      <c r="A325" s="20"/>
      <c r="B325" s="20"/>
      <c r="C325" s="20"/>
      <c r="D325" s="20"/>
      <c r="E325" s="20"/>
      <c r="F325" s="20"/>
    </row>
    <row r="326" spans="1:6" ht="15.75" customHeight="1" x14ac:dyDescent="0.15">
      <c r="A326" s="20"/>
      <c r="B326" s="20"/>
      <c r="C326" s="20"/>
      <c r="D326" s="20"/>
      <c r="E326" s="20"/>
      <c r="F326" s="20"/>
    </row>
    <row r="327" spans="1:6" ht="15.75" customHeight="1" x14ac:dyDescent="0.15">
      <c r="A327" s="20"/>
      <c r="B327" s="20"/>
      <c r="C327" s="20"/>
      <c r="D327" s="20"/>
      <c r="E327" s="20"/>
      <c r="F327" s="20"/>
    </row>
    <row r="328" spans="1:6" ht="15.75" customHeight="1" x14ac:dyDescent="0.15">
      <c r="A328" s="20"/>
      <c r="B328" s="20"/>
      <c r="C328" s="20"/>
      <c r="D328" s="20"/>
      <c r="E328" s="20"/>
      <c r="F328" s="20"/>
    </row>
    <row r="329" spans="1:6" ht="15.75" customHeight="1" x14ac:dyDescent="0.15">
      <c r="A329" s="20"/>
      <c r="B329" s="20"/>
      <c r="C329" s="20"/>
      <c r="D329" s="20"/>
      <c r="E329" s="20"/>
      <c r="F329" s="20"/>
    </row>
    <row r="330" spans="1:6" ht="15.75" customHeight="1" x14ac:dyDescent="0.15">
      <c r="A330" s="20"/>
      <c r="B330" s="20"/>
      <c r="C330" s="20"/>
      <c r="D330" s="20"/>
      <c r="E330" s="20"/>
      <c r="F330" s="20"/>
    </row>
    <row r="331" spans="1:6" ht="15.75" customHeight="1" x14ac:dyDescent="0.15">
      <c r="A331" s="20"/>
      <c r="B331" s="20"/>
      <c r="C331" s="20"/>
      <c r="D331" s="20"/>
      <c r="E331" s="20"/>
      <c r="F331" s="20"/>
    </row>
    <row r="332" spans="1:6" ht="15.75" customHeight="1" x14ac:dyDescent="0.15">
      <c r="A332" s="20"/>
      <c r="B332" s="20"/>
      <c r="C332" s="20"/>
      <c r="D332" s="20"/>
      <c r="E332" s="20"/>
      <c r="F332" s="20"/>
    </row>
    <row r="333" spans="1:6" ht="15.75" customHeight="1" x14ac:dyDescent="0.15">
      <c r="A333" s="20"/>
      <c r="B333" s="20"/>
      <c r="C333" s="20"/>
      <c r="D333" s="20"/>
      <c r="E333" s="20"/>
      <c r="F333" s="20"/>
    </row>
    <row r="334" spans="1:6" ht="15.75" customHeight="1" x14ac:dyDescent="0.15">
      <c r="A334" s="20"/>
      <c r="B334" s="20"/>
      <c r="C334" s="20"/>
      <c r="D334" s="20"/>
      <c r="E334" s="20"/>
      <c r="F334" s="20"/>
    </row>
    <row r="335" spans="1:6" ht="15.75" customHeight="1" x14ac:dyDescent="0.15">
      <c r="A335" s="20"/>
      <c r="B335" s="20"/>
      <c r="C335" s="20"/>
      <c r="D335" s="20"/>
      <c r="E335" s="20"/>
      <c r="F335" s="20"/>
    </row>
    <row r="336" spans="1:6" ht="15.75" customHeight="1" x14ac:dyDescent="0.15">
      <c r="A336" s="20"/>
      <c r="B336" s="20"/>
      <c r="C336" s="20"/>
      <c r="D336" s="20"/>
      <c r="E336" s="20"/>
      <c r="F336" s="20"/>
    </row>
    <row r="337" spans="1:6" ht="15.75" customHeight="1" x14ac:dyDescent="0.15">
      <c r="A337" s="20"/>
      <c r="B337" s="20"/>
      <c r="C337" s="20"/>
      <c r="D337" s="20"/>
      <c r="E337" s="20"/>
      <c r="F337" s="20"/>
    </row>
    <row r="338" spans="1:6" ht="15.75" customHeight="1" x14ac:dyDescent="0.15">
      <c r="A338" s="20"/>
      <c r="B338" s="20"/>
      <c r="C338" s="20"/>
      <c r="D338" s="20"/>
      <c r="E338" s="20"/>
      <c r="F338" s="20"/>
    </row>
    <row r="339" spans="1:6" ht="15.75" customHeight="1" x14ac:dyDescent="0.15">
      <c r="A339" s="20"/>
      <c r="B339" s="20"/>
      <c r="C339" s="20"/>
      <c r="D339" s="20"/>
      <c r="E339" s="20"/>
      <c r="F339" s="20"/>
    </row>
    <row r="340" spans="1:6" ht="15.75" customHeight="1" x14ac:dyDescent="0.15">
      <c r="A340" s="20"/>
      <c r="B340" s="20"/>
      <c r="C340" s="20"/>
      <c r="D340" s="20"/>
      <c r="E340" s="20"/>
      <c r="F340" s="20"/>
    </row>
    <row r="341" spans="1:6" ht="15.75" customHeight="1" x14ac:dyDescent="0.15">
      <c r="A341" s="20"/>
      <c r="B341" s="20"/>
      <c r="C341" s="20"/>
      <c r="D341" s="20"/>
      <c r="E341" s="20"/>
      <c r="F341" s="20"/>
    </row>
    <row r="342" spans="1:6" ht="15.75" customHeight="1" x14ac:dyDescent="0.15">
      <c r="A342" s="20"/>
      <c r="B342" s="20"/>
      <c r="C342" s="20"/>
      <c r="D342" s="20"/>
      <c r="E342" s="20"/>
      <c r="F342" s="20"/>
    </row>
    <row r="343" spans="1:6" ht="15.75" customHeight="1" x14ac:dyDescent="0.15">
      <c r="A343" s="20"/>
      <c r="B343" s="20"/>
      <c r="C343" s="20"/>
      <c r="D343" s="20"/>
      <c r="E343" s="20"/>
      <c r="F343" s="20"/>
    </row>
    <row r="344" spans="1:6" ht="15.75" customHeight="1" x14ac:dyDescent="0.15">
      <c r="A344" s="20"/>
      <c r="B344" s="20"/>
      <c r="C344" s="20"/>
      <c r="D344" s="20"/>
      <c r="E344" s="20"/>
      <c r="F344" s="20"/>
    </row>
    <row r="345" spans="1:6" ht="15.75" customHeight="1" x14ac:dyDescent="0.15">
      <c r="A345" s="20"/>
      <c r="B345" s="20"/>
      <c r="C345" s="20"/>
      <c r="D345" s="20"/>
      <c r="E345" s="20"/>
      <c r="F345" s="20"/>
    </row>
    <row r="346" spans="1:6" ht="15.75" customHeight="1" x14ac:dyDescent="0.15">
      <c r="A346" s="20"/>
      <c r="B346" s="20"/>
      <c r="C346" s="20"/>
      <c r="D346" s="20"/>
      <c r="E346" s="20"/>
      <c r="F346" s="20"/>
    </row>
    <row r="347" spans="1:6" ht="15.75" customHeight="1" x14ac:dyDescent="0.15">
      <c r="A347" s="20"/>
      <c r="B347" s="20"/>
      <c r="C347" s="20"/>
      <c r="D347" s="20"/>
      <c r="E347" s="20"/>
      <c r="F347" s="20"/>
    </row>
    <row r="348" spans="1:6" ht="15.75" customHeight="1" x14ac:dyDescent="0.15">
      <c r="A348" s="20"/>
      <c r="B348" s="20"/>
      <c r="C348" s="20"/>
      <c r="D348" s="20"/>
      <c r="E348" s="20"/>
      <c r="F348" s="20"/>
    </row>
    <row r="349" spans="1:6" ht="15.75" customHeight="1" x14ac:dyDescent="0.15">
      <c r="A349" s="20"/>
      <c r="B349" s="20"/>
      <c r="C349" s="20"/>
      <c r="D349" s="20"/>
      <c r="E349" s="20"/>
      <c r="F349" s="20"/>
    </row>
    <row r="350" spans="1:6" ht="15.75" customHeight="1" x14ac:dyDescent="0.15">
      <c r="A350" s="20"/>
      <c r="B350" s="20"/>
      <c r="C350" s="20"/>
      <c r="D350" s="20"/>
      <c r="E350" s="20"/>
      <c r="F350" s="20"/>
    </row>
    <row r="351" spans="1:6" ht="15.75" customHeight="1" x14ac:dyDescent="0.15">
      <c r="A351" s="20"/>
      <c r="B351" s="20"/>
      <c r="C351" s="20"/>
      <c r="D351" s="20"/>
      <c r="E351" s="20"/>
      <c r="F351" s="20"/>
    </row>
    <row r="352" spans="1:6" ht="15.75" customHeight="1" x14ac:dyDescent="0.15">
      <c r="A352" s="20"/>
      <c r="B352" s="20"/>
      <c r="C352" s="20"/>
      <c r="D352" s="20"/>
      <c r="E352" s="20"/>
      <c r="F352" s="20"/>
    </row>
    <row r="353" spans="1:6" ht="15.75" customHeight="1" x14ac:dyDescent="0.15">
      <c r="A353" s="20"/>
      <c r="B353" s="20"/>
      <c r="C353" s="20"/>
      <c r="D353" s="20"/>
      <c r="E353" s="20"/>
      <c r="F353" s="20"/>
    </row>
    <row r="354" spans="1:6" ht="15.75" customHeight="1" x14ac:dyDescent="0.15">
      <c r="A354" s="20"/>
      <c r="B354" s="20"/>
      <c r="C354" s="20"/>
      <c r="D354" s="20"/>
      <c r="E354" s="20"/>
      <c r="F354" s="20"/>
    </row>
    <row r="355" spans="1:6" ht="15.75" customHeight="1" x14ac:dyDescent="0.15">
      <c r="A355" s="20"/>
      <c r="B355" s="20"/>
      <c r="C355" s="20"/>
      <c r="D355" s="20"/>
      <c r="E355" s="20"/>
      <c r="F355" s="20"/>
    </row>
    <row r="356" spans="1:6" ht="15.75" customHeight="1" x14ac:dyDescent="0.15">
      <c r="A356" s="20"/>
      <c r="B356" s="20"/>
      <c r="C356" s="20"/>
      <c r="D356" s="20"/>
      <c r="E356" s="20"/>
      <c r="F356" s="20"/>
    </row>
    <row r="357" spans="1:6" ht="15.75" customHeight="1" x14ac:dyDescent="0.15">
      <c r="A357" s="20"/>
      <c r="B357" s="20"/>
      <c r="C357" s="20"/>
      <c r="D357" s="20"/>
      <c r="E357" s="20"/>
      <c r="F357" s="20"/>
    </row>
    <row r="358" spans="1:6" ht="15.75" customHeight="1" x14ac:dyDescent="0.15">
      <c r="A358" s="20"/>
      <c r="B358" s="20"/>
      <c r="C358" s="20"/>
      <c r="D358" s="20"/>
      <c r="E358" s="20"/>
      <c r="F358" s="20"/>
    </row>
    <row r="359" spans="1:6" ht="15.75" customHeight="1" x14ac:dyDescent="0.15">
      <c r="A359" s="20"/>
      <c r="B359" s="20"/>
      <c r="C359" s="20"/>
      <c r="D359" s="20"/>
      <c r="E359" s="20"/>
      <c r="F359" s="20"/>
    </row>
    <row r="360" spans="1:6" ht="15.75" customHeight="1" x14ac:dyDescent="0.15">
      <c r="A360" s="20"/>
      <c r="B360" s="20"/>
      <c r="C360" s="20"/>
      <c r="D360" s="20"/>
      <c r="E360" s="20"/>
      <c r="F360" s="20"/>
    </row>
    <row r="361" spans="1:6" ht="15.75" customHeight="1" x14ac:dyDescent="0.15">
      <c r="A361" s="20"/>
      <c r="B361" s="20"/>
      <c r="C361" s="20"/>
      <c r="D361" s="20"/>
      <c r="E361" s="20"/>
      <c r="F361" s="20"/>
    </row>
    <row r="362" spans="1:6" ht="15.75" customHeight="1" x14ac:dyDescent="0.15">
      <c r="A362" s="20"/>
      <c r="B362" s="20"/>
      <c r="C362" s="20"/>
      <c r="D362" s="20"/>
      <c r="E362" s="20"/>
      <c r="F362" s="20"/>
    </row>
    <row r="363" spans="1:6" ht="15.75" customHeight="1" x14ac:dyDescent="0.15">
      <c r="A363" s="20"/>
      <c r="B363" s="20"/>
      <c r="C363" s="20"/>
      <c r="D363" s="20"/>
      <c r="E363" s="20"/>
      <c r="F363" s="20"/>
    </row>
    <row r="364" spans="1:6" ht="15.75" customHeight="1" x14ac:dyDescent="0.15">
      <c r="A364" s="20"/>
      <c r="B364" s="20"/>
      <c r="C364" s="20"/>
      <c r="D364" s="20"/>
      <c r="E364" s="20"/>
      <c r="F364" s="20"/>
    </row>
    <row r="365" spans="1:6" ht="15.75" customHeight="1" x14ac:dyDescent="0.15">
      <c r="A365" s="20"/>
      <c r="B365" s="20"/>
      <c r="C365" s="20"/>
      <c r="D365" s="20"/>
      <c r="E365" s="20"/>
      <c r="F365" s="20"/>
    </row>
    <row r="366" spans="1:6" ht="15.75" customHeight="1" x14ac:dyDescent="0.15">
      <c r="A366" s="20"/>
      <c r="B366" s="20"/>
      <c r="C366" s="20"/>
      <c r="D366" s="20"/>
      <c r="E366" s="20"/>
      <c r="F366" s="20"/>
    </row>
    <row r="367" spans="1:6" ht="15.75" customHeight="1" x14ac:dyDescent="0.15">
      <c r="A367" s="20"/>
      <c r="B367" s="20"/>
      <c r="C367" s="20"/>
      <c r="D367" s="20"/>
      <c r="E367" s="20"/>
      <c r="F367" s="20"/>
    </row>
    <row r="368" spans="1:6" ht="15.75" customHeight="1" x14ac:dyDescent="0.15">
      <c r="A368" s="20"/>
      <c r="B368" s="20"/>
      <c r="C368" s="20"/>
      <c r="D368" s="20"/>
      <c r="E368" s="20"/>
      <c r="F368" s="20"/>
    </row>
    <row r="369" spans="1:6" ht="15.75" customHeight="1" x14ac:dyDescent="0.15">
      <c r="A369" s="20"/>
      <c r="B369" s="20"/>
      <c r="C369" s="20"/>
      <c r="D369" s="20"/>
      <c r="E369" s="20"/>
      <c r="F369" s="20"/>
    </row>
    <row r="370" spans="1:6" ht="15.75" customHeight="1" x14ac:dyDescent="0.15">
      <c r="A370" s="20"/>
      <c r="B370" s="20"/>
      <c r="C370" s="20"/>
      <c r="D370" s="20"/>
      <c r="E370" s="20"/>
      <c r="F370" s="20"/>
    </row>
    <row r="371" spans="1:6" ht="15.75" customHeight="1" x14ac:dyDescent="0.15">
      <c r="A371" s="20"/>
      <c r="B371" s="20"/>
      <c r="C371" s="20"/>
      <c r="D371" s="20"/>
      <c r="E371" s="20"/>
      <c r="F371" s="20"/>
    </row>
    <row r="372" spans="1:6" ht="15.75" customHeight="1" x14ac:dyDescent="0.15">
      <c r="A372" s="20"/>
      <c r="B372" s="20"/>
      <c r="C372" s="20"/>
      <c r="D372" s="20"/>
      <c r="E372" s="20"/>
      <c r="F372" s="20"/>
    </row>
    <row r="373" spans="1:6" ht="15.75" customHeight="1" x14ac:dyDescent="0.15">
      <c r="A373" s="20"/>
      <c r="B373" s="20"/>
      <c r="C373" s="20"/>
      <c r="D373" s="20"/>
      <c r="E373" s="20"/>
      <c r="F373" s="20"/>
    </row>
    <row r="374" spans="1:6" ht="15.75" customHeight="1" x14ac:dyDescent="0.15">
      <c r="A374" s="20"/>
      <c r="B374" s="20"/>
      <c r="C374" s="20"/>
      <c r="D374" s="20"/>
      <c r="E374" s="20"/>
      <c r="F374" s="20"/>
    </row>
    <row r="375" spans="1:6" ht="15.75" customHeight="1" x14ac:dyDescent="0.15">
      <c r="A375" s="20"/>
      <c r="B375" s="20"/>
      <c r="C375" s="20"/>
      <c r="D375" s="20"/>
      <c r="E375" s="20"/>
      <c r="F375" s="20"/>
    </row>
    <row r="376" spans="1:6" ht="15.75" customHeight="1" x14ac:dyDescent="0.15">
      <c r="A376" s="20"/>
      <c r="B376" s="20"/>
      <c r="C376" s="20"/>
      <c r="D376" s="20"/>
      <c r="E376" s="20"/>
      <c r="F376" s="20"/>
    </row>
    <row r="377" spans="1:6" ht="15.75" customHeight="1" x14ac:dyDescent="0.15">
      <c r="A377" s="20"/>
      <c r="B377" s="20"/>
      <c r="C377" s="20"/>
      <c r="D377" s="20"/>
      <c r="E377" s="20"/>
      <c r="F377" s="20"/>
    </row>
    <row r="378" spans="1:6" ht="15.75" customHeight="1" x14ac:dyDescent="0.15">
      <c r="A378" s="20"/>
      <c r="B378" s="20"/>
      <c r="C378" s="20"/>
      <c r="D378" s="20"/>
      <c r="E378" s="20"/>
      <c r="F378" s="20"/>
    </row>
    <row r="379" spans="1:6" ht="15.75" customHeight="1" x14ac:dyDescent="0.15">
      <c r="A379" s="20"/>
      <c r="B379" s="20"/>
      <c r="C379" s="20"/>
      <c r="D379" s="20"/>
      <c r="E379" s="20"/>
      <c r="F379" s="20"/>
    </row>
    <row r="380" spans="1:6" ht="15.75" customHeight="1" x14ac:dyDescent="0.15">
      <c r="A380" s="20"/>
      <c r="B380" s="20"/>
      <c r="C380" s="20"/>
      <c r="D380" s="20"/>
      <c r="E380" s="20"/>
      <c r="F380" s="20"/>
    </row>
    <row r="381" spans="1:6" ht="15.75" customHeight="1" x14ac:dyDescent="0.15">
      <c r="A381" s="20"/>
      <c r="B381" s="20"/>
      <c r="C381" s="20"/>
      <c r="D381" s="20"/>
      <c r="E381" s="20"/>
      <c r="F381" s="20"/>
    </row>
    <row r="382" spans="1:6" ht="15.75" customHeight="1" x14ac:dyDescent="0.15">
      <c r="A382" s="20"/>
      <c r="B382" s="20"/>
      <c r="C382" s="20"/>
      <c r="D382" s="20"/>
      <c r="E382" s="20"/>
      <c r="F382" s="20"/>
    </row>
    <row r="383" spans="1:6" ht="15.75" customHeight="1" x14ac:dyDescent="0.15">
      <c r="A383" s="20"/>
      <c r="B383" s="20"/>
      <c r="C383" s="20"/>
      <c r="D383" s="20"/>
      <c r="E383" s="20"/>
      <c r="F383" s="20"/>
    </row>
    <row r="384" spans="1:6" ht="15.75" customHeight="1" x14ac:dyDescent="0.15">
      <c r="A384" s="20"/>
      <c r="B384" s="20"/>
      <c r="C384" s="20"/>
      <c r="D384" s="20"/>
      <c r="E384" s="20"/>
      <c r="F384" s="20"/>
    </row>
    <row r="385" spans="1:6" ht="15.75" customHeight="1" x14ac:dyDescent="0.15">
      <c r="A385" s="20"/>
      <c r="B385" s="20"/>
      <c r="C385" s="20"/>
      <c r="D385" s="20"/>
      <c r="E385" s="20"/>
      <c r="F385" s="20"/>
    </row>
    <row r="386" spans="1:6" ht="15.75" customHeight="1" x14ac:dyDescent="0.15">
      <c r="A386" s="20"/>
      <c r="B386" s="20"/>
      <c r="C386" s="20"/>
      <c r="D386" s="20"/>
      <c r="E386" s="20"/>
      <c r="F386" s="20"/>
    </row>
    <row r="387" spans="1:6" ht="15.75" customHeight="1" x14ac:dyDescent="0.15">
      <c r="A387" s="20"/>
      <c r="B387" s="20"/>
      <c r="C387" s="20"/>
      <c r="D387" s="20"/>
      <c r="E387" s="20"/>
      <c r="F387" s="20"/>
    </row>
    <row r="388" spans="1:6" ht="15.75" customHeight="1" x14ac:dyDescent="0.15">
      <c r="A388" s="20"/>
      <c r="B388" s="20"/>
      <c r="C388" s="20"/>
      <c r="D388" s="20"/>
      <c r="E388" s="20"/>
      <c r="F388" s="20"/>
    </row>
    <row r="389" spans="1:6" ht="15.75" customHeight="1" x14ac:dyDescent="0.15">
      <c r="A389" s="20"/>
      <c r="B389" s="20"/>
      <c r="C389" s="20"/>
      <c r="D389" s="20"/>
      <c r="E389" s="20"/>
      <c r="F389" s="20"/>
    </row>
    <row r="390" spans="1:6" ht="15.75" customHeight="1" x14ac:dyDescent="0.15">
      <c r="A390" s="20"/>
      <c r="B390" s="20"/>
      <c r="C390" s="20"/>
      <c r="D390" s="20"/>
      <c r="E390" s="20"/>
      <c r="F390" s="20"/>
    </row>
    <row r="391" spans="1:6" ht="15.75" customHeight="1" x14ac:dyDescent="0.15">
      <c r="A391" s="20"/>
      <c r="B391" s="20"/>
      <c r="C391" s="20"/>
      <c r="D391" s="20"/>
      <c r="E391" s="20"/>
      <c r="F391" s="20"/>
    </row>
    <row r="392" spans="1:6" ht="15.75" customHeight="1" x14ac:dyDescent="0.15">
      <c r="A392" s="20"/>
      <c r="B392" s="20"/>
      <c r="C392" s="20"/>
      <c r="D392" s="20"/>
      <c r="E392" s="20"/>
      <c r="F392" s="20"/>
    </row>
    <row r="393" spans="1:6" ht="15.75" customHeight="1" x14ac:dyDescent="0.15">
      <c r="A393" s="20"/>
      <c r="B393" s="20"/>
      <c r="C393" s="20"/>
      <c r="D393" s="20"/>
      <c r="E393" s="20"/>
      <c r="F393" s="20"/>
    </row>
    <row r="394" spans="1:6" ht="15.75" customHeight="1" x14ac:dyDescent="0.15">
      <c r="A394" s="20"/>
      <c r="B394" s="20"/>
      <c r="C394" s="20"/>
      <c r="D394" s="20"/>
      <c r="E394" s="20"/>
      <c r="F394" s="20"/>
    </row>
    <row r="395" spans="1:6" ht="15.75" customHeight="1" x14ac:dyDescent="0.15">
      <c r="A395" s="20"/>
      <c r="B395" s="20"/>
      <c r="C395" s="20"/>
      <c r="D395" s="20"/>
      <c r="E395" s="20"/>
      <c r="F395" s="20"/>
    </row>
    <row r="396" spans="1:6" ht="15.75" customHeight="1" x14ac:dyDescent="0.15">
      <c r="A396" s="20"/>
      <c r="B396" s="20"/>
      <c r="C396" s="20"/>
      <c r="D396" s="20"/>
      <c r="E396" s="20"/>
      <c r="F396" s="20"/>
    </row>
    <row r="397" spans="1:6" ht="15.75" customHeight="1" x14ac:dyDescent="0.15">
      <c r="A397" s="20"/>
      <c r="B397" s="20"/>
      <c r="C397" s="20"/>
      <c r="D397" s="20"/>
      <c r="E397" s="20"/>
      <c r="F397" s="20"/>
    </row>
    <row r="398" spans="1:6" ht="15.75" customHeight="1" x14ac:dyDescent="0.15">
      <c r="A398" s="20"/>
      <c r="B398" s="20"/>
      <c r="C398" s="20"/>
      <c r="D398" s="20"/>
      <c r="E398" s="20"/>
      <c r="F398" s="20"/>
    </row>
    <row r="399" spans="1:6" ht="15.75" customHeight="1" x14ac:dyDescent="0.15">
      <c r="A399" s="20"/>
      <c r="B399" s="20"/>
      <c r="C399" s="20"/>
      <c r="D399" s="20"/>
      <c r="E399" s="20"/>
      <c r="F399" s="20"/>
    </row>
    <row r="400" spans="1:6" ht="15.75" customHeight="1" x14ac:dyDescent="0.15">
      <c r="A400" s="20"/>
      <c r="B400" s="20"/>
      <c r="C400" s="20"/>
      <c r="D400" s="20"/>
      <c r="E400" s="20"/>
      <c r="F400" s="20"/>
    </row>
    <row r="401" spans="1:6" ht="15.75" customHeight="1" x14ac:dyDescent="0.15">
      <c r="A401" s="20"/>
      <c r="B401" s="20"/>
      <c r="C401" s="20"/>
      <c r="D401" s="20"/>
      <c r="E401" s="20"/>
      <c r="F401" s="20"/>
    </row>
    <row r="402" spans="1:6" ht="15.75" customHeight="1" x14ac:dyDescent="0.15">
      <c r="A402" s="20"/>
      <c r="B402" s="20"/>
      <c r="C402" s="20"/>
      <c r="D402" s="20"/>
      <c r="E402" s="20"/>
      <c r="F402" s="20"/>
    </row>
    <row r="403" spans="1:6" ht="15.75" customHeight="1" x14ac:dyDescent="0.15">
      <c r="A403" s="20"/>
      <c r="B403" s="20"/>
      <c r="C403" s="20"/>
      <c r="D403" s="20"/>
      <c r="E403" s="20"/>
      <c r="F403" s="20"/>
    </row>
    <row r="404" spans="1:6" ht="15.75" customHeight="1" x14ac:dyDescent="0.15">
      <c r="A404" s="20"/>
      <c r="B404" s="20"/>
      <c r="C404" s="20"/>
      <c r="D404" s="20"/>
      <c r="E404" s="20"/>
      <c r="F404" s="20"/>
    </row>
    <row r="405" spans="1:6" ht="15.75" customHeight="1" x14ac:dyDescent="0.15">
      <c r="A405" s="20"/>
      <c r="B405" s="20"/>
      <c r="C405" s="20"/>
      <c r="D405" s="20"/>
      <c r="E405" s="20"/>
      <c r="F405" s="20"/>
    </row>
    <row r="406" spans="1:6" ht="15.75" customHeight="1" x14ac:dyDescent="0.15">
      <c r="A406" s="20"/>
      <c r="B406" s="20"/>
      <c r="C406" s="20"/>
      <c r="D406" s="20"/>
      <c r="E406" s="20"/>
      <c r="F406" s="20"/>
    </row>
    <row r="407" spans="1:6" ht="15.75" customHeight="1" x14ac:dyDescent="0.15">
      <c r="A407" s="20"/>
      <c r="B407" s="20"/>
      <c r="C407" s="20"/>
      <c r="D407" s="20"/>
      <c r="E407" s="20"/>
      <c r="F407" s="20"/>
    </row>
    <row r="408" spans="1:6" ht="15.75" customHeight="1" x14ac:dyDescent="0.15">
      <c r="A408" s="20"/>
      <c r="B408" s="20"/>
      <c r="C408" s="20"/>
      <c r="D408" s="20"/>
      <c r="E408" s="20"/>
      <c r="F408" s="20"/>
    </row>
    <row r="409" spans="1:6" ht="15.75" customHeight="1" x14ac:dyDescent="0.15">
      <c r="A409" s="20"/>
      <c r="B409" s="20"/>
      <c r="C409" s="20"/>
      <c r="D409" s="20"/>
      <c r="E409" s="20"/>
      <c r="F409" s="20"/>
    </row>
    <row r="410" spans="1:6" ht="15.75" customHeight="1" x14ac:dyDescent="0.15">
      <c r="A410" s="20"/>
      <c r="B410" s="20"/>
      <c r="C410" s="20"/>
      <c r="D410" s="20"/>
      <c r="E410" s="20"/>
      <c r="F410" s="20"/>
    </row>
    <row r="411" spans="1:6" ht="15.75" customHeight="1" x14ac:dyDescent="0.15">
      <c r="A411" s="20"/>
      <c r="B411" s="20"/>
      <c r="C411" s="20"/>
      <c r="D411" s="20"/>
      <c r="E411" s="20"/>
      <c r="F411" s="20"/>
    </row>
    <row r="412" spans="1:6" ht="15.75" customHeight="1" x14ac:dyDescent="0.15">
      <c r="A412" s="20"/>
      <c r="B412" s="20"/>
      <c r="C412" s="20"/>
      <c r="D412" s="20"/>
      <c r="E412" s="20"/>
      <c r="F412" s="20"/>
    </row>
    <row r="413" spans="1:6" ht="15.75" customHeight="1" x14ac:dyDescent="0.15">
      <c r="A413" s="20"/>
      <c r="B413" s="20"/>
      <c r="C413" s="20"/>
      <c r="D413" s="20"/>
      <c r="E413" s="20"/>
      <c r="F413" s="20"/>
    </row>
    <row r="414" spans="1:6" ht="15.75" customHeight="1" x14ac:dyDescent="0.15">
      <c r="A414" s="20"/>
      <c r="B414" s="20"/>
      <c r="C414" s="20"/>
      <c r="D414" s="20"/>
      <c r="E414" s="20"/>
      <c r="F414" s="20"/>
    </row>
    <row r="415" spans="1:6" ht="15.75" customHeight="1" x14ac:dyDescent="0.15">
      <c r="A415" s="20"/>
      <c r="B415" s="20"/>
      <c r="C415" s="20"/>
      <c r="D415" s="20"/>
      <c r="E415" s="20"/>
      <c r="F415" s="20"/>
    </row>
    <row r="416" spans="1:6" ht="15.75" customHeight="1" x14ac:dyDescent="0.15">
      <c r="A416" s="20"/>
      <c r="B416" s="20"/>
      <c r="C416" s="20"/>
      <c r="D416" s="20"/>
      <c r="E416" s="20"/>
      <c r="F416" s="20"/>
    </row>
    <row r="417" spans="1:6" ht="15.75" customHeight="1" x14ac:dyDescent="0.15">
      <c r="A417" s="20"/>
      <c r="B417" s="20"/>
      <c r="C417" s="20"/>
      <c r="D417" s="20"/>
      <c r="E417" s="20"/>
      <c r="F417" s="20"/>
    </row>
    <row r="418" spans="1:6" ht="15.75" customHeight="1" x14ac:dyDescent="0.15">
      <c r="A418" s="20"/>
      <c r="B418" s="20"/>
      <c r="C418" s="20"/>
      <c r="D418" s="20"/>
      <c r="E418" s="20"/>
      <c r="F418" s="20"/>
    </row>
    <row r="419" spans="1:6" ht="15.75" customHeight="1" x14ac:dyDescent="0.15">
      <c r="A419" s="20"/>
      <c r="B419" s="20"/>
      <c r="C419" s="20"/>
      <c r="D419" s="20"/>
      <c r="E419" s="20"/>
      <c r="F419" s="20"/>
    </row>
    <row r="420" spans="1:6" ht="15.75" customHeight="1" x14ac:dyDescent="0.15">
      <c r="A420" s="20"/>
      <c r="B420" s="20"/>
      <c r="C420" s="20"/>
      <c r="D420" s="20"/>
      <c r="E420" s="20"/>
      <c r="F420" s="20"/>
    </row>
    <row r="421" spans="1:6" ht="15.75" customHeight="1" x14ac:dyDescent="0.15">
      <c r="A421" s="20"/>
      <c r="B421" s="20"/>
      <c r="C421" s="20"/>
      <c r="D421" s="20"/>
      <c r="E421" s="20"/>
      <c r="F421" s="20"/>
    </row>
    <row r="422" spans="1:6" ht="15.75" customHeight="1" x14ac:dyDescent="0.15">
      <c r="A422" s="20"/>
      <c r="B422" s="20"/>
      <c r="C422" s="20"/>
      <c r="D422" s="20"/>
      <c r="E422" s="20"/>
      <c r="F422" s="20"/>
    </row>
    <row r="423" spans="1:6" ht="15.75" customHeight="1" x14ac:dyDescent="0.15">
      <c r="A423" s="20"/>
      <c r="B423" s="20"/>
      <c r="C423" s="20"/>
      <c r="D423" s="20"/>
      <c r="E423" s="20"/>
      <c r="F423" s="20"/>
    </row>
    <row r="424" spans="1:6" ht="15.75" customHeight="1" x14ac:dyDescent="0.15">
      <c r="A424" s="20"/>
      <c r="B424" s="20"/>
      <c r="C424" s="20"/>
      <c r="D424" s="20"/>
      <c r="E424" s="20"/>
      <c r="F424" s="20"/>
    </row>
    <row r="425" spans="1:6" ht="15.75" customHeight="1" x14ac:dyDescent="0.15">
      <c r="A425" s="20"/>
      <c r="B425" s="20"/>
      <c r="C425" s="20"/>
      <c r="D425" s="20"/>
      <c r="E425" s="20"/>
      <c r="F425" s="20"/>
    </row>
    <row r="426" spans="1:6" ht="15.75" customHeight="1" x14ac:dyDescent="0.15">
      <c r="A426" s="20"/>
      <c r="B426" s="20"/>
      <c r="C426" s="20"/>
      <c r="D426" s="20"/>
      <c r="E426" s="20"/>
      <c r="F426" s="20"/>
    </row>
    <row r="427" spans="1:6" ht="15.75" customHeight="1" x14ac:dyDescent="0.15">
      <c r="A427" s="20"/>
      <c r="B427" s="20"/>
      <c r="C427" s="20"/>
      <c r="D427" s="20"/>
      <c r="E427" s="20"/>
      <c r="F427" s="20"/>
    </row>
    <row r="428" spans="1:6" ht="15.75" customHeight="1" x14ac:dyDescent="0.15">
      <c r="A428" s="20"/>
      <c r="B428" s="20"/>
      <c r="C428" s="20"/>
      <c r="D428" s="20"/>
      <c r="E428" s="20"/>
      <c r="F428" s="20"/>
    </row>
    <row r="429" spans="1:6" ht="15.75" customHeight="1" x14ac:dyDescent="0.15">
      <c r="A429" s="20"/>
      <c r="B429" s="20"/>
      <c r="C429" s="20"/>
      <c r="D429" s="20"/>
      <c r="E429" s="20"/>
      <c r="F429" s="20"/>
    </row>
    <row r="430" spans="1:6" ht="15.75" customHeight="1" x14ac:dyDescent="0.15">
      <c r="A430" s="20"/>
      <c r="B430" s="20"/>
      <c r="C430" s="20"/>
      <c r="D430" s="20"/>
      <c r="E430" s="20"/>
      <c r="F430" s="20"/>
    </row>
    <row r="431" spans="1:6" ht="15.75" customHeight="1" x14ac:dyDescent="0.15">
      <c r="A431" s="20"/>
      <c r="B431" s="20"/>
      <c r="C431" s="20"/>
      <c r="D431" s="20"/>
      <c r="E431" s="20"/>
      <c r="F431" s="20"/>
    </row>
    <row r="432" spans="1:6" ht="15.75" customHeight="1" x14ac:dyDescent="0.15">
      <c r="A432" s="20"/>
      <c r="B432" s="20"/>
      <c r="C432" s="20"/>
      <c r="D432" s="20"/>
      <c r="E432" s="20"/>
      <c r="F432" s="20"/>
    </row>
    <row r="433" spans="1:6" ht="15.75" customHeight="1" x14ac:dyDescent="0.15">
      <c r="A433" s="20"/>
      <c r="B433" s="20"/>
      <c r="C433" s="20"/>
      <c r="D433" s="20"/>
      <c r="E433" s="20"/>
      <c r="F433" s="20"/>
    </row>
    <row r="434" spans="1:6" ht="15.75" customHeight="1" x14ac:dyDescent="0.15">
      <c r="A434" s="20"/>
      <c r="B434" s="20"/>
      <c r="C434" s="20"/>
      <c r="D434" s="20"/>
      <c r="E434" s="20"/>
      <c r="F434" s="20"/>
    </row>
    <row r="435" spans="1:6" ht="15.75" customHeight="1" x14ac:dyDescent="0.15">
      <c r="A435" s="20"/>
      <c r="B435" s="20"/>
      <c r="C435" s="20"/>
      <c r="D435" s="20"/>
      <c r="E435" s="20"/>
      <c r="F435" s="20"/>
    </row>
    <row r="436" spans="1:6" ht="15.75" customHeight="1" x14ac:dyDescent="0.15">
      <c r="A436" s="20"/>
      <c r="B436" s="20"/>
      <c r="C436" s="20"/>
      <c r="D436" s="20"/>
      <c r="E436" s="20"/>
      <c r="F436" s="20"/>
    </row>
    <row r="437" spans="1:6" ht="15.75" customHeight="1" x14ac:dyDescent="0.15">
      <c r="A437" s="20"/>
      <c r="B437" s="20"/>
      <c r="C437" s="20"/>
      <c r="D437" s="20"/>
      <c r="E437" s="20"/>
      <c r="F437" s="20"/>
    </row>
    <row r="438" spans="1:6" ht="15.75" customHeight="1" x14ac:dyDescent="0.15">
      <c r="A438" s="20"/>
      <c r="B438" s="20"/>
      <c r="C438" s="20"/>
      <c r="D438" s="20"/>
      <c r="E438" s="20"/>
      <c r="F438" s="20"/>
    </row>
    <row r="439" spans="1:6" ht="15.75" customHeight="1" x14ac:dyDescent="0.15">
      <c r="A439" s="20"/>
      <c r="B439" s="20"/>
      <c r="C439" s="20"/>
      <c r="D439" s="20"/>
      <c r="E439" s="20"/>
      <c r="F439" s="20"/>
    </row>
    <row r="440" spans="1:6" ht="15.75" customHeight="1" x14ac:dyDescent="0.15">
      <c r="A440" s="20"/>
      <c r="B440" s="20"/>
      <c r="C440" s="20"/>
      <c r="D440" s="20"/>
      <c r="E440" s="20"/>
      <c r="F440" s="20"/>
    </row>
    <row r="441" spans="1:6" ht="15.75" customHeight="1" x14ac:dyDescent="0.15">
      <c r="A441" s="20"/>
      <c r="B441" s="20"/>
      <c r="C441" s="20"/>
      <c r="D441" s="20"/>
      <c r="E441" s="20"/>
      <c r="F441" s="20"/>
    </row>
    <row r="442" spans="1:6" ht="15.75" customHeight="1" x14ac:dyDescent="0.15">
      <c r="A442" s="20"/>
      <c r="B442" s="20"/>
      <c r="C442" s="20"/>
      <c r="D442" s="20"/>
      <c r="E442" s="20"/>
      <c r="F442" s="20"/>
    </row>
    <row r="443" spans="1:6" ht="15.75" customHeight="1" x14ac:dyDescent="0.15">
      <c r="A443" s="20"/>
      <c r="B443" s="20"/>
      <c r="C443" s="20"/>
      <c r="D443" s="20"/>
      <c r="E443" s="20"/>
      <c r="F443" s="20"/>
    </row>
    <row r="444" spans="1:6" ht="15.75" customHeight="1" x14ac:dyDescent="0.15">
      <c r="A444" s="20"/>
      <c r="B444" s="20"/>
      <c r="C444" s="20"/>
      <c r="D444" s="20"/>
      <c r="E444" s="20"/>
      <c r="F444" s="20"/>
    </row>
    <row r="445" spans="1:6" ht="15.75" customHeight="1" x14ac:dyDescent="0.15">
      <c r="A445" s="20"/>
      <c r="B445" s="20"/>
      <c r="C445" s="20"/>
      <c r="D445" s="20"/>
      <c r="E445" s="20"/>
      <c r="F445" s="20"/>
    </row>
    <row r="446" spans="1:6" ht="15.75" customHeight="1" x14ac:dyDescent="0.15">
      <c r="A446" s="20"/>
      <c r="B446" s="20"/>
      <c r="C446" s="20"/>
      <c r="D446" s="20"/>
      <c r="E446" s="20"/>
      <c r="F446" s="20"/>
    </row>
    <row r="447" spans="1:6" ht="15.75" customHeight="1" x14ac:dyDescent="0.15">
      <c r="A447" s="20"/>
      <c r="B447" s="20"/>
      <c r="C447" s="20"/>
      <c r="D447" s="20"/>
      <c r="E447" s="20"/>
      <c r="F447" s="20"/>
    </row>
    <row r="448" spans="1:6" ht="15.75" customHeight="1" x14ac:dyDescent="0.15">
      <c r="A448" s="20"/>
      <c r="B448" s="20"/>
      <c r="C448" s="20"/>
      <c r="D448" s="20"/>
      <c r="E448" s="20"/>
      <c r="F448" s="20"/>
    </row>
    <row r="449" spans="1:6" ht="15.75" customHeight="1" x14ac:dyDescent="0.15">
      <c r="A449" s="20"/>
      <c r="B449" s="20"/>
      <c r="C449" s="20"/>
      <c r="D449" s="20"/>
      <c r="E449" s="20"/>
      <c r="F449" s="20"/>
    </row>
    <row r="450" spans="1:6" ht="15.75" customHeight="1" x14ac:dyDescent="0.15">
      <c r="A450" s="20"/>
      <c r="B450" s="20"/>
      <c r="C450" s="20"/>
      <c r="D450" s="20"/>
      <c r="E450" s="20"/>
      <c r="F450" s="20"/>
    </row>
    <row r="451" spans="1:6" ht="15.75" customHeight="1" x14ac:dyDescent="0.15">
      <c r="A451" s="20"/>
      <c r="B451" s="20"/>
      <c r="C451" s="20"/>
      <c r="D451" s="20"/>
      <c r="E451" s="20"/>
      <c r="F451" s="20"/>
    </row>
    <row r="452" spans="1:6" ht="15.75" customHeight="1" x14ac:dyDescent="0.15">
      <c r="A452" s="20"/>
      <c r="B452" s="20"/>
      <c r="C452" s="20"/>
      <c r="D452" s="20"/>
      <c r="E452" s="20"/>
      <c r="F452" s="20"/>
    </row>
    <row r="453" spans="1:6" ht="15.75" customHeight="1" x14ac:dyDescent="0.15">
      <c r="A453" s="20"/>
      <c r="B453" s="20"/>
      <c r="C453" s="20"/>
      <c r="D453" s="20"/>
      <c r="E453" s="20"/>
      <c r="F453" s="20"/>
    </row>
    <row r="454" spans="1:6" ht="15.75" customHeight="1" x14ac:dyDescent="0.15">
      <c r="A454" s="20"/>
      <c r="B454" s="20"/>
      <c r="C454" s="20"/>
      <c r="D454" s="20"/>
      <c r="E454" s="20"/>
      <c r="F454" s="20"/>
    </row>
    <row r="455" spans="1:6" ht="15.75" customHeight="1" x14ac:dyDescent="0.15">
      <c r="A455" s="20"/>
      <c r="B455" s="20"/>
      <c r="C455" s="20"/>
      <c r="D455" s="20"/>
      <c r="E455" s="20"/>
      <c r="F455" s="20"/>
    </row>
    <row r="456" spans="1:6" ht="15.75" customHeight="1" x14ac:dyDescent="0.15">
      <c r="A456" s="20"/>
      <c r="B456" s="20"/>
      <c r="C456" s="20"/>
      <c r="D456" s="20"/>
      <c r="E456" s="20"/>
      <c r="F456" s="20"/>
    </row>
    <row r="457" spans="1:6" ht="15.75" customHeight="1" x14ac:dyDescent="0.15">
      <c r="A457" s="20"/>
      <c r="B457" s="20"/>
      <c r="C457" s="20"/>
      <c r="D457" s="20"/>
      <c r="E457" s="20"/>
      <c r="F457" s="20"/>
    </row>
    <row r="458" spans="1:6" ht="15.75" customHeight="1" x14ac:dyDescent="0.15">
      <c r="A458" s="20"/>
      <c r="B458" s="20"/>
      <c r="C458" s="20"/>
      <c r="D458" s="20"/>
      <c r="E458" s="20"/>
      <c r="F458" s="20"/>
    </row>
    <row r="459" spans="1:6" ht="15.75" customHeight="1" x14ac:dyDescent="0.15">
      <c r="A459" s="20"/>
      <c r="B459" s="20"/>
      <c r="C459" s="20"/>
      <c r="D459" s="20"/>
      <c r="E459" s="20"/>
      <c r="F459" s="20"/>
    </row>
    <row r="460" spans="1:6" ht="15.75" customHeight="1" x14ac:dyDescent="0.15">
      <c r="A460" s="20"/>
      <c r="B460" s="20"/>
      <c r="C460" s="20"/>
      <c r="D460" s="20"/>
      <c r="E460" s="20"/>
      <c r="F460" s="20"/>
    </row>
    <row r="461" spans="1:6" ht="15.75" customHeight="1" x14ac:dyDescent="0.15">
      <c r="A461" s="20"/>
      <c r="B461" s="20"/>
      <c r="C461" s="20"/>
      <c r="D461" s="20"/>
      <c r="E461" s="20"/>
      <c r="F461" s="20"/>
    </row>
    <row r="462" spans="1:6" ht="15.75" customHeight="1" x14ac:dyDescent="0.15">
      <c r="A462" s="20"/>
      <c r="B462" s="20"/>
      <c r="C462" s="20"/>
      <c r="D462" s="20"/>
      <c r="E462" s="20"/>
      <c r="F462" s="20"/>
    </row>
    <row r="463" spans="1:6" ht="15.75" customHeight="1" x14ac:dyDescent="0.15">
      <c r="A463" s="20"/>
      <c r="B463" s="20"/>
      <c r="C463" s="20"/>
      <c r="D463" s="20"/>
      <c r="E463" s="20"/>
      <c r="F463" s="20"/>
    </row>
    <row r="464" spans="1:6" ht="15.75" customHeight="1" x14ac:dyDescent="0.15">
      <c r="A464" s="20"/>
      <c r="B464" s="20"/>
      <c r="C464" s="20"/>
      <c r="D464" s="20"/>
      <c r="E464" s="20"/>
      <c r="F464" s="20"/>
    </row>
    <row r="465" spans="1:6" ht="15.75" customHeight="1" x14ac:dyDescent="0.15">
      <c r="A465" s="20"/>
      <c r="B465" s="20"/>
      <c r="C465" s="20"/>
      <c r="D465" s="20"/>
      <c r="E465" s="20"/>
      <c r="F465" s="20"/>
    </row>
    <row r="466" spans="1:6" ht="15.75" customHeight="1" x14ac:dyDescent="0.15">
      <c r="A466" s="20"/>
      <c r="B466" s="20"/>
      <c r="C466" s="20"/>
      <c r="D466" s="20"/>
      <c r="E466" s="20"/>
      <c r="F466" s="20"/>
    </row>
    <row r="467" spans="1:6" ht="15.75" customHeight="1" x14ac:dyDescent="0.15">
      <c r="A467" s="20"/>
      <c r="B467" s="20"/>
      <c r="C467" s="20"/>
      <c r="D467" s="20"/>
      <c r="E467" s="20"/>
      <c r="F467" s="20"/>
    </row>
    <row r="468" spans="1:6" ht="15.75" customHeight="1" x14ac:dyDescent="0.15">
      <c r="A468" s="20"/>
      <c r="B468" s="20"/>
      <c r="C468" s="20"/>
      <c r="D468" s="20"/>
      <c r="E468" s="20"/>
      <c r="F468" s="20"/>
    </row>
    <row r="469" spans="1:6" ht="15.75" customHeight="1" x14ac:dyDescent="0.15">
      <c r="A469" s="20"/>
      <c r="B469" s="20"/>
      <c r="C469" s="20"/>
      <c r="D469" s="20"/>
      <c r="E469" s="20"/>
      <c r="F469" s="20"/>
    </row>
    <row r="470" spans="1:6" ht="15.75" customHeight="1" x14ac:dyDescent="0.15">
      <c r="A470" s="20"/>
      <c r="B470" s="20"/>
      <c r="C470" s="20"/>
      <c r="D470" s="20"/>
      <c r="E470" s="20"/>
      <c r="F470" s="20"/>
    </row>
    <row r="471" spans="1:6" ht="15.75" customHeight="1" x14ac:dyDescent="0.15">
      <c r="A471" s="20"/>
      <c r="B471" s="20"/>
      <c r="C471" s="20"/>
      <c r="D471" s="20"/>
      <c r="E471" s="20"/>
      <c r="F471" s="20"/>
    </row>
    <row r="472" spans="1:6" ht="15.75" customHeight="1" x14ac:dyDescent="0.15">
      <c r="A472" s="20"/>
      <c r="B472" s="20"/>
      <c r="C472" s="20"/>
      <c r="D472" s="20"/>
      <c r="E472" s="20"/>
      <c r="F472" s="20"/>
    </row>
    <row r="473" spans="1:6" ht="15.75" customHeight="1" x14ac:dyDescent="0.15">
      <c r="A473" s="20"/>
      <c r="B473" s="20"/>
      <c r="C473" s="20"/>
      <c r="D473" s="20"/>
      <c r="E473" s="20"/>
      <c r="F473" s="20"/>
    </row>
    <row r="474" spans="1:6" ht="15.75" customHeight="1" x14ac:dyDescent="0.15">
      <c r="A474" s="20"/>
      <c r="B474" s="20"/>
      <c r="C474" s="20"/>
      <c r="D474" s="20"/>
      <c r="E474" s="20"/>
      <c r="F474" s="20"/>
    </row>
    <row r="475" spans="1:6" ht="15.75" customHeight="1" x14ac:dyDescent="0.15">
      <c r="A475" s="20"/>
      <c r="B475" s="20"/>
      <c r="C475" s="20"/>
      <c r="D475" s="20"/>
      <c r="E475" s="20"/>
      <c r="F475" s="20"/>
    </row>
    <row r="476" spans="1:6" ht="15.75" customHeight="1" x14ac:dyDescent="0.15">
      <c r="A476" s="20"/>
      <c r="B476" s="20"/>
      <c r="C476" s="20"/>
      <c r="D476" s="20"/>
      <c r="E476" s="20"/>
      <c r="F476" s="20"/>
    </row>
    <row r="477" spans="1:6" ht="15.75" customHeight="1" x14ac:dyDescent="0.15">
      <c r="A477" s="20"/>
      <c r="B477" s="20"/>
      <c r="C477" s="20"/>
      <c r="D477" s="20"/>
      <c r="E477" s="20"/>
      <c r="F477" s="20"/>
    </row>
    <row r="478" spans="1:6" ht="15.75" customHeight="1" x14ac:dyDescent="0.15">
      <c r="A478" s="20"/>
      <c r="B478" s="20"/>
      <c r="C478" s="20"/>
      <c r="D478" s="20"/>
      <c r="E478" s="20"/>
      <c r="F478" s="20"/>
    </row>
    <row r="479" spans="1:6" ht="15.75" customHeight="1" x14ac:dyDescent="0.15">
      <c r="A479" s="20"/>
      <c r="B479" s="20"/>
      <c r="C479" s="20"/>
      <c r="D479" s="20"/>
      <c r="E479" s="20"/>
      <c r="F479" s="20"/>
    </row>
    <row r="480" spans="1:6" ht="15.75" customHeight="1" x14ac:dyDescent="0.15">
      <c r="A480" s="20"/>
      <c r="B480" s="20"/>
      <c r="C480" s="20"/>
      <c r="D480" s="20"/>
      <c r="E480" s="20"/>
      <c r="F480" s="20"/>
    </row>
    <row r="481" spans="1:6" ht="15.75" customHeight="1" x14ac:dyDescent="0.15">
      <c r="A481" s="20"/>
      <c r="B481" s="20"/>
      <c r="C481" s="20"/>
      <c r="D481" s="20"/>
      <c r="E481" s="20"/>
      <c r="F481" s="20"/>
    </row>
    <row r="482" spans="1:6" ht="15.75" customHeight="1" x14ac:dyDescent="0.15">
      <c r="A482" s="20"/>
      <c r="B482" s="20"/>
      <c r="C482" s="20"/>
      <c r="D482" s="20"/>
      <c r="E482" s="20"/>
      <c r="F482" s="20"/>
    </row>
    <row r="483" spans="1:6" ht="15.75" customHeight="1" x14ac:dyDescent="0.15">
      <c r="A483" s="20"/>
      <c r="B483" s="20"/>
      <c r="C483" s="20"/>
      <c r="D483" s="20"/>
      <c r="E483" s="20"/>
      <c r="F483" s="20"/>
    </row>
    <row r="484" spans="1:6" ht="15.75" customHeight="1" x14ac:dyDescent="0.15">
      <c r="A484" s="20"/>
      <c r="B484" s="20"/>
      <c r="C484" s="20"/>
      <c r="D484" s="20"/>
      <c r="E484" s="20"/>
      <c r="F484" s="20"/>
    </row>
    <row r="485" spans="1:6" ht="15.75" customHeight="1" x14ac:dyDescent="0.15">
      <c r="A485" s="20"/>
      <c r="B485" s="20"/>
      <c r="C485" s="20"/>
      <c r="D485" s="20"/>
      <c r="E485" s="20"/>
      <c r="F485" s="20"/>
    </row>
    <row r="486" spans="1:6" ht="15.75" customHeight="1" x14ac:dyDescent="0.15">
      <c r="A486" s="20"/>
      <c r="B486" s="20"/>
      <c r="C486" s="20"/>
      <c r="D486" s="20"/>
      <c r="E486" s="20"/>
      <c r="F486" s="20"/>
    </row>
    <row r="487" spans="1:6" ht="15.75" customHeight="1" x14ac:dyDescent="0.15">
      <c r="A487" s="20"/>
      <c r="B487" s="20"/>
      <c r="C487" s="20"/>
      <c r="D487" s="20"/>
      <c r="E487" s="20"/>
      <c r="F487" s="20"/>
    </row>
    <row r="488" spans="1:6" ht="15.75" customHeight="1" x14ac:dyDescent="0.15">
      <c r="A488" s="20"/>
      <c r="B488" s="20"/>
      <c r="C488" s="20"/>
      <c r="D488" s="20"/>
      <c r="E488" s="20"/>
      <c r="F488" s="20"/>
    </row>
    <row r="489" spans="1:6" ht="15.75" customHeight="1" x14ac:dyDescent="0.15">
      <c r="A489" s="20"/>
      <c r="B489" s="20"/>
      <c r="C489" s="20"/>
      <c r="D489" s="20"/>
      <c r="E489" s="20"/>
      <c r="F489" s="20"/>
    </row>
    <row r="490" spans="1:6" ht="15.75" customHeight="1" x14ac:dyDescent="0.15">
      <c r="A490" s="20"/>
      <c r="B490" s="20"/>
      <c r="C490" s="20"/>
      <c r="D490" s="20"/>
      <c r="E490" s="20"/>
      <c r="F490" s="20"/>
    </row>
    <row r="491" spans="1:6" ht="15.75" customHeight="1" x14ac:dyDescent="0.15">
      <c r="A491" s="20"/>
      <c r="B491" s="20"/>
      <c r="C491" s="20"/>
      <c r="D491" s="20"/>
      <c r="E491" s="20"/>
      <c r="F491" s="20"/>
    </row>
    <row r="492" spans="1:6" ht="15.75" customHeight="1" x14ac:dyDescent="0.15">
      <c r="A492" s="20"/>
      <c r="B492" s="20"/>
      <c r="C492" s="20"/>
      <c r="D492" s="20"/>
      <c r="E492" s="20"/>
      <c r="F492" s="20"/>
    </row>
    <row r="493" spans="1:6" ht="15.75" customHeight="1" x14ac:dyDescent="0.15">
      <c r="A493" s="20"/>
      <c r="B493" s="20"/>
      <c r="C493" s="20"/>
      <c r="D493" s="20"/>
      <c r="E493" s="20"/>
      <c r="F493" s="20"/>
    </row>
    <row r="494" spans="1:6" ht="15.75" customHeight="1" x14ac:dyDescent="0.15">
      <c r="A494" s="20"/>
      <c r="B494" s="20"/>
      <c r="C494" s="20"/>
      <c r="D494" s="20"/>
      <c r="E494" s="20"/>
      <c r="F494" s="20"/>
    </row>
    <row r="495" spans="1:6" ht="15.75" customHeight="1" x14ac:dyDescent="0.15">
      <c r="A495" s="20"/>
      <c r="B495" s="20"/>
      <c r="C495" s="20"/>
      <c r="D495" s="20"/>
      <c r="E495" s="20"/>
      <c r="F495" s="20"/>
    </row>
    <row r="496" spans="1:6" ht="15.75" customHeight="1" x14ac:dyDescent="0.15">
      <c r="A496" s="20"/>
      <c r="B496" s="20"/>
      <c r="C496" s="20"/>
      <c r="D496" s="20"/>
      <c r="E496" s="20"/>
      <c r="F496" s="20"/>
    </row>
    <row r="497" spans="1:6" ht="15.75" customHeight="1" x14ac:dyDescent="0.15">
      <c r="A497" s="20"/>
      <c r="B497" s="20"/>
      <c r="C497" s="20"/>
      <c r="D497" s="20"/>
      <c r="E497" s="20"/>
      <c r="F497" s="20"/>
    </row>
    <row r="498" spans="1:6" ht="15.75" customHeight="1" x14ac:dyDescent="0.15">
      <c r="A498" s="20"/>
      <c r="B498" s="20"/>
      <c r="C498" s="20"/>
      <c r="D498" s="20"/>
      <c r="E498" s="20"/>
      <c r="F498" s="20"/>
    </row>
    <row r="499" spans="1:6" ht="15.75" customHeight="1" x14ac:dyDescent="0.15">
      <c r="A499" s="20"/>
      <c r="B499" s="20"/>
      <c r="C499" s="20"/>
      <c r="D499" s="20"/>
      <c r="E499" s="20"/>
      <c r="F499" s="20"/>
    </row>
    <row r="500" spans="1:6" ht="15.75" customHeight="1" x14ac:dyDescent="0.15">
      <c r="A500" s="20"/>
      <c r="B500" s="20"/>
      <c r="C500" s="20"/>
      <c r="D500" s="20"/>
      <c r="E500" s="20"/>
      <c r="F500" s="20"/>
    </row>
    <row r="501" spans="1:6" ht="15.75" customHeight="1" x14ac:dyDescent="0.15">
      <c r="A501" s="20"/>
      <c r="B501" s="20"/>
      <c r="C501" s="20"/>
      <c r="D501" s="20"/>
      <c r="E501" s="20"/>
      <c r="F501" s="20"/>
    </row>
    <row r="502" spans="1:6" ht="15.75" customHeight="1" x14ac:dyDescent="0.15">
      <c r="A502" s="20"/>
      <c r="B502" s="20"/>
      <c r="C502" s="20"/>
      <c r="D502" s="20"/>
      <c r="E502" s="20"/>
      <c r="F502" s="20"/>
    </row>
    <row r="503" spans="1:6" ht="15.75" customHeight="1" x14ac:dyDescent="0.15">
      <c r="A503" s="20"/>
      <c r="B503" s="20"/>
      <c r="C503" s="20"/>
      <c r="D503" s="20"/>
      <c r="E503" s="20"/>
      <c r="F503" s="20"/>
    </row>
    <row r="504" spans="1:6" ht="15.75" customHeight="1" x14ac:dyDescent="0.15">
      <c r="A504" s="20"/>
      <c r="B504" s="20"/>
      <c r="C504" s="20"/>
      <c r="D504" s="20"/>
      <c r="E504" s="20"/>
      <c r="F504" s="20"/>
    </row>
    <row r="505" spans="1:6" ht="15.75" customHeight="1" x14ac:dyDescent="0.15">
      <c r="A505" s="20"/>
      <c r="B505" s="20"/>
      <c r="C505" s="20"/>
      <c r="D505" s="20"/>
      <c r="E505" s="20"/>
      <c r="F505" s="20"/>
    </row>
    <row r="506" spans="1:6" ht="15.75" customHeight="1" x14ac:dyDescent="0.15">
      <c r="A506" s="20"/>
      <c r="B506" s="20"/>
      <c r="C506" s="20"/>
      <c r="D506" s="20"/>
      <c r="E506" s="20"/>
      <c r="F506" s="20"/>
    </row>
    <row r="507" spans="1:6" ht="15.75" customHeight="1" x14ac:dyDescent="0.15">
      <c r="A507" s="20"/>
      <c r="B507" s="20"/>
      <c r="C507" s="20"/>
      <c r="D507" s="20"/>
      <c r="E507" s="20"/>
      <c r="F507" s="20"/>
    </row>
    <row r="508" spans="1:6" ht="15.75" customHeight="1" x14ac:dyDescent="0.15">
      <c r="A508" s="20"/>
      <c r="B508" s="20"/>
      <c r="C508" s="20"/>
      <c r="D508" s="20"/>
      <c r="E508" s="20"/>
      <c r="F508" s="20"/>
    </row>
    <row r="509" spans="1:6" ht="15.75" customHeight="1" x14ac:dyDescent="0.15">
      <c r="A509" s="20"/>
      <c r="B509" s="20"/>
      <c r="C509" s="20"/>
      <c r="D509" s="20"/>
      <c r="E509" s="20"/>
      <c r="F509" s="20"/>
    </row>
    <row r="510" spans="1:6" ht="15.75" customHeight="1" x14ac:dyDescent="0.15">
      <c r="A510" s="20"/>
      <c r="B510" s="20"/>
      <c r="C510" s="20"/>
      <c r="D510" s="20"/>
      <c r="E510" s="20"/>
      <c r="F510" s="20"/>
    </row>
    <row r="511" spans="1:6" ht="15.75" customHeight="1" x14ac:dyDescent="0.15">
      <c r="A511" s="20"/>
      <c r="B511" s="20"/>
      <c r="C511" s="20"/>
      <c r="D511" s="20"/>
      <c r="E511" s="20"/>
      <c r="F511" s="20"/>
    </row>
    <row r="512" spans="1:6" ht="15.75" customHeight="1" x14ac:dyDescent="0.15">
      <c r="A512" s="20"/>
      <c r="B512" s="20"/>
      <c r="C512" s="20"/>
      <c r="D512" s="20"/>
      <c r="E512" s="20"/>
      <c r="F512" s="20"/>
    </row>
    <row r="513" spans="1:6" ht="15.75" customHeight="1" x14ac:dyDescent="0.15">
      <c r="A513" s="20"/>
      <c r="B513" s="20"/>
      <c r="C513" s="20"/>
      <c r="D513" s="20"/>
      <c r="E513" s="20"/>
      <c r="F513" s="20"/>
    </row>
    <row r="514" spans="1:6" ht="15.75" customHeight="1" x14ac:dyDescent="0.15">
      <c r="A514" s="20"/>
      <c r="B514" s="20"/>
      <c r="C514" s="20"/>
      <c r="D514" s="20"/>
      <c r="E514" s="20"/>
      <c r="F514" s="20"/>
    </row>
    <row r="515" spans="1:6" ht="15.75" customHeight="1" x14ac:dyDescent="0.15">
      <c r="A515" s="20"/>
      <c r="B515" s="20"/>
      <c r="C515" s="20"/>
      <c r="D515" s="20"/>
      <c r="E515" s="20"/>
      <c r="F515" s="20"/>
    </row>
    <row r="516" spans="1:6" ht="15.75" customHeight="1" x14ac:dyDescent="0.15">
      <c r="A516" s="20"/>
      <c r="B516" s="20"/>
      <c r="C516" s="20"/>
      <c r="D516" s="20"/>
      <c r="E516" s="20"/>
      <c r="F516" s="20"/>
    </row>
    <row r="517" spans="1:6" ht="15.75" customHeight="1" x14ac:dyDescent="0.15">
      <c r="A517" s="20"/>
      <c r="B517" s="20"/>
      <c r="C517" s="20"/>
      <c r="D517" s="20"/>
      <c r="E517" s="20"/>
      <c r="F517" s="20"/>
    </row>
    <row r="518" spans="1:6" ht="15.75" customHeight="1" x14ac:dyDescent="0.15">
      <c r="A518" s="20"/>
      <c r="B518" s="20"/>
      <c r="C518" s="20"/>
      <c r="D518" s="20"/>
      <c r="E518" s="20"/>
      <c r="F518" s="20"/>
    </row>
    <row r="519" spans="1:6" ht="15.75" customHeight="1" x14ac:dyDescent="0.15">
      <c r="A519" s="20"/>
      <c r="B519" s="20"/>
      <c r="C519" s="20"/>
      <c r="D519" s="20"/>
      <c r="E519" s="20"/>
      <c r="F519" s="20"/>
    </row>
    <row r="520" spans="1:6" ht="15.75" customHeight="1" x14ac:dyDescent="0.15">
      <c r="A520" s="20"/>
      <c r="B520" s="20"/>
      <c r="C520" s="20"/>
      <c r="D520" s="20"/>
      <c r="E520" s="20"/>
      <c r="F520" s="20"/>
    </row>
    <row r="521" spans="1:6" ht="15.75" customHeight="1" x14ac:dyDescent="0.15">
      <c r="A521" s="20"/>
      <c r="B521" s="20"/>
      <c r="C521" s="20"/>
      <c r="D521" s="20"/>
      <c r="E521" s="20"/>
      <c r="F521" s="20"/>
    </row>
    <row r="522" spans="1:6" ht="15.75" customHeight="1" x14ac:dyDescent="0.15">
      <c r="A522" s="20"/>
      <c r="B522" s="20"/>
      <c r="C522" s="20"/>
      <c r="D522" s="20"/>
      <c r="E522" s="20"/>
      <c r="F522" s="20"/>
    </row>
    <row r="523" spans="1:6" ht="15.75" customHeight="1" x14ac:dyDescent="0.15">
      <c r="A523" s="20"/>
      <c r="B523" s="20"/>
      <c r="C523" s="20"/>
      <c r="D523" s="20"/>
      <c r="E523" s="20"/>
      <c r="F523" s="20"/>
    </row>
    <row r="524" spans="1:6" ht="15.75" customHeight="1" x14ac:dyDescent="0.15">
      <c r="A524" s="20"/>
      <c r="B524" s="20"/>
      <c r="C524" s="20"/>
      <c r="D524" s="20"/>
      <c r="E524" s="20"/>
      <c r="F524" s="20"/>
    </row>
    <row r="525" spans="1:6" ht="15.75" customHeight="1" x14ac:dyDescent="0.15">
      <c r="A525" s="20"/>
      <c r="B525" s="20"/>
      <c r="C525" s="20"/>
      <c r="D525" s="20"/>
      <c r="E525" s="20"/>
      <c r="F525" s="20"/>
    </row>
    <row r="526" spans="1:6" ht="15.75" customHeight="1" x14ac:dyDescent="0.15">
      <c r="A526" s="20"/>
      <c r="B526" s="20"/>
      <c r="C526" s="20"/>
      <c r="D526" s="20"/>
      <c r="E526" s="20"/>
      <c r="F526" s="20"/>
    </row>
    <row r="527" spans="1:6" ht="15.75" customHeight="1" x14ac:dyDescent="0.15">
      <c r="A527" s="20"/>
      <c r="B527" s="20"/>
      <c r="C527" s="20"/>
      <c r="D527" s="20"/>
      <c r="E527" s="20"/>
      <c r="F527" s="20"/>
    </row>
    <row r="528" spans="1:6" ht="15.75" customHeight="1" x14ac:dyDescent="0.15">
      <c r="A528" s="20"/>
      <c r="B528" s="20"/>
      <c r="C528" s="20"/>
      <c r="D528" s="20"/>
      <c r="E528" s="20"/>
      <c r="F528" s="20"/>
    </row>
    <row r="529" spans="1:6" ht="15.75" customHeight="1" x14ac:dyDescent="0.15">
      <c r="A529" s="20"/>
      <c r="B529" s="20"/>
      <c r="C529" s="20"/>
      <c r="D529" s="20"/>
      <c r="E529" s="20"/>
      <c r="F529" s="20"/>
    </row>
    <row r="530" spans="1:6" ht="15.75" customHeight="1" x14ac:dyDescent="0.15">
      <c r="A530" s="20"/>
      <c r="B530" s="20"/>
      <c r="C530" s="20"/>
      <c r="D530" s="20"/>
      <c r="E530" s="20"/>
      <c r="F530" s="20"/>
    </row>
    <row r="531" spans="1:6" ht="15.75" customHeight="1" x14ac:dyDescent="0.15">
      <c r="A531" s="20"/>
      <c r="B531" s="20"/>
      <c r="C531" s="20"/>
      <c r="D531" s="20"/>
      <c r="E531" s="20"/>
      <c r="F531" s="20"/>
    </row>
    <row r="532" spans="1:6" ht="15.75" customHeight="1" x14ac:dyDescent="0.15">
      <c r="A532" s="20"/>
      <c r="B532" s="20"/>
      <c r="C532" s="20"/>
      <c r="D532" s="20"/>
      <c r="E532" s="20"/>
      <c r="F532" s="20"/>
    </row>
    <row r="533" spans="1:6" ht="15.75" customHeight="1" x14ac:dyDescent="0.15">
      <c r="A533" s="20"/>
      <c r="B533" s="20"/>
      <c r="C533" s="20"/>
      <c r="D533" s="20"/>
      <c r="E533" s="20"/>
      <c r="F533" s="20"/>
    </row>
    <row r="534" spans="1:6" ht="15.75" customHeight="1" x14ac:dyDescent="0.15">
      <c r="A534" s="20"/>
      <c r="B534" s="20"/>
      <c r="C534" s="20"/>
      <c r="D534" s="20"/>
      <c r="E534" s="20"/>
      <c r="F534" s="20"/>
    </row>
    <row r="535" spans="1:6" ht="15.75" customHeight="1" x14ac:dyDescent="0.15">
      <c r="A535" s="20"/>
      <c r="B535" s="20"/>
      <c r="C535" s="20"/>
      <c r="D535" s="20"/>
      <c r="E535" s="20"/>
      <c r="F535" s="20"/>
    </row>
    <row r="536" spans="1:6" ht="15.75" customHeight="1" x14ac:dyDescent="0.15">
      <c r="A536" s="20"/>
      <c r="B536" s="20"/>
      <c r="C536" s="20"/>
      <c r="D536" s="20"/>
      <c r="E536" s="20"/>
      <c r="F536" s="20"/>
    </row>
    <row r="537" spans="1:6" ht="15.75" customHeight="1" x14ac:dyDescent="0.15">
      <c r="A537" s="20"/>
      <c r="B537" s="20"/>
      <c r="C537" s="20"/>
      <c r="D537" s="20"/>
      <c r="E537" s="20"/>
      <c r="F537" s="20"/>
    </row>
    <row r="538" spans="1:6" ht="15.75" customHeight="1" x14ac:dyDescent="0.15">
      <c r="A538" s="20"/>
      <c r="B538" s="20"/>
      <c r="C538" s="20"/>
      <c r="D538" s="20"/>
      <c r="E538" s="20"/>
      <c r="F538" s="20"/>
    </row>
    <row r="539" spans="1:6" ht="15.75" customHeight="1" x14ac:dyDescent="0.15">
      <c r="A539" s="20"/>
      <c r="B539" s="20"/>
      <c r="C539" s="20"/>
      <c r="D539" s="20"/>
      <c r="E539" s="20"/>
      <c r="F539" s="20"/>
    </row>
    <row r="540" spans="1:6" ht="15.75" customHeight="1" x14ac:dyDescent="0.15">
      <c r="A540" s="20"/>
      <c r="B540" s="20"/>
      <c r="C540" s="20"/>
      <c r="D540" s="20"/>
      <c r="E540" s="20"/>
      <c r="F540" s="20"/>
    </row>
    <row r="541" spans="1:6" ht="15.75" customHeight="1" x14ac:dyDescent="0.15">
      <c r="A541" s="20"/>
      <c r="B541" s="20"/>
      <c r="C541" s="20"/>
      <c r="D541" s="20"/>
      <c r="E541" s="20"/>
      <c r="F541" s="20"/>
    </row>
    <row r="542" spans="1:6" ht="15.75" customHeight="1" x14ac:dyDescent="0.15">
      <c r="A542" s="20"/>
      <c r="B542" s="20"/>
      <c r="C542" s="20"/>
      <c r="D542" s="20"/>
      <c r="E542" s="20"/>
      <c r="F542" s="20"/>
    </row>
    <row r="543" spans="1:6" ht="15.75" customHeight="1" x14ac:dyDescent="0.15">
      <c r="A543" s="20"/>
      <c r="B543" s="20"/>
      <c r="C543" s="20"/>
      <c r="D543" s="20"/>
      <c r="E543" s="20"/>
      <c r="F543" s="20"/>
    </row>
    <row r="544" spans="1:6" ht="15.75" customHeight="1" x14ac:dyDescent="0.15">
      <c r="A544" s="20"/>
      <c r="B544" s="20"/>
      <c r="C544" s="20"/>
      <c r="D544" s="20"/>
      <c r="E544" s="20"/>
      <c r="F544" s="20"/>
    </row>
    <row r="545" spans="1:6" ht="15.75" customHeight="1" x14ac:dyDescent="0.15">
      <c r="A545" s="20"/>
      <c r="B545" s="20"/>
      <c r="C545" s="20"/>
      <c r="D545" s="20"/>
      <c r="E545" s="20"/>
      <c r="F545" s="20"/>
    </row>
    <row r="546" spans="1:6" ht="15.75" customHeight="1" x14ac:dyDescent="0.15">
      <c r="A546" s="20"/>
      <c r="B546" s="20"/>
      <c r="C546" s="20"/>
      <c r="D546" s="20"/>
      <c r="E546" s="20"/>
      <c r="F546" s="20"/>
    </row>
    <row r="547" spans="1:6" ht="15.75" customHeight="1" x14ac:dyDescent="0.15">
      <c r="A547" s="20"/>
      <c r="B547" s="20"/>
      <c r="C547" s="20"/>
      <c r="D547" s="20"/>
      <c r="E547" s="20"/>
      <c r="F547" s="20"/>
    </row>
    <row r="548" spans="1:6" ht="15.75" customHeight="1" x14ac:dyDescent="0.15">
      <c r="A548" s="20"/>
      <c r="B548" s="20"/>
      <c r="C548" s="20"/>
      <c r="D548" s="20"/>
      <c r="E548" s="20"/>
      <c r="F548" s="20"/>
    </row>
    <row r="549" spans="1:6" ht="15.75" customHeight="1" x14ac:dyDescent="0.15">
      <c r="A549" s="20"/>
      <c r="B549" s="20"/>
      <c r="C549" s="20"/>
      <c r="D549" s="20"/>
      <c r="E549" s="20"/>
      <c r="F549" s="20"/>
    </row>
    <row r="550" spans="1:6" ht="15.75" customHeight="1" x14ac:dyDescent="0.15">
      <c r="A550" s="20"/>
      <c r="B550" s="20"/>
      <c r="C550" s="20"/>
      <c r="D550" s="20"/>
      <c r="E550" s="20"/>
      <c r="F550" s="20"/>
    </row>
    <row r="551" spans="1:6" ht="15.75" customHeight="1" x14ac:dyDescent="0.15">
      <c r="A551" s="20"/>
      <c r="B551" s="20"/>
      <c r="C551" s="20"/>
      <c r="D551" s="20"/>
      <c r="E551" s="20"/>
      <c r="F551" s="20"/>
    </row>
    <row r="552" spans="1:6" ht="15.75" customHeight="1" x14ac:dyDescent="0.15">
      <c r="A552" s="20"/>
      <c r="B552" s="20"/>
      <c r="C552" s="20"/>
      <c r="D552" s="20"/>
      <c r="E552" s="20"/>
      <c r="F552" s="20"/>
    </row>
    <row r="553" spans="1:6" ht="15.75" customHeight="1" x14ac:dyDescent="0.15">
      <c r="A553" s="20"/>
      <c r="B553" s="20"/>
      <c r="C553" s="20"/>
      <c r="D553" s="20"/>
      <c r="E553" s="20"/>
      <c r="F553" s="20"/>
    </row>
    <row r="554" spans="1:6" ht="15.75" customHeight="1" x14ac:dyDescent="0.15">
      <c r="A554" s="20"/>
      <c r="B554" s="20"/>
      <c r="C554" s="20"/>
      <c r="D554" s="20"/>
      <c r="E554" s="20"/>
      <c r="F554" s="20"/>
    </row>
    <row r="555" spans="1:6" ht="15.75" customHeight="1" x14ac:dyDescent="0.15">
      <c r="A555" s="20"/>
      <c r="B555" s="20"/>
      <c r="C555" s="20"/>
      <c r="D555" s="20"/>
      <c r="E555" s="20"/>
      <c r="F555" s="20"/>
    </row>
    <row r="556" spans="1:6" ht="15.75" customHeight="1" x14ac:dyDescent="0.15">
      <c r="A556" s="20"/>
      <c r="B556" s="20"/>
      <c r="C556" s="20"/>
      <c r="D556" s="20"/>
      <c r="E556" s="20"/>
      <c r="F556" s="20"/>
    </row>
    <row r="557" spans="1:6" ht="15.75" customHeight="1" x14ac:dyDescent="0.15">
      <c r="A557" s="20"/>
      <c r="B557" s="20"/>
      <c r="C557" s="20"/>
      <c r="D557" s="20"/>
      <c r="E557" s="20"/>
      <c r="F557" s="20"/>
    </row>
    <row r="558" spans="1:6" ht="15.75" customHeight="1" x14ac:dyDescent="0.15">
      <c r="A558" s="20"/>
      <c r="B558" s="20"/>
      <c r="C558" s="20"/>
      <c r="D558" s="20"/>
      <c r="E558" s="20"/>
      <c r="F558" s="20"/>
    </row>
    <row r="559" spans="1:6" ht="15.75" customHeight="1" x14ac:dyDescent="0.15">
      <c r="A559" s="20"/>
      <c r="B559" s="20"/>
      <c r="C559" s="20"/>
      <c r="D559" s="20"/>
      <c r="E559" s="20"/>
      <c r="F559" s="20"/>
    </row>
    <row r="560" spans="1:6" ht="15.75" customHeight="1" x14ac:dyDescent="0.15">
      <c r="A560" s="20"/>
      <c r="B560" s="20"/>
      <c r="C560" s="20"/>
      <c r="D560" s="20"/>
      <c r="E560" s="20"/>
      <c r="F560" s="20"/>
    </row>
    <row r="561" spans="1:6" ht="15.75" customHeight="1" x14ac:dyDescent="0.15">
      <c r="A561" s="20"/>
      <c r="B561" s="20"/>
      <c r="C561" s="20"/>
      <c r="D561" s="20"/>
      <c r="E561" s="20"/>
      <c r="F561" s="20"/>
    </row>
    <row r="562" spans="1:6" ht="15.75" customHeight="1" x14ac:dyDescent="0.15">
      <c r="A562" s="20"/>
      <c r="B562" s="20"/>
      <c r="C562" s="20"/>
      <c r="D562" s="20"/>
      <c r="E562" s="20"/>
      <c r="F562" s="20"/>
    </row>
    <row r="563" spans="1:6" ht="15.75" customHeight="1" x14ac:dyDescent="0.15">
      <c r="A563" s="20"/>
      <c r="B563" s="20"/>
      <c r="C563" s="20"/>
      <c r="D563" s="20"/>
      <c r="E563" s="20"/>
      <c r="F563" s="20"/>
    </row>
    <row r="564" spans="1:6" ht="15.75" customHeight="1" x14ac:dyDescent="0.15">
      <c r="A564" s="20"/>
      <c r="B564" s="20"/>
      <c r="C564" s="20"/>
      <c r="D564" s="20"/>
      <c r="E564" s="20"/>
      <c r="F564" s="20"/>
    </row>
    <row r="565" spans="1:6" ht="15.75" customHeight="1" x14ac:dyDescent="0.15">
      <c r="A565" s="20"/>
      <c r="B565" s="20"/>
      <c r="C565" s="20"/>
      <c r="D565" s="20"/>
      <c r="E565" s="20"/>
      <c r="F565" s="20"/>
    </row>
    <row r="566" spans="1:6" ht="15.75" customHeight="1" x14ac:dyDescent="0.15">
      <c r="A566" s="20"/>
      <c r="B566" s="20"/>
      <c r="C566" s="20"/>
      <c r="D566" s="20"/>
      <c r="E566" s="20"/>
      <c r="F566" s="20"/>
    </row>
    <row r="567" spans="1:6" ht="15.75" customHeight="1" x14ac:dyDescent="0.15">
      <c r="A567" s="20"/>
      <c r="B567" s="20"/>
      <c r="C567" s="20"/>
      <c r="D567" s="20"/>
      <c r="E567" s="20"/>
      <c r="F567" s="20"/>
    </row>
    <row r="568" spans="1:6" ht="15.75" customHeight="1" x14ac:dyDescent="0.15">
      <c r="A568" s="20"/>
      <c r="B568" s="20"/>
      <c r="C568" s="20"/>
      <c r="D568" s="20"/>
      <c r="E568" s="20"/>
      <c r="F568" s="20"/>
    </row>
    <row r="569" spans="1:6" ht="15.75" customHeight="1" x14ac:dyDescent="0.15">
      <c r="A569" s="20"/>
      <c r="B569" s="20"/>
      <c r="C569" s="20"/>
      <c r="D569" s="20"/>
      <c r="E569" s="20"/>
      <c r="F569" s="20"/>
    </row>
    <row r="570" spans="1:6" ht="15.75" customHeight="1" x14ac:dyDescent="0.15">
      <c r="A570" s="20"/>
      <c r="B570" s="20"/>
      <c r="C570" s="20"/>
      <c r="D570" s="20"/>
      <c r="E570" s="20"/>
      <c r="F570" s="20"/>
    </row>
    <row r="571" spans="1:6" ht="15.75" customHeight="1" x14ac:dyDescent="0.15">
      <c r="A571" s="20"/>
      <c r="B571" s="20"/>
      <c r="C571" s="20"/>
      <c r="D571" s="20"/>
      <c r="E571" s="20"/>
      <c r="F571" s="20"/>
    </row>
    <row r="572" spans="1:6" ht="15.75" customHeight="1" x14ac:dyDescent="0.15">
      <c r="A572" s="20"/>
      <c r="B572" s="20"/>
      <c r="C572" s="20"/>
      <c r="D572" s="20"/>
      <c r="E572" s="20"/>
      <c r="F572" s="20"/>
    </row>
    <row r="573" spans="1:6" ht="15.75" customHeight="1" x14ac:dyDescent="0.15">
      <c r="A573" s="20"/>
      <c r="B573" s="20"/>
      <c r="C573" s="20"/>
      <c r="D573" s="20"/>
      <c r="E573" s="20"/>
      <c r="F573" s="20"/>
    </row>
    <row r="574" spans="1:6" ht="15.75" customHeight="1" x14ac:dyDescent="0.15">
      <c r="A574" s="20"/>
      <c r="B574" s="20"/>
      <c r="C574" s="20"/>
      <c r="D574" s="20"/>
      <c r="E574" s="20"/>
      <c r="F574" s="20"/>
    </row>
    <row r="575" spans="1:6" ht="15.75" customHeight="1" x14ac:dyDescent="0.15">
      <c r="A575" s="20"/>
      <c r="B575" s="20"/>
      <c r="C575" s="20"/>
      <c r="D575" s="20"/>
      <c r="E575" s="20"/>
      <c r="F575" s="20"/>
    </row>
    <row r="576" spans="1:6" ht="15.75" customHeight="1" x14ac:dyDescent="0.15">
      <c r="A576" s="20"/>
      <c r="B576" s="20"/>
      <c r="C576" s="20"/>
      <c r="D576" s="20"/>
      <c r="E576" s="20"/>
      <c r="F576" s="20"/>
    </row>
    <row r="577" spans="1:6" ht="15.75" customHeight="1" x14ac:dyDescent="0.15">
      <c r="A577" s="20"/>
      <c r="B577" s="20"/>
      <c r="C577" s="20"/>
      <c r="D577" s="20"/>
      <c r="E577" s="20"/>
      <c r="F577" s="20"/>
    </row>
    <row r="578" spans="1:6" ht="15.75" customHeight="1" x14ac:dyDescent="0.15">
      <c r="A578" s="20"/>
      <c r="B578" s="20"/>
      <c r="C578" s="20"/>
      <c r="D578" s="20"/>
      <c r="E578" s="20"/>
      <c r="F578" s="20"/>
    </row>
    <row r="579" spans="1:6" ht="15.75" customHeight="1" x14ac:dyDescent="0.15">
      <c r="A579" s="20"/>
      <c r="B579" s="20"/>
      <c r="C579" s="20"/>
      <c r="D579" s="20"/>
      <c r="E579" s="20"/>
      <c r="F579" s="20"/>
    </row>
    <row r="580" spans="1:6" ht="15.75" customHeight="1" x14ac:dyDescent="0.15">
      <c r="A580" s="20"/>
      <c r="B580" s="20"/>
      <c r="C580" s="20"/>
      <c r="D580" s="20"/>
      <c r="E580" s="20"/>
      <c r="F580" s="20"/>
    </row>
    <row r="581" spans="1:6" ht="15.75" customHeight="1" x14ac:dyDescent="0.15">
      <c r="A581" s="20"/>
      <c r="B581" s="20"/>
      <c r="C581" s="20"/>
      <c r="D581" s="20"/>
      <c r="E581" s="20"/>
      <c r="F581" s="20"/>
    </row>
    <row r="582" spans="1:6" ht="15.75" customHeight="1" x14ac:dyDescent="0.15">
      <c r="A582" s="20"/>
      <c r="B582" s="20"/>
      <c r="C582" s="20"/>
      <c r="D582" s="20"/>
      <c r="E582" s="20"/>
      <c r="F582" s="20"/>
    </row>
    <row r="583" spans="1:6" ht="15.75" customHeight="1" x14ac:dyDescent="0.15">
      <c r="A583" s="20"/>
      <c r="B583" s="20"/>
      <c r="C583" s="20"/>
      <c r="D583" s="20"/>
      <c r="E583" s="20"/>
      <c r="F583" s="20"/>
    </row>
    <row r="584" spans="1:6" ht="15.75" customHeight="1" x14ac:dyDescent="0.15">
      <c r="A584" s="20"/>
      <c r="B584" s="20"/>
      <c r="C584" s="20"/>
      <c r="D584" s="20"/>
      <c r="E584" s="20"/>
      <c r="F584" s="20"/>
    </row>
    <row r="585" spans="1:6" ht="15.75" customHeight="1" x14ac:dyDescent="0.15">
      <c r="A585" s="20"/>
      <c r="B585" s="20"/>
      <c r="C585" s="20"/>
      <c r="D585" s="20"/>
      <c r="E585" s="20"/>
      <c r="F585" s="20"/>
    </row>
    <row r="586" spans="1:6" ht="15.75" customHeight="1" x14ac:dyDescent="0.15">
      <c r="A586" s="20"/>
      <c r="B586" s="20"/>
      <c r="C586" s="20"/>
      <c r="D586" s="20"/>
      <c r="E586" s="20"/>
      <c r="F586" s="20"/>
    </row>
    <row r="587" spans="1:6" ht="15.75" customHeight="1" x14ac:dyDescent="0.15">
      <c r="A587" s="20"/>
      <c r="B587" s="20"/>
      <c r="C587" s="20"/>
      <c r="D587" s="20"/>
      <c r="E587" s="20"/>
      <c r="F587" s="20"/>
    </row>
    <row r="588" spans="1:6" ht="15.75" customHeight="1" x14ac:dyDescent="0.15">
      <c r="A588" s="20"/>
      <c r="B588" s="20"/>
      <c r="C588" s="20"/>
      <c r="D588" s="20"/>
      <c r="E588" s="20"/>
      <c r="F588" s="20"/>
    </row>
    <row r="589" spans="1:6" ht="15.75" customHeight="1" x14ac:dyDescent="0.15">
      <c r="A589" s="20"/>
      <c r="B589" s="20"/>
      <c r="C589" s="20"/>
      <c r="D589" s="20"/>
      <c r="E589" s="20"/>
      <c r="F589" s="20"/>
    </row>
    <row r="590" spans="1:6" ht="15.75" customHeight="1" x14ac:dyDescent="0.15">
      <c r="A590" s="20"/>
      <c r="B590" s="20"/>
      <c r="C590" s="20"/>
      <c r="D590" s="20"/>
      <c r="E590" s="20"/>
      <c r="F590" s="20"/>
    </row>
    <row r="591" spans="1:6" ht="15.75" customHeight="1" x14ac:dyDescent="0.15">
      <c r="A591" s="20"/>
      <c r="B591" s="20"/>
      <c r="C591" s="20"/>
      <c r="D591" s="20"/>
      <c r="E591" s="20"/>
      <c r="F591" s="20"/>
    </row>
    <row r="592" spans="1:6" ht="15.75" customHeight="1" x14ac:dyDescent="0.15">
      <c r="A592" s="20"/>
      <c r="B592" s="20"/>
      <c r="C592" s="20"/>
      <c r="D592" s="20"/>
      <c r="E592" s="20"/>
      <c r="F592" s="20"/>
    </row>
    <row r="593" spans="1:6" ht="15.75" customHeight="1" x14ac:dyDescent="0.15">
      <c r="A593" s="20"/>
      <c r="B593" s="20"/>
      <c r="C593" s="20"/>
      <c r="D593" s="20"/>
      <c r="E593" s="20"/>
      <c r="F593" s="20"/>
    </row>
    <row r="594" spans="1:6" ht="15.75" customHeight="1" x14ac:dyDescent="0.15">
      <c r="A594" s="20"/>
      <c r="B594" s="20"/>
      <c r="C594" s="20"/>
      <c r="D594" s="20"/>
      <c r="E594" s="20"/>
      <c r="F594" s="20"/>
    </row>
    <row r="595" spans="1:6" ht="15.75" customHeight="1" x14ac:dyDescent="0.15">
      <c r="A595" s="20"/>
      <c r="B595" s="20"/>
      <c r="C595" s="20"/>
      <c r="D595" s="20"/>
      <c r="E595" s="20"/>
      <c r="F595" s="20"/>
    </row>
    <row r="596" spans="1:6" ht="15.75" customHeight="1" x14ac:dyDescent="0.15">
      <c r="A596" s="20"/>
      <c r="B596" s="20"/>
      <c r="C596" s="20"/>
      <c r="D596" s="20"/>
      <c r="E596" s="20"/>
      <c r="F596" s="20"/>
    </row>
    <row r="597" spans="1:6" ht="15.75" customHeight="1" x14ac:dyDescent="0.15">
      <c r="A597" s="20"/>
      <c r="B597" s="20"/>
      <c r="C597" s="20"/>
      <c r="D597" s="20"/>
      <c r="E597" s="20"/>
      <c r="F597" s="20"/>
    </row>
    <row r="598" spans="1:6" ht="15.75" customHeight="1" x14ac:dyDescent="0.15">
      <c r="A598" s="20"/>
      <c r="B598" s="20"/>
      <c r="C598" s="20"/>
      <c r="D598" s="20"/>
      <c r="E598" s="20"/>
      <c r="F598" s="20"/>
    </row>
    <row r="599" spans="1:6" ht="15.75" customHeight="1" x14ac:dyDescent="0.15">
      <c r="A599" s="20"/>
      <c r="B599" s="20"/>
      <c r="C599" s="20"/>
      <c r="D599" s="20"/>
      <c r="E599" s="20"/>
      <c r="F599" s="20"/>
    </row>
    <row r="600" spans="1:6" ht="15.75" customHeight="1" x14ac:dyDescent="0.15">
      <c r="A600" s="20"/>
      <c r="B600" s="20"/>
      <c r="C600" s="20"/>
      <c r="D600" s="20"/>
      <c r="E600" s="20"/>
      <c r="F600" s="20"/>
    </row>
    <row r="601" spans="1:6" ht="15.75" customHeight="1" x14ac:dyDescent="0.15">
      <c r="A601" s="20"/>
      <c r="B601" s="20"/>
      <c r="C601" s="20"/>
      <c r="D601" s="20"/>
      <c r="E601" s="20"/>
      <c r="F601" s="20"/>
    </row>
    <row r="602" spans="1:6" ht="15.75" customHeight="1" x14ac:dyDescent="0.15">
      <c r="A602" s="20"/>
      <c r="B602" s="20"/>
      <c r="C602" s="20"/>
      <c r="D602" s="20"/>
      <c r="E602" s="20"/>
      <c r="F602" s="20"/>
    </row>
    <row r="603" spans="1:6" ht="15.75" customHeight="1" x14ac:dyDescent="0.15">
      <c r="A603" s="20"/>
      <c r="B603" s="20"/>
      <c r="C603" s="20"/>
      <c r="D603" s="20"/>
      <c r="E603" s="20"/>
      <c r="F603" s="20"/>
    </row>
    <row r="604" spans="1:6" ht="15.75" customHeight="1" x14ac:dyDescent="0.15">
      <c r="A604" s="20"/>
      <c r="B604" s="20"/>
      <c r="C604" s="20"/>
      <c r="D604" s="20"/>
      <c r="E604" s="20"/>
      <c r="F604" s="20"/>
    </row>
    <row r="605" spans="1:6" ht="15.75" customHeight="1" x14ac:dyDescent="0.15">
      <c r="A605" s="20"/>
      <c r="B605" s="20"/>
      <c r="C605" s="20"/>
      <c r="D605" s="20"/>
      <c r="E605" s="20"/>
      <c r="F605" s="20"/>
    </row>
    <row r="606" spans="1:6" ht="15.75" customHeight="1" x14ac:dyDescent="0.15">
      <c r="A606" s="20"/>
      <c r="B606" s="20"/>
      <c r="C606" s="20"/>
      <c r="D606" s="20"/>
      <c r="E606" s="20"/>
      <c r="F606" s="20"/>
    </row>
    <row r="607" spans="1:6" ht="15.75" customHeight="1" x14ac:dyDescent="0.15">
      <c r="A607" s="20"/>
      <c r="B607" s="20"/>
      <c r="C607" s="20"/>
      <c r="D607" s="20"/>
      <c r="E607" s="20"/>
      <c r="F607" s="20"/>
    </row>
    <row r="608" spans="1:6" ht="15.75" customHeight="1" x14ac:dyDescent="0.15">
      <c r="A608" s="20"/>
      <c r="B608" s="20"/>
      <c r="C608" s="20"/>
      <c r="D608" s="20"/>
      <c r="E608" s="20"/>
      <c r="F608" s="20"/>
    </row>
    <row r="609" spans="1:6" ht="15.75" customHeight="1" x14ac:dyDescent="0.15">
      <c r="A609" s="20"/>
      <c r="B609" s="20"/>
      <c r="C609" s="20"/>
      <c r="D609" s="20"/>
      <c r="E609" s="20"/>
      <c r="F609" s="20"/>
    </row>
    <row r="610" spans="1:6" ht="15.75" customHeight="1" x14ac:dyDescent="0.15">
      <c r="A610" s="20"/>
      <c r="B610" s="20"/>
      <c r="C610" s="20"/>
      <c r="D610" s="20"/>
      <c r="E610" s="20"/>
      <c r="F610" s="20"/>
    </row>
    <row r="611" spans="1:6" ht="15.75" customHeight="1" x14ac:dyDescent="0.15">
      <c r="A611" s="20"/>
      <c r="B611" s="20"/>
      <c r="C611" s="20"/>
      <c r="D611" s="20"/>
      <c r="E611" s="20"/>
      <c r="F611" s="20"/>
    </row>
    <row r="612" spans="1:6" ht="15.75" customHeight="1" x14ac:dyDescent="0.15">
      <c r="A612" s="20"/>
      <c r="B612" s="20"/>
      <c r="C612" s="20"/>
      <c r="D612" s="20"/>
      <c r="E612" s="20"/>
      <c r="F612" s="20"/>
    </row>
    <row r="613" spans="1:6" ht="15.75" customHeight="1" x14ac:dyDescent="0.15">
      <c r="A613" s="20"/>
      <c r="B613" s="20"/>
      <c r="C613" s="20"/>
      <c r="D613" s="20"/>
      <c r="E613" s="20"/>
      <c r="F613" s="20"/>
    </row>
    <row r="614" spans="1:6" ht="15.75" customHeight="1" x14ac:dyDescent="0.15">
      <c r="A614" s="20"/>
      <c r="B614" s="20"/>
      <c r="C614" s="20"/>
      <c r="D614" s="20"/>
      <c r="E614" s="20"/>
      <c r="F614" s="20"/>
    </row>
    <row r="615" spans="1:6" ht="15.75" customHeight="1" x14ac:dyDescent="0.15">
      <c r="A615" s="20"/>
      <c r="B615" s="20"/>
      <c r="C615" s="20"/>
      <c r="D615" s="20"/>
      <c r="E615" s="20"/>
      <c r="F615" s="20"/>
    </row>
    <row r="616" spans="1:6" ht="15.75" customHeight="1" x14ac:dyDescent="0.15">
      <c r="A616" s="20"/>
      <c r="B616" s="20"/>
      <c r="C616" s="20"/>
      <c r="D616" s="20"/>
      <c r="E616" s="20"/>
      <c r="F616" s="20"/>
    </row>
    <row r="617" spans="1:6" ht="15.75" customHeight="1" x14ac:dyDescent="0.15">
      <c r="A617" s="20"/>
      <c r="B617" s="20"/>
      <c r="C617" s="20"/>
      <c r="D617" s="20"/>
      <c r="E617" s="20"/>
      <c r="F617" s="20"/>
    </row>
    <row r="618" spans="1:6" ht="15.75" customHeight="1" x14ac:dyDescent="0.15">
      <c r="A618" s="20"/>
      <c r="B618" s="20"/>
      <c r="C618" s="20"/>
      <c r="D618" s="20"/>
      <c r="E618" s="20"/>
      <c r="F618" s="20"/>
    </row>
    <row r="619" spans="1:6" ht="15.75" customHeight="1" x14ac:dyDescent="0.15">
      <c r="A619" s="20"/>
      <c r="B619" s="20"/>
      <c r="C619" s="20"/>
      <c r="D619" s="20"/>
      <c r="E619" s="20"/>
      <c r="F619" s="20"/>
    </row>
    <row r="620" spans="1:6" ht="15.75" customHeight="1" x14ac:dyDescent="0.15">
      <c r="A620" s="20"/>
      <c r="B620" s="20"/>
      <c r="C620" s="20"/>
      <c r="D620" s="20"/>
      <c r="E620" s="20"/>
      <c r="F620" s="20"/>
    </row>
    <row r="621" spans="1:6" ht="15.75" customHeight="1" x14ac:dyDescent="0.15">
      <c r="A621" s="20"/>
      <c r="B621" s="20"/>
      <c r="C621" s="20"/>
      <c r="D621" s="20"/>
      <c r="E621" s="20"/>
      <c r="F621" s="20"/>
    </row>
    <row r="622" spans="1:6" ht="15.75" customHeight="1" x14ac:dyDescent="0.15">
      <c r="A622" s="20"/>
      <c r="B622" s="20"/>
      <c r="C622" s="20"/>
      <c r="D622" s="20"/>
      <c r="E622" s="20"/>
      <c r="F622" s="20"/>
    </row>
    <row r="623" spans="1:6" ht="15.75" customHeight="1" x14ac:dyDescent="0.15">
      <c r="A623" s="20"/>
      <c r="B623" s="20"/>
      <c r="C623" s="20"/>
      <c r="D623" s="20"/>
      <c r="E623" s="20"/>
      <c r="F623" s="20"/>
    </row>
    <row r="624" spans="1:6" ht="15.75" customHeight="1" x14ac:dyDescent="0.15">
      <c r="A624" s="20"/>
      <c r="B624" s="20"/>
      <c r="C624" s="20"/>
      <c r="D624" s="20"/>
      <c r="E624" s="20"/>
      <c r="F624" s="20"/>
    </row>
    <row r="625" spans="1:6" ht="15.75" customHeight="1" x14ac:dyDescent="0.15">
      <c r="A625" s="20"/>
      <c r="B625" s="20"/>
      <c r="C625" s="20"/>
      <c r="D625" s="20"/>
      <c r="E625" s="20"/>
      <c r="F625" s="20"/>
    </row>
    <row r="626" spans="1:6" ht="15.75" customHeight="1" x14ac:dyDescent="0.15">
      <c r="A626" s="20"/>
      <c r="B626" s="20"/>
      <c r="C626" s="20"/>
      <c r="D626" s="20"/>
      <c r="E626" s="20"/>
      <c r="F626" s="20"/>
    </row>
    <row r="627" spans="1:6" ht="15.75" customHeight="1" x14ac:dyDescent="0.15">
      <c r="A627" s="20"/>
      <c r="B627" s="20"/>
      <c r="C627" s="20"/>
      <c r="D627" s="20"/>
      <c r="E627" s="20"/>
      <c r="F627" s="20"/>
    </row>
    <row r="628" spans="1:6" ht="15.75" customHeight="1" x14ac:dyDescent="0.15">
      <c r="A628" s="20"/>
      <c r="B628" s="20"/>
      <c r="C628" s="20"/>
      <c r="D628" s="20"/>
      <c r="E628" s="20"/>
      <c r="F628" s="20"/>
    </row>
    <row r="629" spans="1:6" ht="15.75" customHeight="1" x14ac:dyDescent="0.15">
      <c r="A629" s="20"/>
      <c r="B629" s="20"/>
      <c r="C629" s="20"/>
      <c r="D629" s="20"/>
      <c r="E629" s="20"/>
      <c r="F629" s="20"/>
    </row>
    <row r="630" spans="1:6" ht="15.75" customHeight="1" x14ac:dyDescent="0.15">
      <c r="A630" s="20"/>
      <c r="B630" s="20"/>
      <c r="C630" s="20"/>
      <c r="D630" s="20"/>
      <c r="E630" s="20"/>
      <c r="F630" s="20"/>
    </row>
    <row r="631" spans="1:6" ht="15.75" customHeight="1" x14ac:dyDescent="0.15">
      <c r="A631" s="20"/>
      <c r="B631" s="20"/>
      <c r="C631" s="20"/>
      <c r="D631" s="20"/>
      <c r="E631" s="20"/>
      <c r="F631" s="20"/>
    </row>
    <row r="632" spans="1:6" ht="15.75" customHeight="1" x14ac:dyDescent="0.15">
      <c r="A632" s="20"/>
      <c r="B632" s="20"/>
      <c r="C632" s="20"/>
      <c r="D632" s="20"/>
      <c r="E632" s="20"/>
      <c r="F632" s="20"/>
    </row>
    <row r="633" spans="1:6" ht="15.75" customHeight="1" x14ac:dyDescent="0.15">
      <c r="A633" s="20"/>
      <c r="B633" s="20"/>
      <c r="C633" s="20"/>
      <c r="D633" s="20"/>
      <c r="E633" s="20"/>
      <c r="F633" s="20"/>
    </row>
    <row r="634" spans="1:6" ht="15.75" customHeight="1" x14ac:dyDescent="0.15">
      <c r="A634" s="20"/>
      <c r="B634" s="20"/>
      <c r="C634" s="20"/>
      <c r="D634" s="20"/>
      <c r="E634" s="20"/>
      <c r="F634" s="20"/>
    </row>
    <row r="635" spans="1:6" ht="15.75" customHeight="1" x14ac:dyDescent="0.15">
      <c r="A635" s="20"/>
      <c r="B635" s="20"/>
      <c r="C635" s="20"/>
      <c r="D635" s="20"/>
      <c r="E635" s="20"/>
      <c r="F635" s="20"/>
    </row>
    <row r="636" spans="1:6" ht="15.75" customHeight="1" x14ac:dyDescent="0.15">
      <c r="A636" s="20"/>
      <c r="B636" s="20"/>
      <c r="C636" s="20"/>
      <c r="D636" s="20"/>
      <c r="E636" s="20"/>
      <c r="F636" s="20"/>
    </row>
    <row r="637" spans="1:6" ht="15.75" customHeight="1" x14ac:dyDescent="0.15">
      <c r="A637" s="20"/>
      <c r="B637" s="20"/>
      <c r="C637" s="20"/>
      <c r="D637" s="20"/>
      <c r="E637" s="20"/>
      <c r="F637" s="20"/>
    </row>
    <row r="638" spans="1:6" ht="15.75" customHeight="1" x14ac:dyDescent="0.15">
      <c r="A638" s="20"/>
      <c r="B638" s="20"/>
      <c r="C638" s="20"/>
      <c r="D638" s="20"/>
      <c r="E638" s="20"/>
      <c r="F638" s="20"/>
    </row>
    <row r="639" spans="1:6" ht="15.75" customHeight="1" x14ac:dyDescent="0.15">
      <c r="A639" s="20"/>
      <c r="B639" s="20"/>
      <c r="C639" s="20"/>
      <c r="D639" s="20"/>
      <c r="E639" s="20"/>
      <c r="F639" s="20"/>
    </row>
    <row r="640" spans="1:6" ht="15.75" customHeight="1" x14ac:dyDescent="0.15">
      <c r="A640" s="20"/>
      <c r="B640" s="20"/>
      <c r="C640" s="20"/>
      <c r="D640" s="20"/>
      <c r="E640" s="20"/>
      <c r="F640" s="20"/>
    </row>
    <row r="641" spans="1:6" ht="15.75" customHeight="1" x14ac:dyDescent="0.15">
      <c r="A641" s="20"/>
      <c r="B641" s="20"/>
      <c r="C641" s="20"/>
      <c r="D641" s="20"/>
      <c r="E641" s="20"/>
      <c r="F641" s="20"/>
    </row>
    <row r="642" spans="1:6" ht="15.75" customHeight="1" x14ac:dyDescent="0.15">
      <c r="A642" s="20"/>
      <c r="B642" s="20"/>
      <c r="C642" s="20"/>
      <c r="D642" s="20"/>
      <c r="E642" s="20"/>
      <c r="F642" s="20"/>
    </row>
    <row r="643" spans="1:6" ht="15.75" customHeight="1" x14ac:dyDescent="0.15">
      <c r="A643" s="20"/>
      <c r="B643" s="20"/>
      <c r="C643" s="20"/>
      <c r="D643" s="20"/>
      <c r="E643" s="20"/>
      <c r="F643" s="20"/>
    </row>
    <row r="644" spans="1:6" ht="15.75" customHeight="1" x14ac:dyDescent="0.15">
      <c r="A644" s="20"/>
      <c r="B644" s="20"/>
      <c r="C644" s="20"/>
      <c r="D644" s="20"/>
      <c r="E644" s="20"/>
      <c r="F644" s="20"/>
    </row>
    <row r="645" spans="1:6" ht="15.75" customHeight="1" x14ac:dyDescent="0.15">
      <c r="A645" s="20"/>
      <c r="B645" s="20"/>
      <c r="C645" s="20"/>
      <c r="D645" s="20"/>
      <c r="E645" s="20"/>
      <c r="F645" s="20"/>
    </row>
    <row r="646" spans="1:6" ht="15.75" customHeight="1" x14ac:dyDescent="0.15">
      <c r="A646" s="20"/>
      <c r="B646" s="20"/>
      <c r="C646" s="20"/>
      <c r="D646" s="20"/>
      <c r="E646" s="20"/>
      <c r="F646" s="20"/>
    </row>
    <row r="647" spans="1:6" ht="15.75" customHeight="1" x14ac:dyDescent="0.15">
      <c r="A647" s="20"/>
      <c r="B647" s="20"/>
      <c r="C647" s="20"/>
      <c r="D647" s="20"/>
      <c r="E647" s="20"/>
      <c r="F647" s="20"/>
    </row>
    <row r="648" spans="1:6" ht="15.75" customHeight="1" x14ac:dyDescent="0.15">
      <c r="A648" s="20"/>
      <c r="B648" s="20"/>
      <c r="C648" s="20"/>
      <c r="D648" s="20"/>
      <c r="E648" s="20"/>
      <c r="F648" s="20"/>
    </row>
    <row r="649" spans="1:6" ht="15.75" customHeight="1" x14ac:dyDescent="0.15">
      <c r="A649" s="20"/>
      <c r="B649" s="20"/>
      <c r="C649" s="20"/>
      <c r="D649" s="20"/>
      <c r="E649" s="20"/>
      <c r="F649" s="20"/>
    </row>
    <row r="650" spans="1:6" ht="15.75" customHeight="1" x14ac:dyDescent="0.15">
      <c r="A650" s="20"/>
      <c r="B650" s="20"/>
      <c r="C650" s="20"/>
      <c r="D650" s="20"/>
      <c r="E650" s="20"/>
      <c r="F650" s="20"/>
    </row>
    <row r="651" spans="1:6" ht="15.75" customHeight="1" x14ac:dyDescent="0.15">
      <c r="A651" s="20"/>
      <c r="B651" s="20"/>
      <c r="C651" s="20"/>
      <c r="D651" s="20"/>
      <c r="E651" s="20"/>
      <c r="F651" s="20"/>
    </row>
    <row r="652" spans="1:6" ht="15.75" customHeight="1" x14ac:dyDescent="0.15">
      <c r="A652" s="20"/>
      <c r="B652" s="20"/>
      <c r="C652" s="20"/>
      <c r="D652" s="20"/>
      <c r="E652" s="20"/>
      <c r="F652" s="20"/>
    </row>
    <row r="653" spans="1:6" ht="15.75" customHeight="1" x14ac:dyDescent="0.15">
      <c r="A653" s="20"/>
      <c r="B653" s="20"/>
      <c r="C653" s="20"/>
      <c r="D653" s="20"/>
      <c r="E653" s="20"/>
      <c r="F653" s="20"/>
    </row>
    <row r="654" spans="1:6" ht="15.75" customHeight="1" x14ac:dyDescent="0.15">
      <c r="A654" s="20"/>
      <c r="B654" s="20"/>
      <c r="C654" s="20"/>
      <c r="D654" s="20"/>
      <c r="E654" s="20"/>
      <c r="F654" s="20"/>
    </row>
    <row r="655" spans="1:6" ht="15.75" customHeight="1" x14ac:dyDescent="0.15">
      <c r="A655" s="20"/>
      <c r="B655" s="20"/>
      <c r="C655" s="20"/>
      <c r="D655" s="20"/>
      <c r="E655" s="20"/>
      <c r="F655" s="20"/>
    </row>
    <row r="656" spans="1:6" ht="15.75" customHeight="1" x14ac:dyDescent="0.15">
      <c r="A656" s="20"/>
      <c r="B656" s="20"/>
      <c r="C656" s="20"/>
      <c r="D656" s="20"/>
      <c r="E656" s="20"/>
      <c r="F656" s="20"/>
    </row>
    <row r="657" spans="1:6" ht="15.75" customHeight="1" x14ac:dyDescent="0.15">
      <c r="A657" s="20"/>
      <c r="B657" s="20"/>
      <c r="C657" s="20"/>
      <c r="D657" s="20"/>
      <c r="E657" s="20"/>
      <c r="F657" s="20"/>
    </row>
    <row r="658" spans="1:6" ht="15.75" customHeight="1" x14ac:dyDescent="0.15">
      <c r="A658" s="20"/>
      <c r="B658" s="20"/>
      <c r="C658" s="20"/>
      <c r="D658" s="20"/>
      <c r="E658" s="20"/>
      <c r="F658" s="20"/>
    </row>
    <row r="659" spans="1:6" ht="15.75" customHeight="1" x14ac:dyDescent="0.15">
      <c r="A659" s="20"/>
      <c r="B659" s="20"/>
      <c r="C659" s="20"/>
      <c r="D659" s="20"/>
      <c r="E659" s="20"/>
      <c r="F659" s="20"/>
    </row>
    <row r="660" spans="1:6" ht="15.75" customHeight="1" x14ac:dyDescent="0.15">
      <c r="A660" s="20"/>
      <c r="B660" s="20"/>
      <c r="C660" s="20"/>
      <c r="D660" s="20"/>
      <c r="E660" s="20"/>
      <c r="F660" s="20"/>
    </row>
    <row r="661" spans="1:6" ht="15.75" customHeight="1" x14ac:dyDescent="0.15">
      <c r="A661" s="20"/>
      <c r="B661" s="20"/>
      <c r="C661" s="20"/>
      <c r="D661" s="20"/>
      <c r="E661" s="20"/>
      <c r="F661" s="20"/>
    </row>
    <row r="662" spans="1:6" ht="15.75" customHeight="1" x14ac:dyDescent="0.15">
      <c r="A662" s="20"/>
      <c r="B662" s="20"/>
      <c r="C662" s="20"/>
      <c r="D662" s="20"/>
      <c r="E662" s="20"/>
      <c r="F662" s="20"/>
    </row>
    <row r="663" spans="1:6" ht="15.75" customHeight="1" x14ac:dyDescent="0.15">
      <c r="A663" s="20"/>
      <c r="B663" s="20"/>
      <c r="C663" s="20"/>
      <c r="D663" s="20"/>
      <c r="E663" s="20"/>
      <c r="F663" s="20"/>
    </row>
    <row r="664" spans="1:6" ht="15.75" customHeight="1" x14ac:dyDescent="0.15">
      <c r="A664" s="20"/>
      <c r="B664" s="20"/>
      <c r="C664" s="20"/>
      <c r="D664" s="20"/>
      <c r="E664" s="20"/>
      <c r="F664" s="20"/>
    </row>
    <row r="665" spans="1:6" ht="15.75" customHeight="1" x14ac:dyDescent="0.15">
      <c r="A665" s="20"/>
      <c r="B665" s="20"/>
      <c r="C665" s="20"/>
      <c r="D665" s="20"/>
      <c r="E665" s="20"/>
      <c r="F665" s="20"/>
    </row>
    <row r="666" spans="1:6" ht="15.75" customHeight="1" x14ac:dyDescent="0.15">
      <c r="A666" s="20"/>
      <c r="B666" s="20"/>
      <c r="C666" s="20"/>
      <c r="D666" s="20"/>
      <c r="E666" s="20"/>
      <c r="F666" s="20"/>
    </row>
    <row r="667" spans="1:6" ht="15.75" customHeight="1" x14ac:dyDescent="0.15">
      <c r="A667" s="20"/>
      <c r="B667" s="20"/>
      <c r="C667" s="20"/>
      <c r="D667" s="20"/>
      <c r="E667" s="20"/>
      <c r="F667" s="20"/>
    </row>
    <row r="668" spans="1:6" ht="15.75" customHeight="1" x14ac:dyDescent="0.15">
      <c r="A668" s="20"/>
      <c r="B668" s="20"/>
      <c r="C668" s="20"/>
      <c r="D668" s="20"/>
      <c r="E668" s="20"/>
      <c r="F668" s="20"/>
    </row>
    <row r="669" spans="1:6" ht="15.75" customHeight="1" x14ac:dyDescent="0.15">
      <c r="A669" s="20"/>
      <c r="B669" s="20"/>
      <c r="C669" s="20"/>
      <c r="D669" s="20"/>
      <c r="E669" s="20"/>
      <c r="F669" s="20"/>
    </row>
    <row r="670" spans="1:6" ht="15.75" customHeight="1" x14ac:dyDescent="0.15">
      <c r="A670" s="20"/>
      <c r="B670" s="20"/>
      <c r="C670" s="20"/>
      <c r="D670" s="20"/>
      <c r="E670" s="20"/>
      <c r="F670" s="20"/>
    </row>
    <row r="671" spans="1:6" ht="15.75" customHeight="1" x14ac:dyDescent="0.15">
      <c r="A671" s="20"/>
      <c r="B671" s="20"/>
      <c r="C671" s="20"/>
      <c r="D671" s="20"/>
      <c r="E671" s="20"/>
      <c r="F671" s="20"/>
    </row>
    <row r="672" spans="1:6" ht="15.75" customHeight="1" x14ac:dyDescent="0.15">
      <c r="A672" s="20"/>
      <c r="B672" s="20"/>
      <c r="C672" s="20"/>
      <c r="D672" s="20"/>
      <c r="E672" s="20"/>
      <c r="F672" s="20"/>
    </row>
    <row r="673" spans="1:6" ht="15.75" customHeight="1" x14ac:dyDescent="0.15">
      <c r="A673" s="20"/>
      <c r="B673" s="20"/>
      <c r="C673" s="20"/>
      <c r="D673" s="20"/>
      <c r="E673" s="20"/>
      <c r="F673" s="20"/>
    </row>
    <row r="674" spans="1:6" ht="15.75" customHeight="1" x14ac:dyDescent="0.15">
      <c r="A674" s="20"/>
      <c r="B674" s="20"/>
      <c r="C674" s="20"/>
      <c r="D674" s="20"/>
      <c r="E674" s="20"/>
      <c r="F674" s="20"/>
    </row>
    <row r="675" spans="1:6" ht="15.75" customHeight="1" x14ac:dyDescent="0.15">
      <c r="A675" s="20"/>
      <c r="B675" s="20"/>
      <c r="C675" s="20"/>
      <c r="D675" s="20"/>
      <c r="E675" s="20"/>
      <c r="F675" s="20"/>
    </row>
    <row r="676" spans="1:6" ht="15.75" customHeight="1" x14ac:dyDescent="0.15">
      <c r="A676" s="20"/>
      <c r="B676" s="20"/>
      <c r="C676" s="20"/>
      <c r="D676" s="20"/>
      <c r="E676" s="20"/>
      <c r="F676" s="20"/>
    </row>
    <row r="677" spans="1:6" ht="15.75" customHeight="1" x14ac:dyDescent="0.15">
      <c r="A677" s="20"/>
      <c r="B677" s="20"/>
      <c r="C677" s="20"/>
      <c r="D677" s="20"/>
      <c r="E677" s="20"/>
      <c r="F677" s="20"/>
    </row>
    <row r="678" spans="1:6" ht="15.75" customHeight="1" x14ac:dyDescent="0.15">
      <c r="A678" s="20"/>
      <c r="B678" s="20"/>
      <c r="C678" s="20"/>
      <c r="D678" s="20"/>
      <c r="E678" s="20"/>
      <c r="F678" s="20"/>
    </row>
    <row r="679" spans="1:6" ht="15.75" customHeight="1" x14ac:dyDescent="0.15">
      <c r="A679" s="20"/>
      <c r="B679" s="20"/>
      <c r="C679" s="20"/>
      <c r="D679" s="20"/>
      <c r="E679" s="20"/>
      <c r="F679" s="20"/>
    </row>
    <row r="680" spans="1:6" ht="15.75" customHeight="1" x14ac:dyDescent="0.15">
      <c r="A680" s="20"/>
      <c r="B680" s="20"/>
      <c r="C680" s="20"/>
      <c r="D680" s="20"/>
      <c r="E680" s="20"/>
      <c r="F680" s="20"/>
    </row>
    <row r="681" spans="1:6" ht="15.75" customHeight="1" x14ac:dyDescent="0.15">
      <c r="A681" s="20"/>
      <c r="B681" s="20"/>
      <c r="C681" s="20"/>
      <c r="D681" s="20"/>
      <c r="E681" s="20"/>
      <c r="F681" s="20"/>
    </row>
    <row r="682" spans="1:6" ht="15.75" customHeight="1" x14ac:dyDescent="0.15">
      <c r="A682" s="20"/>
      <c r="B682" s="20"/>
      <c r="C682" s="20"/>
      <c r="D682" s="20"/>
      <c r="E682" s="20"/>
      <c r="F682" s="20"/>
    </row>
    <row r="683" spans="1:6" ht="15.75" customHeight="1" x14ac:dyDescent="0.15">
      <c r="A683" s="20"/>
      <c r="B683" s="20"/>
      <c r="C683" s="20"/>
      <c r="D683" s="20"/>
      <c r="E683" s="20"/>
      <c r="F683" s="20"/>
    </row>
    <row r="684" spans="1:6" ht="15.75" customHeight="1" x14ac:dyDescent="0.15">
      <c r="A684" s="20"/>
      <c r="B684" s="20"/>
      <c r="C684" s="20"/>
      <c r="D684" s="20"/>
      <c r="E684" s="20"/>
      <c r="F684" s="20"/>
    </row>
    <row r="685" spans="1:6" ht="15.75" customHeight="1" x14ac:dyDescent="0.15">
      <c r="A685" s="20"/>
      <c r="B685" s="20"/>
      <c r="C685" s="20"/>
      <c r="D685" s="20"/>
      <c r="E685" s="20"/>
      <c r="F685" s="20"/>
    </row>
    <row r="686" spans="1:6" ht="15.75" customHeight="1" x14ac:dyDescent="0.15">
      <c r="A686" s="20"/>
      <c r="B686" s="20"/>
      <c r="C686" s="20"/>
      <c r="D686" s="20"/>
      <c r="E686" s="20"/>
      <c r="F686" s="20"/>
    </row>
    <row r="687" spans="1:6" ht="15.75" customHeight="1" x14ac:dyDescent="0.15">
      <c r="A687" s="20"/>
      <c r="B687" s="20"/>
      <c r="C687" s="20"/>
      <c r="D687" s="20"/>
      <c r="E687" s="20"/>
      <c r="F687" s="20"/>
    </row>
    <row r="688" spans="1:6" ht="15.75" customHeight="1" x14ac:dyDescent="0.15">
      <c r="A688" s="20"/>
      <c r="B688" s="20"/>
      <c r="C688" s="20"/>
      <c r="D688" s="20"/>
      <c r="E688" s="20"/>
      <c r="F688" s="20"/>
    </row>
    <row r="689" spans="1:6" ht="15.75" customHeight="1" x14ac:dyDescent="0.15">
      <c r="A689" s="20"/>
      <c r="B689" s="20"/>
      <c r="C689" s="20"/>
      <c r="D689" s="20"/>
      <c r="E689" s="20"/>
      <c r="F689" s="20"/>
    </row>
    <row r="690" spans="1:6" ht="15.75" customHeight="1" x14ac:dyDescent="0.15">
      <c r="A690" s="20"/>
      <c r="B690" s="20"/>
      <c r="C690" s="20"/>
      <c r="D690" s="20"/>
      <c r="E690" s="20"/>
      <c r="F690" s="20"/>
    </row>
    <row r="691" spans="1:6" ht="15.75" customHeight="1" x14ac:dyDescent="0.15">
      <c r="A691" s="20"/>
      <c r="B691" s="20"/>
      <c r="C691" s="20"/>
      <c r="D691" s="20"/>
      <c r="E691" s="20"/>
      <c r="F691" s="20"/>
    </row>
    <row r="692" spans="1:6" ht="15.75" customHeight="1" x14ac:dyDescent="0.15">
      <c r="A692" s="20"/>
      <c r="B692" s="20"/>
      <c r="C692" s="20"/>
      <c r="D692" s="20"/>
      <c r="E692" s="20"/>
      <c r="F692" s="20"/>
    </row>
    <row r="693" spans="1:6" ht="15.75" customHeight="1" x14ac:dyDescent="0.15">
      <c r="A693" s="20"/>
      <c r="B693" s="20"/>
      <c r="C693" s="20"/>
      <c r="D693" s="20"/>
      <c r="E693" s="20"/>
      <c r="F693" s="20"/>
    </row>
    <row r="694" spans="1:6" ht="15.75" customHeight="1" x14ac:dyDescent="0.15">
      <c r="A694" s="20"/>
      <c r="B694" s="20"/>
      <c r="C694" s="20"/>
      <c r="D694" s="20"/>
      <c r="E694" s="20"/>
      <c r="F694" s="20"/>
    </row>
    <row r="695" spans="1:6" ht="15.75" customHeight="1" x14ac:dyDescent="0.15">
      <c r="A695" s="20"/>
      <c r="B695" s="20"/>
      <c r="C695" s="20"/>
      <c r="D695" s="20"/>
      <c r="E695" s="20"/>
      <c r="F695" s="20"/>
    </row>
    <row r="696" spans="1:6" ht="15.75" customHeight="1" x14ac:dyDescent="0.15">
      <c r="A696" s="20"/>
      <c r="B696" s="20"/>
      <c r="C696" s="20"/>
      <c r="D696" s="20"/>
      <c r="E696" s="20"/>
      <c r="F696" s="20"/>
    </row>
    <row r="697" spans="1:6" ht="15.75" customHeight="1" x14ac:dyDescent="0.15">
      <c r="A697" s="20"/>
      <c r="B697" s="20"/>
      <c r="C697" s="20"/>
      <c r="D697" s="20"/>
      <c r="E697" s="20"/>
      <c r="F697" s="20"/>
    </row>
    <row r="698" spans="1:6" ht="15.75" customHeight="1" x14ac:dyDescent="0.15">
      <c r="A698" s="20"/>
      <c r="B698" s="20"/>
      <c r="C698" s="20"/>
      <c r="D698" s="20"/>
      <c r="E698" s="20"/>
      <c r="F698" s="20"/>
    </row>
    <row r="699" spans="1:6" ht="15.75" customHeight="1" x14ac:dyDescent="0.15">
      <c r="A699" s="20"/>
      <c r="B699" s="20"/>
      <c r="C699" s="20"/>
      <c r="D699" s="20"/>
      <c r="E699" s="20"/>
      <c r="F699" s="20"/>
    </row>
    <row r="700" spans="1:6" ht="15.75" customHeight="1" x14ac:dyDescent="0.15">
      <c r="A700" s="20"/>
      <c r="B700" s="20"/>
      <c r="C700" s="20"/>
      <c r="D700" s="20"/>
      <c r="E700" s="20"/>
      <c r="F700" s="20"/>
    </row>
    <row r="701" spans="1:6" ht="15.75" customHeight="1" x14ac:dyDescent="0.15">
      <c r="A701" s="20"/>
      <c r="B701" s="20"/>
      <c r="C701" s="20"/>
      <c r="D701" s="20"/>
      <c r="E701" s="20"/>
      <c r="F701" s="20"/>
    </row>
    <row r="702" spans="1:6" ht="15.75" customHeight="1" x14ac:dyDescent="0.15">
      <c r="A702" s="20"/>
      <c r="B702" s="20"/>
      <c r="C702" s="20"/>
      <c r="D702" s="20"/>
      <c r="E702" s="20"/>
      <c r="F702" s="20"/>
    </row>
    <row r="703" spans="1:6" ht="15.75" customHeight="1" x14ac:dyDescent="0.15">
      <c r="A703" s="20"/>
      <c r="B703" s="20"/>
      <c r="C703" s="20"/>
      <c r="D703" s="20"/>
      <c r="E703" s="20"/>
      <c r="F703" s="20"/>
    </row>
    <row r="704" spans="1:6" ht="15.75" customHeight="1" x14ac:dyDescent="0.15">
      <c r="A704" s="20"/>
      <c r="B704" s="20"/>
      <c r="C704" s="20"/>
      <c r="D704" s="20"/>
      <c r="E704" s="20"/>
      <c r="F704" s="20"/>
    </row>
    <row r="705" spans="1:6" ht="15.75" customHeight="1" x14ac:dyDescent="0.15">
      <c r="A705" s="20"/>
      <c r="B705" s="20"/>
      <c r="C705" s="20"/>
      <c r="D705" s="20"/>
      <c r="E705" s="20"/>
      <c r="F705" s="20"/>
    </row>
    <row r="706" spans="1:6" ht="15.75" customHeight="1" x14ac:dyDescent="0.15">
      <c r="A706" s="20"/>
      <c r="B706" s="20"/>
      <c r="C706" s="20"/>
      <c r="D706" s="20"/>
      <c r="E706" s="20"/>
      <c r="F706" s="20"/>
    </row>
    <row r="707" spans="1:6" ht="15.75" customHeight="1" x14ac:dyDescent="0.15">
      <c r="A707" s="20"/>
      <c r="B707" s="20"/>
      <c r="C707" s="20"/>
      <c r="D707" s="20"/>
      <c r="E707" s="20"/>
      <c r="F707" s="20"/>
    </row>
    <row r="708" spans="1:6" ht="15.75" customHeight="1" x14ac:dyDescent="0.15">
      <c r="A708" s="20"/>
      <c r="B708" s="20"/>
      <c r="C708" s="20"/>
      <c r="D708" s="20"/>
      <c r="E708" s="20"/>
      <c r="F708" s="20"/>
    </row>
    <row r="709" spans="1:6" ht="15.75" customHeight="1" x14ac:dyDescent="0.15">
      <c r="A709" s="20"/>
      <c r="B709" s="20"/>
      <c r="C709" s="20"/>
      <c r="D709" s="20"/>
      <c r="E709" s="20"/>
      <c r="F709" s="20"/>
    </row>
    <row r="710" spans="1:6" ht="15.75" customHeight="1" x14ac:dyDescent="0.15">
      <c r="A710" s="20"/>
      <c r="B710" s="20"/>
      <c r="C710" s="20"/>
      <c r="D710" s="20"/>
      <c r="E710" s="20"/>
      <c r="F710" s="20"/>
    </row>
    <row r="711" spans="1:6" ht="15.75" customHeight="1" x14ac:dyDescent="0.15">
      <c r="A711" s="20"/>
      <c r="B711" s="20"/>
      <c r="C711" s="20"/>
      <c r="D711" s="20"/>
      <c r="E711" s="20"/>
      <c r="F711" s="20"/>
    </row>
    <row r="712" spans="1:6" ht="15.75" customHeight="1" x14ac:dyDescent="0.15">
      <c r="A712" s="20"/>
      <c r="B712" s="20"/>
      <c r="C712" s="20"/>
      <c r="D712" s="20"/>
      <c r="E712" s="20"/>
      <c r="F712" s="20"/>
    </row>
    <row r="713" spans="1:6" ht="15.75" customHeight="1" x14ac:dyDescent="0.15">
      <c r="A713" s="20"/>
      <c r="B713" s="20"/>
      <c r="C713" s="20"/>
      <c r="D713" s="20"/>
      <c r="E713" s="20"/>
      <c r="F713" s="20"/>
    </row>
    <row r="714" spans="1:6" ht="15.75" customHeight="1" x14ac:dyDescent="0.15">
      <c r="A714" s="20"/>
      <c r="B714" s="20"/>
      <c r="C714" s="20"/>
      <c r="D714" s="20"/>
      <c r="E714" s="20"/>
      <c r="F714" s="20"/>
    </row>
    <row r="715" spans="1:6" ht="15.75" customHeight="1" x14ac:dyDescent="0.15">
      <c r="A715" s="20"/>
      <c r="B715" s="20"/>
      <c r="C715" s="20"/>
      <c r="D715" s="20"/>
      <c r="E715" s="20"/>
      <c r="F715" s="20"/>
    </row>
    <row r="716" spans="1:6" ht="15.75" customHeight="1" x14ac:dyDescent="0.15">
      <c r="A716" s="20"/>
      <c r="B716" s="20"/>
      <c r="C716" s="20"/>
      <c r="D716" s="20"/>
      <c r="E716" s="20"/>
      <c r="F716" s="20"/>
    </row>
    <row r="717" spans="1:6" ht="15.75" customHeight="1" x14ac:dyDescent="0.15">
      <c r="A717" s="20"/>
      <c r="B717" s="20"/>
      <c r="C717" s="20"/>
      <c r="D717" s="20"/>
      <c r="E717" s="20"/>
      <c r="F717" s="20"/>
    </row>
    <row r="718" spans="1:6" ht="15.75" customHeight="1" x14ac:dyDescent="0.15">
      <c r="A718" s="20"/>
      <c r="B718" s="20"/>
      <c r="C718" s="20"/>
      <c r="D718" s="20"/>
      <c r="E718" s="20"/>
      <c r="F718" s="20"/>
    </row>
    <row r="719" spans="1:6" ht="15.75" customHeight="1" x14ac:dyDescent="0.15">
      <c r="A719" s="20"/>
      <c r="B719" s="20"/>
      <c r="C719" s="20"/>
      <c r="D719" s="20"/>
      <c r="E719" s="20"/>
      <c r="F719" s="20"/>
    </row>
    <row r="720" spans="1:6" ht="15.75" customHeight="1" x14ac:dyDescent="0.15">
      <c r="A720" s="20"/>
      <c r="B720" s="20"/>
      <c r="C720" s="20"/>
      <c r="D720" s="20"/>
      <c r="E720" s="20"/>
      <c r="F720" s="20"/>
    </row>
    <row r="721" spans="1:6" ht="15.75" customHeight="1" x14ac:dyDescent="0.15">
      <c r="A721" s="20"/>
      <c r="B721" s="20"/>
      <c r="C721" s="20"/>
      <c r="D721" s="20"/>
      <c r="E721" s="20"/>
      <c r="F721" s="20"/>
    </row>
    <row r="722" spans="1:6" ht="15.75" customHeight="1" x14ac:dyDescent="0.15">
      <c r="A722" s="20"/>
      <c r="B722" s="20"/>
      <c r="C722" s="20"/>
      <c r="D722" s="20"/>
      <c r="E722" s="20"/>
      <c r="F722" s="20"/>
    </row>
    <row r="723" spans="1:6" ht="15.75" customHeight="1" x14ac:dyDescent="0.15">
      <c r="A723" s="20"/>
      <c r="B723" s="20"/>
      <c r="C723" s="20"/>
      <c r="D723" s="20"/>
      <c r="E723" s="20"/>
      <c r="F723" s="20"/>
    </row>
    <row r="724" spans="1:6" ht="15.75" customHeight="1" x14ac:dyDescent="0.15">
      <c r="A724" s="20"/>
      <c r="B724" s="20"/>
      <c r="C724" s="20"/>
      <c r="D724" s="20"/>
      <c r="E724" s="20"/>
      <c r="F724" s="20"/>
    </row>
    <row r="725" spans="1:6" ht="15.75" customHeight="1" x14ac:dyDescent="0.15">
      <c r="A725" s="20"/>
      <c r="B725" s="20"/>
      <c r="C725" s="20"/>
      <c r="D725" s="20"/>
      <c r="E725" s="20"/>
      <c r="F725" s="20"/>
    </row>
    <row r="726" spans="1:6" ht="15.75" customHeight="1" x14ac:dyDescent="0.15">
      <c r="A726" s="20"/>
      <c r="B726" s="20"/>
      <c r="C726" s="20"/>
      <c r="D726" s="20"/>
      <c r="E726" s="20"/>
      <c r="F726" s="20"/>
    </row>
    <row r="727" spans="1:6" ht="15.75" customHeight="1" x14ac:dyDescent="0.15">
      <c r="A727" s="20"/>
      <c r="B727" s="20"/>
      <c r="C727" s="20"/>
      <c r="D727" s="20"/>
      <c r="E727" s="20"/>
      <c r="F727" s="20"/>
    </row>
    <row r="728" spans="1:6" ht="15.75" customHeight="1" x14ac:dyDescent="0.15">
      <c r="A728" s="20"/>
      <c r="B728" s="20"/>
      <c r="C728" s="20"/>
      <c r="D728" s="20"/>
      <c r="E728" s="20"/>
      <c r="F728" s="20"/>
    </row>
    <row r="729" spans="1:6" ht="15.75" customHeight="1" x14ac:dyDescent="0.15">
      <c r="A729" s="20"/>
      <c r="B729" s="20"/>
      <c r="C729" s="20"/>
      <c r="D729" s="20"/>
      <c r="E729" s="20"/>
      <c r="F729" s="20"/>
    </row>
    <row r="730" spans="1:6" ht="15.75" customHeight="1" x14ac:dyDescent="0.15">
      <c r="A730" s="20"/>
      <c r="B730" s="20"/>
      <c r="C730" s="20"/>
      <c r="D730" s="20"/>
      <c r="E730" s="20"/>
      <c r="F730" s="20"/>
    </row>
    <row r="731" spans="1:6" ht="15.75" customHeight="1" x14ac:dyDescent="0.15">
      <c r="A731" s="20"/>
      <c r="B731" s="20"/>
      <c r="C731" s="20"/>
      <c r="D731" s="20"/>
      <c r="E731" s="20"/>
      <c r="F731" s="20"/>
    </row>
    <row r="732" spans="1:6" ht="15.75" customHeight="1" x14ac:dyDescent="0.15">
      <c r="A732" s="20"/>
      <c r="B732" s="20"/>
      <c r="C732" s="20"/>
      <c r="D732" s="20"/>
      <c r="E732" s="20"/>
      <c r="F732" s="20"/>
    </row>
    <row r="733" spans="1:6" ht="15.75" customHeight="1" x14ac:dyDescent="0.15">
      <c r="A733" s="20"/>
      <c r="B733" s="20"/>
      <c r="C733" s="20"/>
      <c r="D733" s="20"/>
      <c r="E733" s="20"/>
      <c r="F733" s="20"/>
    </row>
    <row r="734" spans="1:6" ht="15.75" customHeight="1" x14ac:dyDescent="0.15">
      <c r="A734" s="20"/>
      <c r="B734" s="20"/>
      <c r="C734" s="20"/>
      <c r="D734" s="20"/>
      <c r="E734" s="20"/>
      <c r="F734" s="20"/>
    </row>
    <row r="735" spans="1:6" ht="15.75" customHeight="1" x14ac:dyDescent="0.15">
      <c r="A735" s="20"/>
      <c r="B735" s="20"/>
      <c r="C735" s="20"/>
      <c r="D735" s="20"/>
      <c r="E735" s="20"/>
      <c r="F735" s="20"/>
    </row>
    <row r="736" spans="1:6" ht="15.75" customHeight="1" x14ac:dyDescent="0.15">
      <c r="A736" s="20"/>
      <c r="B736" s="20"/>
      <c r="C736" s="20"/>
      <c r="D736" s="20"/>
      <c r="E736" s="20"/>
      <c r="F736" s="20"/>
    </row>
    <row r="737" spans="1:6" ht="15.75" customHeight="1" x14ac:dyDescent="0.15">
      <c r="A737" s="20"/>
      <c r="B737" s="20"/>
      <c r="C737" s="20"/>
      <c r="D737" s="20"/>
      <c r="E737" s="20"/>
      <c r="F737" s="20"/>
    </row>
    <row r="738" spans="1:6" ht="15.75" customHeight="1" x14ac:dyDescent="0.15">
      <c r="A738" s="20"/>
      <c r="B738" s="20"/>
      <c r="C738" s="20"/>
      <c r="D738" s="20"/>
      <c r="E738" s="20"/>
      <c r="F738" s="20"/>
    </row>
    <row r="739" spans="1:6" ht="15.75" customHeight="1" x14ac:dyDescent="0.15">
      <c r="A739" s="20"/>
      <c r="B739" s="20"/>
      <c r="C739" s="20"/>
      <c r="D739" s="20"/>
      <c r="E739" s="20"/>
      <c r="F739" s="20"/>
    </row>
    <row r="740" spans="1:6" ht="15.75" customHeight="1" x14ac:dyDescent="0.15">
      <c r="A740" s="20"/>
      <c r="B740" s="20"/>
      <c r="C740" s="20"/>
      <c r="D740" s="20"/>
      <c r="E740" s="20"/>
      <c r="F740" s="20"/>
    </row>
    <row r="741" spans="1:6" ht="15.75" customHeight="1" x14ac:dyDescent="0.15">
      <c r="A741" s="20"/>
      <c r="B741" s="20"/>
      <c r="C741" s="20"/>
      <c r="D741" s="20"/>
      <c r="E741" s="20"/>
      <c r="F741" s="20"/>
    </row>
    <row r="742" spans="1:6" ht="15.75" customHeight="1" x14ac:dyDescent="0.15">
      <c r="A742" s="20"/>
      <c r="B742" s="20"/>
      <c r="C742" s="20"/>
      <c r="D742" s="20"/>
      <c r="E742" s="20"/>
      <c r="F742" s="20"/>
    </row>
    <row r="743" spans="1:6" ht="15.75" customHeight="1" x14ac:dyDescent="0.15">
      <c r="A743" s="20"/>
      <c r="B743" s="20"/>
      <c r="C743" s="20"/>
      <c r="D743" s="20"/>
      <c r="E743" s="20"/>
      <c r="F743" s="20"/>
    </row>
    <row r="744" spans="1:6" ht="15.75" customHeight="1" x14ac:dyDescent="0.15">
      <c r="A744" s="20"/>
      <c r="B744" s="20"/>
      <c r="C744" s="20"/>
      <c r="D744" s="20"/>
      <c r="E744" s="20"/>
      <c r="F744" s="20"/>
    </row>
    <row r="745" spans="1:6" ht="15.75" customHeight="1" x14ac:dyDescent="0.15">
      <c r="A745" s="20"/>
      <c r="B745" s="20"/>
      <c r="C745" s="20"/>
      <c r="D745" s="20"/>
      <c r="E745" s="20"/>
      <c r="F745" s="20"/>
    </row>
    <row r="746" spans="1:6" ht="15.75" customHeight="1" x14ac:dyDescent="0.15">
      <c r="A746" s="20"/>
      <c r="B746" s="20"/>
      <c r="C746" s="20"/>
      <c r="D746" s="20"/>
      <c r="E746" s="20"/>
      <c r="F746" s="20"/>
    </row>
    <row r="747" spans="1:6" ht="15.75" customHeight="1" x14ac:dyDescent="0.15">
      <c r="A747" s="20"/>
      <c r="B747" s="20"/>
      <c r="C747" s="20"/>
      <c r="D747" s="20"/>
      <c r="E747" s="20"/>
      <c r="F747" s="20"/>
    </row>
    <row r="748" spans="1:6" ht="15.75" customHeight="1" x14ac:dyDescent="0.15">
      <c r="A748" s="20"/>
      <c r="B748" s="20"/>
      <c r="C748" s="20"/>
      <c r="D748" s="20"/>
      <c r="E748" s="20"/>
      <c r="F748" s="20"/>
    </row>
    <row r="749" spans="1:6" ht="15.75" customHeight="1" x14ac:dyDescent="0.15">
      <c r="A749" s="20"/>
      <c r="B749" s="20"/>
      <c r="C749" s="20"/>
      <c r="D749" s="20"/>
      <c r="E749" s="20"/>
      <c r="F749" s="20"/>
    </row>
    <row r="750" spans="1:6" ht="15.75" customHeight="1" x14ac:dyDescent="0.15">
      <c r="A750" s="20"/>
      <c r="B750" s="20"/>
      <c r="C750" s="20"/>
      <c r="D750" s="20"/>
      <c r="E750" s="20"/>
      <c r="F750" s="20"/>
    </row>
    <row r="751" spans="1:6" ht="15.75" customHeight="1" x14ac:dyDescent="0.15">
      <c r="A751" s="20"/>
      <c r="B751" s="20"/>
      <c r="C751" s="20"/>
      <c r="D751" s="20"/>
      <c r="E751" s="20"/>
      <c r="F751" s="20"/>
    </row>
    <row r="752" spans="1:6" ht="15.75" customHeight="1" x14ac:dyDescent="0.15">
      <c r="A752" s="20"/>
      <c r="B752" s="20"/>
      <c r="C752" s="20"/>
      <c r="D752" s="20"/>
      <c r="E752" s="20"/>
      <c r="F752" s="20"/>
    </row>
    <row r="753" spans="1:6" ht="15.75" customHeight="1" x14ac:dyDescent="0.15">
      <c r="A753" s="20"/>
      <c r="B753" s="20"/>
      <c r="C753" s="20"/>
      <c r="D753" s="20"/>
      <c r="E753" s="20"/>
      <c r="F753" s="20"/>
    </row>
    <row r="754" spans="1:6" ht="15.75" customHeight="1" x14ac:dyDescent="0.15">
      <c r="A754" s="20"/>
      <c r="B754" s="20"/>
      <c r="C754" s="20"/>
      <c r="D754" s="20"/>
      <c r="E754" s="20"/>
      <c r="F754" s="20"/>
    </row>
    <row r="755" spans="1:6" ht="15.75" customHeight="1" x14ac:dyDescent="0.15">
      <c r="A755" s="20"/>
      <c r="B755" s="20"/>
      <c r="C755" s="20"/>
      <c r="D755" s="20"/>
      <c r="E755" s="20"/>
      <c r="F755" s="20"/>
    </row>
    <row r="756" spans="1:6" ht="15.75" customHeight="1" x14ac:dyDescent="0.15">
      <c r="A756" s="20"/>
      <c r="B756" s="20"/>
      <c r="C756" s="20"/>
      <c r="D756" s="20"/>
      <c r="E756" s="20"/>
      <c r="F756" s="20"/>
    </row>
    <row r="757" spans="1:6" ht="15.75" customHeight="1" x14ac:dyDescent="0.15">
      <c r="A757" s="20"/>
      <c r="B757" s="20"/>
      <c r="C757" s="20"/>
      <c r="D757" s="20"/>
      <c r="E757" s="20"/>
      <c r="F757" s="20"/>
    </row>
    <row r="758" spans="1:6" ht="15.75" customHeight="1" x14ac:dyDescent="0.15">
      <c r="A758" s="20"/>
      <c r="B758" s="20"/>
      <c r="C758" s="20"/>
      <c r="D758" s="20"/>
      <c r="E758" s="20"/>
      <c r="F758" s="20"/>
    </row>
    <row r="759" spans="1:6" ht="15.75" customHeight="1" x14ac:dyDescent="0.15">
      <c r="A759" s="20"/>
      <c r="B759" s="20"/>
      <c r="C759" s="20"/>
      <c r="D759" s="20"/>
      <c r="E759" s="20"/>
      <c r="F759" s="20"/>
    </row>
    <row r="760" spans="1:6" ht="15.75" customHeight="1" x14ac:dyDescent="0.15">
      <c r="A760" s="20"/>
      <c r="B760" s="20"/>
      <c r="C760" s="20"/>
      <c r="D760" s="20"/>
      <c r="E760" s="20"/>
      <c r="F760" s="20"/>
    </row>
    <row r="761" spans="1:6" ht="15.75" customHeight="1" x14ac:dyDescent="0.15">
      <c r="A761" s="20"/>
      <c r="B761" s="20"/>
      <c r="C761" s="20"/>
      <c r="D761" s="20"/>
      <c r="E761" s="20"/>
      <c r="F761" s="20"/>
    </row>
    <row r="762" spans="1:6" ht="15.75" customHeight="1" x14ac:dyDescent="0.15">
      <c r="A762" s="20"/>
      <c r="B762" s="20"/>
      <c r="C762" s="20"/>
      <c r="D762" s="20"/>
      <c r="E762" s="20"/>
      <c r="F762" s="20"/>
    </row>
    <row r="763" spans="1:6" ht="15.75" customHeight="1" x14ac:dyDescent="0.15">
      <c r="A763" s="20"/>
      <c r="B763" s="20"/>
      <c r="C763" s="20"/>
      <c r="D763" s="20"/>
      <c r="E763" s="20"/>
      <c r="F763" s="20"/>
    </row>
    <row r="764" spans="1:6" ht="15.75" customHeight="1" x14ac:dyDescent="0.15">
      <c r="A764" s="20"/>
      <c r="B764" s="20"/>
      <c r="C764" s="20"/>
      <c r="D764" s="20"/>
      <c r="E764" s="20"/>
      <c r="F764" s="20"/>
    </row>
    <row r="765" spans="1:6" ht="15.75" customHeight="1" x14ac:dyDescent="0.15">
      <c r="A765" s="20"/>
      <c r="B765" s="20"/>
      <c r="C765" s="20"/>
      <c r="D765" s="20"/>
      <c r="E765" s="20"/>
      <c r="F765" s="20"/>
    </row>
    <row r="766" spans="1:6" ht="15.75" customHeight="1" x14ac:dyDescent="0.15">
      <c r="A766" s="20"/>
      <c r="B766" s="20"/>
      <c r="C766" s="20"/>
      <c r="D766" s="20"/>
      <c r="E766" s="20"/>
      <c r="F766" s="20"/>
    </row>
    <row r="767" spans="1:6" ht="15.75" customHeight="1" x14ac:dyDescent="0.15">
      <c r="A767" s="20"/>
      <c r="B767" s="20"/>
      <c r="C767" s="20"/>
      <c r="D767" s="20"/>
      <c r="E767" s="20"/>
      <c r="F767" s="20"/>
    </row>
    <row r="768" spans="1:6" ht="15.75" customHeight="1" x14ac:dyDescent="0.15">
      <c r="A768" s="20"/>
      <c r="B768" s="20"/>
      <c r="C768" s="20"/>
      <c r="D768" s="20"/>
      <c r="E768" s="20"/>
      <c r="F768" s="20"/>
    </row>
    <row r="769" spans="1:6" ht="15.75" customHeight="1" x14ac:dyDescent="0.15">
      <c r="A769" s="20"/>
      <c r="B769" s="20"/>
      <c r="C769" s="20"/>
      <c r="D769" s="20"/>
      <c r="E769" s="20"/>
      <c r="F769" s="20"/>
    </row>
    <row r="770" spans="1:6" ht="15.75" customHeight="1" x14ac:dyDescent="0.15">
      <c r="A770" s="20"/>
      <c r="B770" s="20"/>
      <c r="C770" s="20"/>
      <c r="D770" s="20"/>
      <c r="E770" s="20"/>
      <c r="F770" s="20"/>
    </row>
    <row r="771" spans="1:6" ht="15.75" customHeight="1" x14ac:dyDescent="0.15">
      <c r="A771" s="20"/>
      <c r="B771" s="20"/>
      <c r="C771" s="20"/>
      <c r="D771" s="20"/>
      <c r="E771" s="20"/>
      <c r="F771" s="20"/>
    </row>
    <row r="772" spans="1:6" ht="15.75" customHeight="1" x14ac:dyDescent="0.15">
      <c r="A772" s="20"/>
      <c r="B772" s="20"/>
      <c r="C772" s="20"/>
      <c r="D772" s="20"/>
      <c r="E772" s="20"/>
      <c r="F772" s="20"/>
    </row>
    <row r="773" spans="1:6" ht="15.75" customHeight="1" x14ac:dyDescent="0.15">
      <c r="A773" s="20"/>
      <c r="B773" s="20"/>
      <c r="C773" s="20"/>
      <c r="D773" s="20"/>
      <c r="E773" s="20"/>
      <c r="F773" s="20"/>
    </row>
    <row r="774" spans="1:6" ht="15.75" customHeight="1" x14ac:dyDescent="0.15">
      <c r="A774" s="20"/>
      <c r="B774" s="20"/>
      <c r="C774" s="20"/>
      <c r="D774" s="20"/>
      <c r="E774" s="20"/>
      <c r="F774" s="20"/>
    </row>
    <row r="775" spans="1:6" ht="15.75" customHeight="1" x14ac:dyDescent="0.15">
      <c r="A775" s="20"/>
      <c r="B775" s="20"/>
      <c r="C775" s="20"/>
      <c r="D775" s="20"/>
      <c r="E775" s="20"/>
      <c r="F775" s="20"/>
    </row>
    <row r="776" spans="1:6" ht="15.75" customHeight="1" x14ac:dyDescent="0.15">
      <c r="A776" s="20"/>
      <c r="B776" s="20"/>
      <c r="C776" s="20"/>
      <c r="D776" s="20"/>
      <c r="E776" s="20"/>
      <c r="F776" s="20"/>
    </row>
    <row r="777" spans="1:6" ht="15.75" customHeight="1" x14ac:dyDescent="0.15">
      <c r="A777" s="20"/>
      <c r="B777" s="20"/>
      <c r="C777" s="20"/>
      <c r="D777" s="20"/>
      <c r="E777" s="20"/>
      <c r="F777" s="20"/>
    </row>
    <row r="778" spans="1:6" ht="15.75" customHeight="1" x14ac:dyDescent="0.15">
      <c r="A778" s="20"/>
      <c r="B778" s="20"/>
      <c r="C778" s="20"/>
      <c r="D778" s="20"/>
      <c r="E778" s="20"/>
      <c r="F778" s="20"/>
    </row>
    <row r="779" spans="1:6" ht="15.75" customHeight="1" x14ac:dyDescent="0.15">
      <c r="A779" s="20"/>
      <c r="B779" s="20"/>
      <c r="C779" s="20"/>
      <c r="D779" s="20"/>
      <c r="E779" s="20"/>
      <c r="F779" s="20"/>
    </row>
    <row r="780" spans="1:6" ht="15.75" customHeight="1" x14ac:dyDescent="0.15">
      <c r="A780" s="20"/>
      <c r="B780" s="20"/>
      <c r="C780" s="20"/>
      <c r="D780" s="20"/>
      <c r="E780" s="20"/>
      <c r="F780" s="20"/>
    </row>
    <row r="781" spans="1:6" ht="15.75" customHeight="1" x14ac:dyDescent="0.15">
      <c r="A781" s="20"/>
      <c r="B781" s="20"/>
      <c r="C781" s="20"/>
      <c r="D781" s="20"/>
      <c r="E781" s="20"/>
      <c r="F781" s="20"/>
    </row>
    <row r="782" spans="1:6" ht="15.75" customHeight="1" x14ac:dyDescent="0.15">
      <c r="A782" s="20"/>
      <c r="B782" s="20"/>
      <c r="C782" s="20"/>
      <c r="D782" s="20"/>
      <c r="E782" s="20"/>
      <c r="F782" s="20"/>
    </row>
    <row r="783" spans="1:6" ht="15.75" customHeight="1" x14ac:dyDescent="0.15">
      <c r="A783" s="20"/>
      <c r="B783" s="20"/>
      <c r="C783" s="20"/>
      <c r="D783" s="20"/>
      <c r="E783" s="20"/>
      <c r="F783" s="20"/>
    </row>
    <row r="784" spans="1:6" ht="15.75" customHeight="1" x14ac:dyDescent="0.15">
      <c r="A784" s="20"/>
      <c r="B784" s="20"/>
      <c r="C784" s="20"/>
      <c r="D784" s="20"/>
      <c r="E784" s="20"/>
      <c r="F784" s="20"/>
    </row>
    <row r="785" spans="1:6" ht="15.75" customHeight="1" x14ac:dyDescent="0.15">
      <c r="A785" s="20"/>
      <c r="B785" s="20"/>
      <c r="C785" s="20"/>
      <c r="D785" s="20"/>
      <c r="E785" s="20"/>
      <c r="F785" s="20"/>
    </row>
    <row r="786" spans="1:6" ht="15.75" customHeight="1" x14ac:dyDescent="0.15">
      <c r="A786" s="20"/>
      <c r="B786" s="20"/>
      <c r="C786" s="20"/>
      <c r="D786" s="20"/>
      <c r="E786" s="20"/>
      <c r="F786" s="20"/>
    </row>
    <row r="787" spans="1:6" ht="15.75" customHeight="1" x14ac:dyDescent="0.15">
      <c r="A787" s="20"/>
      <c r="B787" s="20"/>
      <c r="C787" s="20"/>
      <c r="D787" s="20"/>
      <c r="E787" s="20"/>
      <c r="F787" s="20"/>
    </row>
    <row r="788" spans="1:6" ht="15.75" customHeight="1" x14ac:dyDescent="0.15">
      <c r="A788" s="20"/>
      <c r="B788" s="20"/>
      <c r="C788" s="20"/>
      <c r="D788" s="20"/>
      <c r="E788" s="20"/>
      <c r="F788" s="20"/>
    </row>
    <row r="789" spans="1:6" ht="15.75" customHeight="1" x14ac:dyDescent="0.15">
      <c r="A789" s="20"/>
      <c r="B789" s="20"/>
      <c r="C789" s="20"/>
      <c r="D789" s="20"/>
      <c r="E789" s="20"/>
      <c r="F789" s="20"/>
    </row>
    <row r="790" spans="1:6" ht="15.75" customHeight="1" x14ac:dyDescent="0.15">
      <c r="A790" s="20"/>
      <c r="B790" s="20"/>
      <c r="C790" s="20"/>
      <c r="D790" s="20"/>
      <c r="E790" s="20"/>
      <c r="F790" s="20"/>
    </row>
    <row r="791" spans="1:6" ht="15.75" customHeight="1" x14ac:dyDescent="0.15">
      <c r="A791" s="20"/>
      <c r="B791" s="20"/>
      <c r="C791" s="20"/>
      <c r="D791" s="20"/>
      <c r="E791" s="20"/>
      <c r="F791" s="20"/>
    </row>
    <row r="792" spans="1:6" ht="15.75" customHeight="1" x14ac:dyDescent="0.15">
      <c r="A792" s="20"/>
      <c r="B792" s="20"/>
      <c r="C792" s="20"/>
      <c r="D792" s="20"/>
      <c r="E792" s="20"/>
      <c r="F792" s="20"/>
    </row>
    <row r="793" spans="1:6" ht="15.75" customHeight="1" x14ac:dyDescent="0.15">
      <c r="A793" s="20"/>
      <c r="B793" s="20"/>
      <c r="C793" s="20"/>
      <c r="D793" s="20"/>
      <c r="E793" s="20"/>
      <c r="F793" s="20"/>
    </row>
    <row r="794" spans="1:6" ht="15.75" customHeight="1" x14ac:dyDescent="0.15">
      <c r="A794" s="20"/>
      <c r="B794" s="20"/>
      <c r="C794" s="20"/>
      <c r="D794" s="20"/>
      <c r="E794" s="20"/>
      <c r="F794" s="20"/>
    </row>
    <row r="795" spans="1:6" ht="15.75" customHeight="1" x14ac:dyDescent="0.15">
      <c r="A795" s="20"/>
      <c r="B795" s="20"/>
      <c r="C795" s="20"/>
      <c r="D795" s="20"/>
      <c r="E795" s="20"/>
      <c r="F795" s="20"/>
    </row>
    <row r="796" spans="1:6" ht="15.75" customHeight="1" x14ac:dyDescent="0.15">
      <c r="A796" s="20"/>
      <c r="B796" s="20"/>
      <c r="C796" s="20"/>
      <c r="D796" s="20"/>
      <c r="E796" s="20"/>
      <c r="F796" s="20"/>
    </row>
    <row r="797" spans="1:6" ht="15.75" customHeight="1" x14ac:dyDescent="0.15">
      <c r="A797" s="20"/>
      <c r="B797" s="20"/>
      <c r="C797" s="20"/>
      <c r="D797" s="20"/>
      <c r="E797" s="20"/>
      <c r="F797" s="20"/>
    </row>
    <row r="798" spans="1:6" ht="15.75" customHeight="1" x14ac:dyDescent="0.15">
      <c r="A798" s="20"/>
      <c r="B798" s="20"/>
      <c r="C798" s="20"/>
      <c r="D798" s="20"/>
      <c r="E798" s="20"/>
      <c r="F798" s="20"/>
    </row>
    <row r="799" spans="1:6" ht="15.75" customHeight="1" x14ac:dyDescent="0.15">
      <c r="A799" s="20"/>
      <c r="B799" s="20"/>
      <c r="C799" s="20"/>
      <c r="D799" s="20"/>
      <c r="E799" s="20"/>
      <c r="F799" s="20"/>
    </row>
    <row r="800" spans="1:6" ht="15.75" customHeight="1" x14ac:dyDescent="0.15">
      <c r="A800" s="20"/>
      <c r="B800" s="20"/>
      <c r="C800" s="20"/>
      <c r="D800" s="20"/>
      <c r="E800" s="20"/>
      <c r="F800" s="20"/>
    </row>
    <row r="801" spans="1:6" ht="15.75" customHeight="1" x14ac:dyDescent="0.15">
      <c r="A801" s="20"/>
      <c r="B801" s="20"/>
      <c r="C801" s="20"/>
      <c r="D801" s="20"/>
      <c r="E801" s="20"/>
      <c r="F801" s="20"/>
    </row>
    <row r="802" spans="1:6" ht="15.75" customHeight="1" x14ac:dyDescent="0.15">
      <c r="A802" s="20"/>
      <c r="B802" s="20"/>
      <c r="C802" s="20"/>
      <c r="D802" s="20"/>
      <c r="E802" s="20"/>
      <c r="F802" s="20"/>
    </row>
    <row r="803" spans="1:6" ht="15.75" customHeight="1" x14ac:dyDescent="0.15">
      <c r="A803" s="20"/>
      <c r="B803" s="20"/>
      <c r="C803" s="20"/>
      <c r="D803" s="20"/>
      <c r="E803" s="20"/>
      <c r="F803" s="20"/>
    </row>
    <row r="804" spans="1:6" ht="15.75" customHeight="1" x14ac:dyDescent="0.15">
      <c r="A804" s="20"/>
      <c r="B804" s="20"/>
      <c r="C804" s="20"/>
      <c r="D804" s="20"/>
      <c r="E804" s="20"/>
      <c r="F804" s="20"/>
    </row>
    <row r="805" spans="1:6" ht="15.75" customHeight="1" x14ac:dyDescent="0.15">
      <c r="A805" s="20"/>
      <c r="B805" s="20"/>
      <c r="C805" s="20"/>
      <c r="D805" s="20"/>
      <c r="E805" s="20"/>
      <c r="F805" s="20"/>
    </row>
    <row r="806" spans="1:6" ht="15.75" customHeight="1" x14ac:dyDescent="0.15">
      <c r="A806" s="20"/>
      <c r="B806" s="20"/>
      <c r="C806" s="20"/>
      <c r="D806" s="20"/>
      <c r="E806" s="20"/>
      <c r="F806" s="20"/>
    </row>
    <row r="807" spans="1:6" ht="15.75" customHeight="1" x14ac:dyDescent="0.15">
      <c r="A807" s="20"/>
      <c r="B807" s="20"/>
      <c r="C807" s="20"/>
      <c r="D807" s="20"/>
      <c r="E807" s="20"/>
      <c r="F807" s="20"/>
    </row>
    <row r="808" spans="1:6" ht="15.75" customHeight="1" x14ac:dyDescent="0.15">
      <c r="A808" s="20"/>
      <c r="B808" s="20"/>
      <c r="C808" s="20"/>
      <c r="D808" s="20"/>
      <c r="E808" s="20"/>
      <c r="F808" s="20"/>
    </row>
    <row r="809" spans="1:6" ht="15.75" customHeight="1" x14ac:dyDescent="0.15">
      <c r="A809" s="20"/>
      <c r="B809" s="20"/>
      <c r="C809" s="20"/>
      <c r="D809" s="20"/>
      <c r="E809" s="20"/>
      <c r="F809" s="20"/>
    </row>
    <row r="810" spans="1:6" ht="15.75" customHeight="1" x14ac:dyDescent="0.15">
      <c r="A810" s="20"/>
      <c r="B810" s="20"/>
      <c r="C810" s="20"/>
      <c r="D810" s="20"/>
      <c r="E810" s="20"/>
      <c r="F810" s="20"/>
    </row>
    <row r="811" spans="1:6" ht="15.75" customHeight="1" x14ac:dyDescent="0.15">
      <c r="A811" s="20"/>
      <c r="B811" s="20"/>
      <c r="C811" s="20"/>
      <c r="D811" s="20"/>
      <c r="E811" s="20"/>
      <c r="F811" s="20"/>
    </row>
    <row r="812" spans="1:6" ht="15.75" customHeight="1" x14ac:dyDescent="0.15">
      <c r="A812" s="20"/>
      <c r="B812" s="20"/>
      <c r="C812" s="20"/>
      <c r="D812" s="20"/>
      <c r="E812" s="20"/>
      <c r="F812" s="20"/>
    </row>
    <row r="813" spans="1:6" ht="15.75" customHeight="1" x14ac:dyDescent="0.15">
      <c r="A813" s="20"/>
      <c r="B813" s="20"/>
      <c r="C813" s="20"/>
      <c r="D813" s="20"/>
      <c r="E813" s="20"/>
      <c r="F813" s="20"/>
    </row>
    <row r="814" spans="1:6" ht="15.75" customHeight="1" x14ac:dyDescent="0.15">
      <c r="A814" s="20"/>
      <c r="B814" s="20"/>
      <c r="C814" s="20"/>
      <c r="D814" s="20"/>
      <c r="E814" s="20"/>
      <c r="F814" s="20"/>
    </row>
    <row r="815" spans="1:6" ht="15.75" customHeight="1" x14ac:dyDescent="0.15">
      <c r="A815" s="20"/>
      <c r="B815" s="20"/>
      <c r="C815" s="20"/>
      <c r="D815" s="20"/>
      <c r="E815" s="20"/>
      <c r="F815" s="20"/>
    </row>
    <row r="816" spans="1:6" ht="15.75" customHeight="1" x14ac:dyDescent="0.15">
      <c r="A816" s="20"/>
      <c r="B816" s="20"/>
      <c r="C816" s="20"/>
      <c r="D816" s="20"/>
      <c r="E816" s="20"/>
      <c r="F816" s="20"/>
    </row>
    <row r="817" spans="1:6" ht="15.75" customHeight="1" x14ac:dyDescent="0.15">
      <c r="A817" s="20"/>
      <c r="B817" s="20"/>
      <c r="C817" s="20"/>
      <c r="D817" s="20"/>
      <c r="E817" s="20"/>
      <c r="F817" s="20"/>
    </row>
    <row r="818" spans="1:6" ht="15.75" customHeight="1" x14ac:dyDescent="0.15">
      <c r="A818" s="20"/>
      <c r="B818" s="20"/>
      <c r="C818" s="20"/>
      <c r="D818" s="20"/>
      <c r="E818" s="20"/>
      <c r="F818" s="20"/>
    </row>
    <row r="819" spans="1:6" ht="15.75" customHeight="1" x14ac:dyDescent="0.15">
      <c r="A819" s="20"/>
      <c r="B819" s="20"/>
      <c r="C819" s="20"/>
      <c r="D819" s="20"/>
      <c r="E819" s="20"/>
      <c r="F819" s="20"/>
    </row>
    <row r="820" spans="1:6" ht="15.75" customHeight="1" x14ac:dyDescent="0.15">
      <c r="A820" s="20"/>
      <c r="B820" s="20"/>
      <c r="C820" s="20"/>
      <c r="D820" s="20"/>
      <c r="E820" s="20"/>
      <c r="F820" s="20"/>
    </row>
    <row r="821" spans="1:6" ht="15.75" customHeight="1" x14ac:dyDescent="0.15">
      <c r="A821" s="20"/>
      <c r="B821" s="20"/>
      <c r="C821" s="20"/>
      <c r="D821" s="20"/>
      <c r="E821" s="20"/>
      <c r="F821" s="20"/>
    </row>
    <row r="822" spans="1:6" ht="15.75" customHeight="1" x14ac:dyDescent="0.15">
      <c r="A822" s="20"/>
      <c r="B822" s="20"/>
      <c r="C822" s="20"/>
      <c r="D822" s="20"/>
      <c r="E822" s="20"/>
      <c r="F822" s="20"/>
    </row>
    <row r="823" spans="1:6" ht="15.75" customHeight="1" x14ac:dyDescent="0.15">
      <c r="A823" s="20"/>
      <c r="B823" s="20"/>
      <c r="C823" s="20"/>
      <c r="D823" s="20"/>
      <c r="E823" s="20"/>
      <c r="F823" s="20"/>
    </row>
    <row r="824" spans="1:6" ht="15.75" customHeight="1" x14ac:dyDescent="0.15">
      <c r="A824" s="20"/>
      <c r="B824" s="20"/>
      <c r="C824" s="20"/>
      <c r="D824" s="20"/>
      <c r="E824" s="20"/>
      <c r="F824" s="20"/>
    </row>
    <row r="825" spans="1:6" ht="15.75" customHeight="1" x14ac:dyDescent="0.15">
      <c r="A825" s="20"/>
      <c r="B825" s="20"/>
      <c r="C825" s="20"/>
      <c r="D825" s="20"/>
      <c r="E825" s="20"/>
      <c r="F825" s="20"/>
    </row>
    <row r="826" spans="1:6" ht="15.75" customHeight="1" x14ac:dyDescent="0.15">
      <c r="A826" s="20"/>
      <c r="B826" s="20"/>
      <c r="C826" s="20"/>
      <c r="D826" s="20"/>
      <c r="E826" s="20"/>
      <c r="F826" s="20"/>
    </row>
    <row r="827" spans="1:6" ht="15.75" customHeight="1" x14ac:dyDescent="0.15">
      <c r="A827" s="20"/>
      <c r="B827" s="20"/>
      <c r="C827" s="20"/>
      <c r="D827" s="20"/>
      <c r="E827" s="20"/>
      <c r="F827" s="20"/>
    </row>
    <row r="828" spans="1:6" ht="15.75" customHeight="1" x14ac:dyDescent="0.15">
      <c r="A828" s="20"/>
      <c r="B828" s="20"/>
      <c r="C828" s="20"/>
      <c r="D828" s="20"/>
      <c r="E828" s="20"/>
      <c r="F828" s="20"/>
    </row>
    <row r="829" spans="1:6" ht="15.75" customHeight="1" x14ac:dyDescent="0.15">
      <c r="A829" s="20"/>
      <c r="B829" s="20"/>
      <c r="C829" s="20"/>
      <c r="D829" s="20"/>
      <c r="E829" s="20"/>
      <c r="F829" s="20"/>
    </row>
    <row r="830" spans="1:6" ht="15.75" customHeight="1" x14ac:dyDescent="0.15">
      <c r="A830" s="20"/>
      <c r="B830" s="20"/>
      <c r="C830" s="20"/>
      <c r="D830" s="20"/>
      <c r="E830" s="20"/>
      <c r="F830" s="20"/>
    </row>
    <row r="831" spans="1:6" ht="15.75" customHeight="1" x14ac:dyDescent="0.15">
      <c r="A831" s="20"/>
      <c r="B831" s="20"/>
      <c r="C831" s="20"/>
      <c r="D831" s="20"/>
      <c r="E831" s="20"/>
      <c r="F831" s="20"/>
    </row>
    <row r="832" spans="1:6" ht="15.75" customHeight="1" x14ac:dyDescent="0.15">
      <c r="A832" s="20"/>
      <c r="B832" s="20"/>
      <c r="C832" s="20"/>
      <c r="D832" s="20"/>
      <c r="E832" s="20"/>
      <c r="F832" s="20"/>
    </row>
    <row r="833" spans="1:6" ht="15.75" customHeight="1" x14ac:dyDescent="0.15">
      <c r="A833" s="20"/>
      <c r="B833" s="20"/>
      <c r="C833" s="20"/>
      <c r="D833" s="20"/>
      <c r="E833" s="20"/>
      <c r="F833" s="20"/>
    </row>
    <row r="834" spans="1:6" ht="15.75" customHeight="1" x14ac:dyDescent="0.15">
      <c r="A834" s="20"/>
      <c r="B834" s="20"/>
      <c r="C834" s="20"/>
      <c r="D834" s="20"/>
      <c r="E834" s="20"/>
      <c r="F834" s="20"/>
    </row>
    <row r="835" spans="1:6" ht="15.75" customHeight="1" x14ac:dyDescent="0.15">
      <c r="A835" s="20"/>
      <c r="B835" s="20"/>
      <c r="C835" s="20"/>
      <c r="D835" s="20"/>
      <c r="E835" s="20"/>
      <c r="F835" s="20"/>
    </row>
    <row r="836" spans="1:6" ht="15.75" customHeight="1" x14ac:dyDescent="0.15">
      <c r="A836" s="20"/>
      <c r="B836" s="20"/>
      <c r="C836" s="20"/>
      <c r="D836" s="20"/>
      <c r="E836" s="20"/>
      <c r="F836" s="20"/>
    </row>
    <row r="837" spans="1:6" ht="15.75" customHeight="1" x14ac:dyDescent="0.15">
      <c r="A837" s="20"/>
      <c r="B837" s="20"/>
      <c r="C837" s="20"/>
      <c r="D837" s="20"/>
      <c r="E837" s="20"/>
      <c r="F837" s="20"/>
    </row>
    <row r="838" spans="1:6" ht="15.75" customHeight="1" x14ac:dyDescent="0.15">
      <c r="A838" s="20"/>
      <c r="B838" s="20"/>
      <c r="C838" s="20"/>
      <c r="D838" s="20"/>
      <c r="E838" s="20"/>
      <c r="F838" s="20"/>
    </row>
    <row r="839" spans="1:6" ht="15.75" customHeight="1" x14ac:dyDescent="0.15">
      <c r="A839" s="20"/>
      <c r="B839" s="20"/>
      <c r="C839" s="20"/>
      <c r="D839" s="20"/>
      <c r="E839" s="20"/>
      <c r="F839" s="20"/>
    </row>
    <row r="840" spans="1:6" ht="15.75" customHeight="1" x14ac:dyDescent="0.15">
      <c r="A840" s="20"/>
      <c r="B840" s="20"/>
      <c r="C840" s="20"/>
      <c r="D840" s="20"/>
      <c r="E840" s="20"/>
      <c r="F840" s="20"/>
    </row>
    <row r="841" spans="1:6" ht="15.75" customHeight="1" x14ac:dyDescent="0.15">
      <c r="A841" s="20"/>
      <c r="B841" s="20"/>
      <c r="C841" s="20"/>
      <c r="D841" s="20"/>
      <c r="E841" s="20"/>
      <c r="F841" s="20"/>
    </row>
    <row r="842" spans="1:6" ht="15.75" customHeight="1" x14ac:dyDescent="0.15">
      <c r="A842" s="20"/>
      <c r="B842" s="20"/>
      <c r="C842" s="20"/>
      <c r="D842" s="20"/>
      <c r="E842" s="20"/>
      <c r="F842" s="20"/>
    </row>
    <row r="843" spans="1:6" ht="15.75" customHeight="1" x14ac:dyDescent="0.15">
      <c r="A843" s="20"/>
      <c r="B843" s="20"/>
      <c r="C843" s="20"/>
      <c r="D843" s="20"/>
      <c r="E843" s="20"/>
      <c r="F843" s="20"/>
    </row>
    <row r="844" spans="1:6" ht="15.75" customHeight="1" x14ac:dyDescent="0.15">
      <c r="A844" s="20"/>
      <c r="B844" s="20"/>
      <c r="C844" s="20"/>
      <c r="D844" s="20"/>
      <c r="E844" s="20"/>
      <c r="F844" s="20"/>
    </row>
    <row r="845" spans="1:6" ht="15.75" customHeight="1" x14ac:dyDescent="0.15">
      <c r="A845" s="20"/>
      <c r="B845" s="20"/>
      <c r="C845" s="20"/>
      <c r="D845" s="20"/>
      <c r="E845" s="20"/>
      <c r="F845" s="20"/>
    </row>
    <row r="846" spans="1:6" ht="15.75" customHeight="1" x14ac:dyDescent="0.15">
      <c r="A846" s="20"/>
      <c r="B846" s="20"/>
      <c r="C846" s="20"/>
      <c r="D846" s="20"/>
      <c r="E846" s="20"/>
      <c r="F846" s="20"/>
    </row>
    <row r="847" spans="1:6" ht="15.75" customHeight="1" x14ac:dyDescent="0.15">
      <c r="A847" s="20"/>
      <c r="B847" s="20"/>
      <c r="C847" s="20"/>
      <c r="D847" s="20"/>
      <c r="E847" s="20"/>
      <c r="F847" s="20"/>
    </row>
    <row r="848" spans="1:6" ht="15.75" customHeight="1" x14ac:dyDescent="0.15">
      <c r="A848" s="20"/>
      <c r="B848" s="20"/>
      <c r="C848" s="20"/>
      <c r="D848" s="20"/>
      <c r="E848" s="20"/>
      <c r="F848" s="20"/>
    </row>
    <row r="849" spans="1:6" ht="15.75" customHeight="1" x14ac:dyDescent="0.15">
      <c r="A849" s="20"/>
      <c r="B849" s="20"/>
      <c r="C849" s="20"/>
      <c r="D849" s="20"/>
      <c r="E849" s="20"/>
      <c r="F849" s="20"/>
    </row>
    <row r="850" spans="1:6" ht="15.75" customHeight="1" x14ac:dyDescent="0.15">
      <c r="A850" s="20"/>
      <c r="B850" s="20"/>
      <c r="C850" s="20"/>
      <c r="D850" s="20"/>
      <c r="E850" s="20"/>
      <c r="F850" s="20"/>
    </row>
    <row r="851" spans="1:6" ht="15.75" customHeight="1" x14ac:dyDescent="0.15">
      <c r="A851" s="20"/>
      <c r="B851" s="20"/>
      <c r="C851" s="20"/>
      <c r="D851" s="20"/>
      <c r="E851" s="20"/>
      <c r="F851" s="20"/>
    </row>
    <row r="852" spans="1:6" ht="15.75" customHeight="1" x14ac:dyDescent="0.15">
      <c r="A852" s="20"/>
      <c r="B852" s="20"/>
      <c r="C852" s="20"/>
      <c r="D852" s="20"/>
      <c r="E852" s="20"/>
      <c r="F852" s="20"/>
    </row>
    <row r="853" spans="1:6" ht="15.75" customHeight="1" x14ac:dyDescent="0.15">
      <c r="A853" s="20"/>
      <c r="B853" s="20"/>
      <c r="C853" s="20"/>
      <c r="D853" s="20"/>
      <c r="E853" s="20"/>
      <c r="F853" s="20"/>
    </row>
    <row r="854" spans="1:6" ht="15.75" customHeight="1" x14ac:dyDescent="0.15">
      <c r="A854" s="20"/>
      <c r="B854" s="20"/>
      <c r="C854" s="20"/>
      <c r="D854" s="20"/>
      <c r="E854" s="20"/>
      <c r="F854" s="20"/>
    </row>
    <row r="855" spans="1:6" ht="15.75" customHeight="1" x14ac:dyDescent="0.15">
      <c r="A855" s="20"/>
      <c r="B855" s="20"/>
      <c r="C855" s="20"/>
      <c r="D855" s="20"/>
      <c r="E855" s="20"/>
      <c r="F855" s="20"/>
    </row>
    <row r="856" spans="1:6" ht="15.75" customHeight="1" x14ac:dyDescent="0.15">
      <c r="A856" s="20"/>
      <c r="B856" s="20"/>
      <c r="C856" s="20"/>
      <c r="D856" s="20"/>
      <c r="E856" s="20"/>
      <c r="F856" s="20"/>
    </row>
    <row r="857" spans="1:6" ht="15.75" customHeight="1" x14ac:dyDescent="0.15">
      <c r="A857" s="20"/>
      <c r="B857" s="20"/>
      <c r="C857" s="20"/>
      <c r="D857" s="20"/>
      <c r="E857" s="20"/>
      <c r="F857" s="20"/>
    </row>
    <row r="858" spans="1:6" ht="15.75" customHeight="1" x14ac:dyDescent="0.15">
      <c r="A858" s="20"/>
      <c r="B858" s="20"/>
      <c r="C858" s="20"/>
      <c r="D858" s="20"/>
      <c r="E858" s="20"/>
      <c r="F858" s="20"/>
    </row>
    <row r="859" spans="1:6" ht="15.75" customHeight="1" x14ac:dyDescent="0.15">
      <c r="A859" s="20"/>
      <c r="B859" s="20"/>
      <c r="C859" s="20"/>
      <c r="D859" s="20"/>
      <c r="E859" s="20"/>
      <c r="F859" s="20"/>
    </row>
    <row r="860" spans="1:6" ht="15.75" customHeight="1" x14ac:dyDescent="0.15">
      <c r="A860" s="20"/>
      <c r="B860" s="20"/>
      <c r="C860" s="20"/>
      <c r="D860" s="20"/>
      <c r="E860" s="20"/>
      <c r="F860" s="20"/>
    </row>
    <row r="861" spans="1:6" ht="15.75" customHeight="1" x14ac:dyDescent="0.15">
      <c r="A861" s="20"/>
      <c r="B861" s="20"/>
      <c r="C861" s="20"/>
      <c r="D861" s="20"/>
      <c r="E861" s="20"/>
      <c r="F861" s="20"/>
    </row>
    <row r="862" spans="1:6" ht="15.75" customHeight="1" x14ac:dyDescent="0.15">
      <c r="A862" s="20"/>
      <c r="B862" s="20"/>
      <c r="C862" s="20"/>
      <c r="D862" s="20"/>
      <c r="E862" s="20"/>
      <c r="F862" s="20"/>
    </row>
    <row r="863" spans="1:6" ht="15.75" customHeight="1" x14ac:dyDescent="0.15">
      <c r="A863" s="20"/>
      <c r="B863" s="20"/>
      <c r="C863" s="20"/>
      <c r="D863" s="20"/>
      <c r="E863" s="20"/>
      <c r="F863" s="20"/>
    </row>
    <row r="864" spans="1:6" ht="15.75" customHeight="1" x14ac:dyDescent="0.15">
      <c r="A864" s="20"/>
      <c r="B864" s="20"/>
      <c r="C864" s="20"/>
      <c r="D864" s="20"/>
      <c r="E864" s="20"/>
      <c r="F864" s="20"/>
    </row>
    <row r="865" spans="1:6" ht="15.75" customHeight="1" x14ac:dyDescent="0.15">
      <c r="A865" s="20"/>
      <c r="B865" s="20"/>
      <c r="C865" s="20"/>
      <c r="D865" s="20"/>
      <c r="E865" s="20"/>
      <c r="F865" s="20"/>
    </row>
    <row r="866" spans="1:6" ht="15.75" customHeight="1" x14ac:dyDescent="0.15">
      <c r="A866" s="20"/>
      <c r="B866" s="20"/>
      <c r="C866" s="20"/>
      <c r="D866" s="20"/>
      <c r="E866" s="20"/>
      <c r="F866" s="20"/>
    </row>
    <row r="867" spans="1:6" ht="15.75" customHeight="1" x14ac:dyDescent="0.15">
      <c r="A867" s="20"/>
      <c r="B867" s="20"/>
      <c r="C867" s="20"/>
      <c r="D867" s="20"/>
      <c r="E867" s="20"/>
      <c r="F867" s="20"/>
    </row>
    <row r="868" spans="1:6" ht="15.75" customHeight="1" x14ac:dyDescent="0.15">
      <c r="A868" s="20"/>
      <c r="B868" s="20"/>
      <c r="C868" s="20"/>
      <c r="D868" s="20"/>
      <c r="E868" s="20"/>
      <c r="F868" s="20"/>
    </row>
    <row r="869" spans="1:6" ht="15.75" customHeight="1" x14ac:dyDescent="0.15">
      <c r="A869" s="20"/>
      <c r="B869" s="20"/>
      <c r="C869" s="20"/>
      <c r="D869" s="20"/>
      <c r="E869" s="20"/>
      <c r="F869" s="20"/>
    </row>
    <row r="870" spans="1:6" ht="15.75" customHeight="1" x14ac:dyDescent="0.15">
      <c r="A870" s="20"/>
      <c r="B870" s="20"/>
      <c r="C870" s="20"/>
      <c r="D870" s="20"/>
      <c r="E870" s="20"/>
      <c r="F870" s="20"/>
    </row>
    <row r="871" spans="1:6" ht="15.75" customHeight="1" x14ac:dyDescent="0.15">
      <c r="A871" s="20"/>
      <c r="B871" s="20"/>
      <c r="C871" s="20"/>
      <c r="D871" s="20"/>
      <c r="E871" s="20"/>
      <c r="F871" s="20"/>
    </row>
    <row r="872" spans="1:6" ht="15.75" customHeight="1" x14ac:dyDescent="0.15">
      <c r="A872" s="20"/>
      <c r="B872" s="20"/>
      <c r="C872" s="20"/>
      <c r="D872" s="20"/>
      <c r="E872" s="20"/>
      <c r="F872" s="20"/>
    </row>
    <row r="873" spans="1:6" ht="15.75" customHeight="1" x14ac:dyDescent="0.15">
      <c r="A873" s="20"/>
      <c r="B873" s="20"/>
      <c r="C873" s="20"/>
      <c r="D873" s="20"/>
      <c r="E873" s="20"/>
      <c r="F873" s="20"/>
    </row>
    <row r="874" spans="1:6" ht="15.75" customHeight="1" x14ac:dyDescent="0.15">
      <c r="A874" s="20"/>
      <c r="B874" s="20"/>
      <c r="C874" s="20"/>
      <c r="D874" s="20"/>
      <c r="E874" s="20"/>
      <c r="F874" s="20"/>
    </row>
    <row r="875" spans="1:6" ht="15.75" customHeight="1" x14ac:dyDescent="0.15">
      <c r="A875" s="20"/>
      <c r="B875" s="20"/>
      <c r="C875" s="20"/>
      <c r="D875" s="20"/>
      <c r="E875" s="20"/>
      <c r="F875" s="20"/>
    </row>
    <row r="876" spans="1:6" ht="15.75" customHeight="1" x14ac:dyDescent="0.15">
      <c r="A876" s="20"/>
      <c r="B876" s="20"/>
      <c r="C876" s="20"/>
      <c r="D876" s="20"/>
      <c r="E876" s="20"/>
      <c r="F876" s="20"/>
    </row>
    <row r="877" spans="1:6" ht="15.75" customHeight="1" x14ac:dyDescent="0.15">
      <c r="A877" s="20"/>
      <c r="B877" s="20"/>
      <c r="C877" s="20"/>
      <c r="D877" s="20"/>
      <c r="E877" s="20"/>
      <c r="F877" s="20"/>
    </row>
    <row r="878" spans="1:6" ht="15.75" customHeight="1" x14ac:dyDescent="0.15">
      <c r="A878" s="20"/>
      <c r="B878" s="20"/>
      <c r="C878" s="20"/>
      <c r="D878" s="20"/>
      <c r="E878" s="20"/>
      <c r="F878" s="20"/>
    </row>
    <row r="879" spans="1:6" ht="15.75" customHeight="1" x14ac:dyDescent="0.15">
      <c r="A879" s="20"/>
      <c r="B879" s="20"/>
      <c r="C879" s="20"/>
      <c r="D879" s="20"/>
      <c r="E879" s="20"/>
      <c r="F879" s="20"/>
    </row>
    <row r="880" spans="1:6" ht="15.75" customHeight="1" x14ac:dyDescent="0.15">
      <c r="A880" s="20"/>
      <c r="B880" s="20"/>
      <c r="C880" s="20"/>
      <c r="D880" s="20"/>
      <c r="E880" s="20"/>
      <c r="F880" s="20"/>
    </row>
    <row r="881" spans="1:6" ht="15.75" customHeight="1" x14ac:dyDescent="0.15">
      <c r="A881" s="20"/>
      <c r="B881" s="20"/>
      <c r="C881" s="20"/>
      <c r="D881" s="20"/>
      <c r="E881" s="20"/>
      <c r="F881" s="20"/>
    </row>
    <row r="882" spans="1:6" ht="15.75" customHeight="1" x14ac:dyDescent="0.15">
      <c r="A882" s="20"/>
      <c r="B882" s="20"/>
      <c r="C882" s="20"/>
      <c r="D882" s="20"/>
      <c r="E882" s="20"/>
      <c r="F882" s="20"/>
    </row>
    <row r="883" spans="1:6" ht="15.75" customHeight="1" x14ac:dyDescent="0.15">
      <c r="A883" s="20"/>
      <c r="B883" s="20"/>
      <c r="C883" s="20"/>
      <c r="D883" s="20"/>
      <c r="E883" s="20"/>
      <c r="F883" s="20"/>
    </row>
    <row r="884" spans="1:6" ht="15.75" customHeight="1" x14ac:dyDescent="0.15">
      <c r="A884" s="20"/>
      <c r="B884" s="20"/>
      <c r="C884" s="20"/>
      <c r="D884" s="20"/>
      <c r="E884" s="20"/>
      <c r="F884" s="20"/>
    </row>
    <row r="885" spans="1:6" ht="15.75" customHeight="1" x14ac:dyDescent="0.15">
      <c r="A885" s="20"/>
      <c r="B885" s="20"/>
      <c r="C885" s="20"/>
      <c r="D885" s="20"/>
      <c r="E885" s="20"/>
      <c r="F885" s="20"/>
    </row>
    <row r="886" spans="1:6" ht="15.75" customHeight="1" x14ac:dyDescent="0.15">
      <c r="A886" s="20"/>
      <c r="B886" s="20"/>
      <c r="C886" s="20"/>
      <c r="D886" s="20"/>
      <c r="E886" s="20"/>
      <c r="F886" s="20"/>
    </row>
    <row r="887" spans="1:6" ht="15.75" customHeight="1" x14ac:dyDescent="0.15">
      <c r="A887" s="20"/>
      <c r="B887" s="20"/>
      <c r="C887" s="20"/>
      <c r="D887" s="20"/>
      <c r="E887" s="20"/>
      <c r="F887" s="20"/>
    </row>
    <row r="888" spans="1:6" ht="15.75" customHeight="1" x14ac:dyDescent="0.15">
      <c r="A888" s="20"/>
      <c r="B888" s="20"/>
      <c r="C888" s="20"/>
      <c r="D888" s="20"/>
      <c r="E888" s="20"/>
      <c r="F888" s="20"/>
    </row>
    <row r="889" spans="1:6" ht="15.75" customHeight="1" x14ac:dyDescent="0.15">
      <c r="A889" s="20"/>
      <c r="B889" s="20"/>
      <c r="C889" s="20"/>
      <c r="D889" s="20"/>
      <c r="E889" s="20"/>
      <c r="F889" s="20"/>
    </row>
    <row r="890" spans="1:6" ht="15.75" customHeight="1" x14ac:dyDescent="0.15">
      <c r="A890" s="20"/>
      <c r="B890" s="20"/>
      <c r="C890" s="20"/>
      <c r="D890" s="20"/>
      <c r="E890" s="20"/>
      <c r="F890" s="20"/>
    </row>
    <row r="891" spans="1:6" ht="15.75" customHeight="1" x14ac:dyDescent="0.15">
      <c r="A891" s="20"/>
      <c r="B891" s="20"/>
      <c r="C891" s="20"/>
      <c r="D891" s="20"/>
      <c r="E891" s="20"/>
      <c r="F891" s="20"/>
    </row>
    <row r="892" spans="1:6" ht="15.75" customHeight="1" x14ac:dyDescent="0.15">
      <c r="A892" s="20"/>
      <c r="B892" s="20"/>
      <c r="C892" s="20"/>
      <c r="D892" s="20"/>
      <c r="E892" s="20"/>
      <c r="F892" s="20"/>
    </row>
    <row r="893" spans="1:6" ht="15.75" customHeight="1" x14ac:dyDescent="0.15">
      <c r="A893" s="20"/>
      <c r="B893" s="20"/>
      <c r="C893" s="20"/>
      <c r="D893" s="20"/>
      <c r="E893" s="20"/>
      <c r="F893" s="20"/>
    </row>
    <row r="894" spans="1:6" ht="15.75" customHeight="1" x14ac:dyDescent="0.15">
      <c r="A894" s="20"/>
      <c r="B894" s="20"/>
      <c r="C894" s="20"/>
      <c r="D894" s="20"/>
      <c r="E894" s="20"/>
      <c r="F894" s="20"/>
    </row>
    <row r="895" spans="1:6" ht="15.75" customHeight="1" x14ac:dyDescent="0.15">
      <c r="A895" s="20"/>
      <c r="B895" s="20"/>
      <c r="C895" s="20"/>
      <c r="D895" s="20"/>
      <c r="E895" s="20"/>
      <c r="F895" s="20"/>
    </row>
    <row r="896" spans="1:6" ht="15.75" customHeight="1" x14ac:dyDescent="0.15">
      <c r="A896" s="20"/>
      <c r="B896" s="20"/>
      <c r="C896" s="20"/>
      <c r="D896" s="20"/>
      <c r="E896" s="20"/>
      <c r="F896" s="20"/>
    </row>
    <row r="897" spans="1:6" ht="15.75" customHeight="1" x14ac:dyDescent="0.15">
      <c r="A897" s="20"/>
      <c r="B897" s="20"/>
      <c r="C897" s="20"/>
      <c r="D897" s="20"/>
      <c r="E897" s="20"/>
      <c r="F897" s="20"/>
    </row>
    <row r="898" spans="1:6" ht="15.75" customHeight="1" x14ac:dyDescent="0.15">
      <c r="A898" s="20"/>
      <c r="B898" s="20"/>
      <c r="C898" s="20"/>
      <c r="D898" s="20"/>
      <c r="E898" s="20"/>
      <c r="F898" s="20"/>
    </row>
    <row r="899" spans="1:6" ht="15.75" customHeight="1" x14ac:dyDescent="0.15">
      <c r="A899" s="20"/>
      <c r="B899" s="20"/>
      <c r="C899" s="20"/>
      <c r="D899" s="20"/>
      <c r="E899" s="20"/>
      <c r="F899" s="20"/>
    </row>
    <row r="900" spans="1:6" ht="15.75" customHeight="1" x14ac:dyDescent="0.15">
      <c r="A900" s="20"/>
      <c r="B900" s="20"/>
      <c r="C900" s="20"/>
      <c r="D900" s="20"/>
      <c r="E900" s="20"/>
      <c r="F900" s="20"/>
    </row>
    <row r="901" spans="1:6" ht="15.75" customHeight="1" x14ac:dyDescent="0.15">
      <c r="A901" s="20"/>
      <c r="B901" s="20"/>
      <c r="C901" s="20"/>
      <c r="D901" s="20"/>
      <c r="E901" s="20"/>
      <c r="F901" s="20"/>
    </row>
    <row r="902" spans="1:6" ht="15.75" customHeight="1" x14ac:dyDescent="0.15">
      <c r="A902" s="20"/>
      <c r="B902" s="20"/>
      <c r="C902" s="20"/>
      <c r="D902" s="20"/>
      <c r="E902" s="20"/>
      <c r="F902" s="20"/>
    </row>
    <row r="903" spans="1:6" ht="15.75" customHeight="1" x14ac:dyDescent="0.15">
      <c r="A903" s="20"/>
      <c r="B903" s="20"/>
      <c r="C903" s="20"/>
      <c r="D903" s="20"/>
      <c r="E903" s="20"/>
      <c r="F903" s="20"/>
    </row>
    <row r="904" spans="1:6" ht="15.75" customHeight="1" x14ac:dyDescent="0.15">
      <c r="A904" s="20"/>
      <c r="B904" s="20"/>
      <c r="C904" s="20"/>
      <c r="D904" s="20"/>
      <c r="E904" s="20"/>
      <c r="F904" s="20"/>
    </row>
    <row r="905" spans="1:6" ht="15.75" customHeight="1" x14ac:dyDescent="0.15">
      <c r="A905" s="20"/>
      <c r="B905" s="20"/>
      <c r="C905" s="20"/>
      <c r="D905" s="20"/>
      <c r="E905" s="20"/>
      <c r="F905" s="20"/>
    </row>
    <row r="906" spans="1:6" ht="15.75" customHeight="1" x14ac:dyDescent="0.15">
      <c r="A906" s="20"/>
      <c r="B906" s="20"/>
      <c r="C906" s="20"/>
      <c r="D906" s="20"/>
      <c r="E906" s="20"/>
      <c r="F906" s="20"/>
    </row>
    <row r="907" spans="1:6" ht="15.75" customHeight="1" x14ac:dyDescent="0.15">
      <c r="A907" s="20"/>
      <c r="B907" s="20"/>
      <c r="C907" s="20"/>
      <c r="D907" s="20"/>
      <c r="E907" s="20"/>
      <c r="F907" s="20"/>
    </row>
    <row r="908" spans="1:6" ht="15.75" customHeight="1" x14ac:dyDescent="0.15">
      <c r="A908" s="20"/>
      <c r="B908" s="20"/>
      <c r="C908" s="20"/>
      <c r="D908" s="20"/>
      <c r="E908" s="20"/>
      <c r="F908" s="20"/>
    </row>
    <row r="909" spans="1:6" ht="15.75" customHeight="1" x14ac:dyDescent="0.15">
      <c r="A909" s="20"/>
      <c r="B909" s="20"/>
      <c r="C909" s="20"/>
      <c r="D909" s="20"/>
      <c r="E909" s="20"/>
      <c r="F909" s="20"/>
    </row>
    <row r="910" spans="1:6" ht="15.75" customHeight="1" x14ac:dyDescent="0.15">
      <c r="A910" s="20"/>
      <c r="B910" s="20"/>
      <c r="C910" s="20"/>
      <c r="D910" s="20"/>
      <c r="E910" s="20"/>
      <c r="F910" s="20"/>
    </row>
    <row r="911" spans="1:6" ht="15.75" customHeight="1" x14ac:dyDescent="0.15">
      <c r="A911" s="20"/>
      <c r="B911" s="20"/>
      <c r="C911" s="20"/>
      <c r="D911" s="20"/>
      <c r="E911" s="20"/>
      <c r="F911" s="20"/>
    </row>
    <row r="912" spans="1:6" ht="15.75" customHeight="1" x14ac:dyDescent="0.15">
      <c r="A912" s="20"/>
      <c r="B912" s="20"/>
      <c r="C912" s="20"/>
      <c r="D912" s="20"/>
      <c r="E912" s="20"/>
      <c r="F912" s="20"/>
    </row>
    <row r="913" spans="1:6" ht="15.75" customHeight="1" x14ac:dyDescent="0.15">
      <c r="A913" s="20"/>
      <c r="B913" s="20"/>
      <c r="C913" s="20"/>
      <c r="D913" s="20"/>
      <c r="E913" s="20"/>
      <c r="F913" s="20"/>
    </row>
    <row r="914" spans="1:6" ht="15.75" customHeight="1" x14ac:dyDescent="0.15">
      <c r="A914" s="20"/>
      <c r="B914" s="20"/>
      <c r="C914" s="20"/>
      <c r="D914" s="20"/>
      <c r="E914" s="20"/>
      <c r="F914" s="20"/>
    </row>
    <row r="915" spans="1:6" ht="15.75" customHeight="1" x14ac:dyDescent="0.15">
      <c r="A915" s="20"/>
      <c r="B915" s="20"/>
      <c r="C915" s="20"/>
      <c r="D915" s="20"/>
      <c r="E915" s="20"/>
      <c r="F915" s="20"/>
    </row>
    <row r="916" spans="1:6" ht="15.75" customHeight="1" x14ac:dyDescent="0.15">
      <c r="A916" s="20"/>
      <c r="B916" s="20"/>
      <c r="C916" s="20"/>
      <c r="D916" s="20"/>
      <c r="E916" s="20"/>
      <c r="F916" s="20"/>
    </row>
    <row r="917" spans="1:6" ht="15.75" customHeight="1" x14ac:dyDescent="0.15">
      <c r="A917" s="20"/>
      <c r="B917" s="20"/>
      <c r="C917" s="20"/>
      <c r="D917" s="20"/>
      <c r="E917" s="20"/>
      <c r="F917" s="20"/>
    </row>
    <row r="918" spans="1:6" ht="15.75" customHeight="1" x14ac:dyDescent="0.15">
      <c r="A918" s="20"/>
      <c r="B918" s="20"/>
      <c r="C918" s="20"/>
      <c r="D918" s="20"/>
      <c r="E918" s="20"/>
      <c r="F918" s="20"/>
    </row>
    <row r="919" spans="1:6" ht="15.75" customHeight="1" x14ac:dyDescent="0.15">
      <c r="A919" s="20"/>
      <c r="B919" s="20"/>
      <c r="C919" s="20"/>
      <c r="D919" s="20"/>
      <c r="E919" s="20"/>
      <c r="F919" s="20"/>
    </row>
    <row r="920" spans="1:6" ht="15.75" customHeight="1" x14ac:dyDescent="0.15">
      <c r="A920" s="20"/>
      <c r="B920" s="20"/>
      <c r="C920" s="20"/>
      <c r="D920" s="20"/>
      <c r="E920" s="20"/>
      <c r="F920" s="20"/>
    </row>
    <row r="921" spans="1:6" ht="15.75" customHeight="1" x14ac:dyDescent="0.15">
      <c r="A921" s="20"/>
      <c r="B921" s="20"/>
      <c r="C921" s="20"/>
      <c r="D921" s="20"/>
      <c r="E921" s="20"/>
      <c r="F921" s="20"/>
    </row>
    <row r="922" spans="1:6" ht="15.75" customHeight="1" x14ac:dyDescent="0.15">
      <c r="A922" s="20"/>
      <c r="B922" s="20"/>
      <c r="C922" s="20"/>
      <c r="D922" s="20"/>
      <c r="E922" s="20"/>
      <c r="F922" s="20"/>
    </row>
    <row r="923" spans="1:6" ht="15.75" customHeight="1" x14ac:dyDescent="0.15">
      <c r="A923" s="20"/>
      <c r="B923" s="20"/>
      <c r="C923" s="20"/>
      <c r="D923" s="20"/>
      <c r="E923" s="20"/>
      <c r="F923" s="20"/>
    </row>
    <row r="924" spans="1:6" ht="15.75" customHeight="1" x14ac:dyDescent="0.15">
      <c r="A924" s="20"/>
      <c r="B924" s="20"/>
      <c r="C924" s="20"/>
      <c r="D924" s="20"/>
      <c r="E924" s="20"/>
      <c r="F924" s="20"/>
    </row>
    <row r="925" spans="1:6" ht="15.75" customHeight="1" x14ac:dyDescent="0.15">
      <c r="A925" s="20"/>
      <c r="B925" s="20"/>
      <c r="C925" s="20"/>
      <c r="D925" s="20"/>
      <c r="E925" s="20"/>
      <c r="F925" s="20"/>
    </row>
    <row r="926" spans="1:6" ht="15.75" customHeight="1" x14ac:dyDescent="0.15">
      <c r="A926" s="20"/>
      <c r="B926" s="20"/>
      <c r="C926" s="20"/>
      <c r="D926" s="20"/>
      <c r="E926" s="20"/>
      <c r="F926" s="20"/>
    </row>
    <row r="927" spans="1:6" ht="15.75" customHeight="1" x14ac:dyDescent="0.15">
      <c r="A927" s="20"/>
      <c r="B927" s="20"/>
      <c r="C927" s="20"/>
      <c r="D927" s="20"/>
      <c r="E927" s="20"/>
      <c r="F927" s="20"/>
    </row>
    <row r="928" spans="1:6" ht="15.75" customHeight="1" x14ac:dyDescent="0.15">
      <c r="A928" s="20"/>
      <c r="B928" s="20"/>
      <c r="C928" s="20"/>
      <c r="D928" s="20"/>
      <c r="E928" s="20"/>
      <c r="F928" s="20"/>
    </row>
    <row r="929" spans="1:6" ht="15.75" customHeight="1" x14ac:dyDescent="0.15">
      <c r="A929" s="20"/>
      <c r="B929" s="20"/>
      <c r="C929" s="20"/>
      <c r="D929" s="20"/>
      <c r="E929" s="20"/>
      <c r="F929" s="20"/>
    </row>
    <row r="930" spans="1:6" ht="15.75" customHeight="1" x14ac:dyDescent="0.15">
      <c r="A930" s="20"/>
      <c r="B930" s="20"/>
      <c r="C930" s="20"/>
      <c r="D930" s="20"/>
      <c r="E930" s="20"/>
      <c r="F930" s="20"/>
    </row>
    <row r="931" spans="1:6" ht="15.75" customHeight="1" x14ac:dyDescent="0.15">
      <c r="A931" s="20"/>
      <c r="B931" s="20"/>
      <c r="C931" s="20"/>
      <c r="D931" s="20"/>
      <c r="E931" s="20"/>
      <c r="F931" s="20"/>
    </row>
    <row r="932" spans="1:6" ht="15.75" customHeight="1" x14ac:dyDescent="0.15">
      <c r="A932" s="20"/>
      <c r="B932" s="20"/>
      <c r="C932" s="20"/>
      <c r="D932" s="20"/>
      <c r="E932" s="20"/>
      <c r="F932" s="20"/>
    </row>
    <row r="933" spans="1:6" ht="15.75" customHeight="1" x14ac:dyDescent="0.15">
      <c r="A933" s="20"/>
      <c r="B933" s="20"/>
      <c r="C933" s="20"/>
      <c r="D933" s="20"/>
      <c r="E933" s="20"/>
      <c r="F933" s="20"/>
    </row>
    <row r="934" spans="1:6" ht="15.75" customHeight="1" x14ac:dyDescent="0.15">
      <c r="A934" s="20"/>
      <c r="B934" s="20"/>
      <c r="C934" s="20"/>
      <c r="D934" s="20"/>
      <c r="E934" s="20"/>
      <c r="F934" s="20"/>
    </row>
    <row r="935" spans="1:6" ht="15.75" customHeight="1" x14ac:dyDescent="0.15">
      <c r="A935" s="20"/>
      <c r="B935" s="20"/>
      <c r="C935" s="20"/>
      <c r="D935" s="20"/>
      <c r="E935" s="20"/>
      <c r="F935" s="20"/>
    </row>
    <row r="936" spans="1:6" ht="15.75" customHeight="1" x14ac:dyDescent="0.15">
      <c r="A936" s="20"/>
      <c r="B936" s="20"/>
      <c r="C936" s="20"/>
      <c r="D936" s="20"/>
      <c r="E936" s="20"/>
      <c r="F936" s="20"/>
    </row>
    <row r="937" spans="1:6" ht="15.75" customHeight="1" x14ac:dyDescent="0.15">
      <c r="A937" s="20"/>
      <c r="B937" s="20"/>
      <c r="C937" s="20"/>
      <c r="D937" s="20"/>
      <c r="E937" s="20"/>
      <c r="F937" s="20"/>
    </row>
    <row r="938" spans="1:6" ht="15.75" customHeight="1" x14ac:dyDescent="0.15">
      <c r="A938" s="20"/>
      <c r="B938" s="20"/>
      <c r="C938" s="20"/>
      <c r="D938" s="20"/>
      <c r="E938" s="20"/>
      <c r="F938" s="20"/>
    </row>
    <row r="939" spans="1:6" ht="15.75" customHeight="1" x14ac:dyDescent="0.15">
      <c r="A939" s="20"/>
      <c r="B939" s="20"/>
      <c r="C939" s="20"/>
      <c r="D939" s="20"/>
      <c r="E939" s="20"/>
      <c r="F939" s="20"/>
    </row>
    <row r="940" spans="1:6" ht="15.75" customHeight="1" x14ac:dyDescent="0.15">
      <c r="A940" s="20"/>
      <c r="B940" s="20"/>
      <c r="C940" s="20"/>
      <c r="D940" s="20"/>
      <c r="E940" s="20"/>
      <c r="F940" s="20"/>
    </row>
    <row r="941" spans="1:6" ht="15.75" customHeight="1" x14ac:dyDescent="0.15">
      <c r="A941" s="20"/>
      <c r="B941" s="20"/>
      <c r="C941" s="20"/>
      <c r="D941" s="20"/>
      <c r="E941" s="20"/>
      <c r="F941" s="20"/>
    </row>
    <row r="942" spans="1:6" ht="15.75" customHeight="1" x14ac:dyDescent="0.15">
      <c r="A942" s="20"/>
      <c r="B942" s="20"/>
      <c r="C942" s="20"/>
      <c r="D942" s="20"/>
      <c r="E942" s="20"/>
      <c r="F942" s="20"/>
    </row>
    <row r="943" spans="1:6" ht="15.75" customHeight="1" x14ac:dyDescent="0.15">
      <c r="A943" s="20"/>
      <c r="B943" s="20"/>
      <c r="C943" s="20"/>
      <c r="D943" s="20"/>
      <c r="E943" s="20"/>
      <c r="F943" s="20"/>
    </row>
    <row r="944" spans="1:6" ht="15.75" customHeight="1" x14ac:dyDescent="0.15">
      <c r="A944" s="20"/>
      <c r="B944" s="20"/>
      <c r="C944" s="20"/>
      <c r="D944" s="20"/>
      <c r="E944" s="20"/>
      <c r="F944" s="20"/>
    </row>
    <row r="945" spans="1:6" ht="15.75" customHeight="1" x14ac:dyDescent="0.15">
      <c r="A945" s="20"/>
      <c r="B945" s="20"/>
      <c r="C945" s="20"/>
      <c r="D945" s="20"/>
      <c r="E945" s="20"/>
      <c r="F945" s="20"/>
    </row>
    <row r="946" spans="1:6" ht="15.75" customHeight="1" x14ac:dyDescent="0.15">
      <c r="A946" s="20"/>
      <c r="B946" s="20"/>
      <c r="C946" s="20"/>
      <c r="D946" s="20"/>
      <c r="E946" s="20"/>
      <c r="F946" s="20"/>
    </row>
    <row r="947" spans="1:6" ht="15.75" customHeight="1" x14ac:dyDescent="0.15">
      <c r="A947" s="20"/>
      <c r="B947" s="20"/>
      <c r="C947" s="20"/>
      <c r="D947" s="20"/>
      <c r="E947" s="20"/>
      <c r="F947" s="20"/>
    </row>
    <row r="948" spans="1:6" ht="15.75" customHeight="1" x14ac:dyDescent="0.15">
      <c r="A948" s="20"/>
      <c r="B948" s="20"/>
      <c r="C948" s="20"/>
      <c r="D948" s="20"/>
      <c r="E948" s="20"/>
      <c r="F948" s="20"/>
    </row>
    <row r="949" spans="1:6" ht="15.75" customHeight="1" x14ac:dyDescent="0.15">
      <c r="A949" s="20"/>
      <c r="B949" s="20"/>
      <c r="C949" s="20"/>
      <c r="D949" s="20"/>
      <c r="E949" s="20"/>
      <c r="F949" s="20"/>
    </row>
    <row r="950" spans="1:6" ht="15.75" customHeight="1" x14ac:dyDescent="0.15">
      <c r="A950" s="20"/>
      <c r="B950" s="20"/>
      <c r="C950" s="20"/>
      <c r="D950" s="20"/>
      <c r="E950" s="20"/>
      <c r="F950" s="20"/>
    </row>
    <row r="951" spans="1:6" ht="15.75" customHeight="1" x14ac:dyDescent="0.15">
      <c r="A951" s="20"/>
      <c r="B951" s="20"/>
      <c r="C951" s="20"/>
      <c r="D951" s="20"/>
      <c r="E951" s="20"/>
      <c r="F951" s="20"/>
    </row>
    <row r="952" spans="1:6" ht="15.75" customHeight="1" x14ac:dyDescent="0.15">
      <c r="A952" s="20"/>
      <c r="B952" s="20"/>
      <c r="C952" s="20"/>
      <c r="D952" s="20"/>
      <c r="E952" s="20"/>
      <c r="F952" s="20"/>
    </row>
    <row r="953" spans="1:6" ht="15.75" customHeight="1" x14ac:dyDescent="0.15">
      <c r="A953" s="20"/>
      <c r="B953" s="20"/>
      <c r="C953" s="20"/>
      <c r="D953" s="20"/>
      <c r="E953" s="20"/>
      <c r="F953" s="20"/>
    </row>
    <row r="954" spans="1:6" ht="15.75" customHeight="1" x14ac:dyDescent="0.15">
      <c r="A954" s="20"/>
      <c r="B954" s="20"/>
      <c r="C954" s="20"/>
      <c r="D954" s="20"/>
      <c r="E954" s="20"/>
      <c r="F954" s="20"/>
    </row>
    <row r="955" spans="1:6" ht="15.75" customHeight="1" x14ac:dyDescent="0.15">
      <c r="A955" s="20"/>
      <c r="B955" s="20"/>
      <c r="C955" s="20"/>
      <c r="D955" s="20"/>
      <c r="E955" s="20"/>
      <c r="F955" s="20"/>
    </row>
    <row r="956" spans="1:6" ht="15.75" customHeight="1" x14ac:dyDescent="0.15">
      <c r="A956" s="20"/>
      <c r="B956" s="20"/>
      <c r="C956" s="20"/>
      <c r="D956" s="20"/>
      <c r="E956" s="20"/>
      <c r="F956" s="20"/>
    </row>
    <row r="957" spans="1:6" ht="15.75" customHeight="1" x14ac:dyDescent="0.15">
      <c r="A957" s="20"/>
      <c r="B957" s="20"/>
      <c r="C957" s="20"/>
      <c r="D957" s="20"/>
      <c r="E957" s="20"/>
      <c r="F957" s="20"/>
    </row>
    <row r="958" spans="1:6" ht="15.75" customHeight="1" x14ac:dyDescent="0.15">
      <c r="A958" s="20"/>
      <c r="B958" s="20"/>
      <c r="C958" s="20"/>
      <c r="D958" s="20"/>
      <c r="E958" s="20"/>
      <c r="F958" s="20"/>
    </row>
    <row r="959" spans="1:6" ht="15.75" customHeight="1" x14ac:dyDescent="0.15">
      <c r="A959" s="20"/>
      <c r="B959" s="20"/>
      <c r="C959" s="20"/>
      <c r="D959" s="20"/>
      <c r="E959" s="20"/>
      <c r="F959" s="20"/>
    </row>
    <row r="960" spans="1:6" ht="15.75" customHeight="1" x14ac:dyDescent="0.15">
      <c r="A960" s="20"/>
      <c r="B960" s="20"/>
      <c r="C960" s="20"/>
      <c r="D960" s="20"/>
      <c r="E960" s="20"/>
      <c r="F960" s="20"/>
    </row>
    <row r="961" spans="1:6" ht="15.75" customHeight="1" x14ac:dyDescent="0.15">
      <c r="A961" s="20"/>
      <c r="B961" s="20"/>
      <c r="C961" s="20"/>
      <c r="D961" s="20"/>
      <c r="E961" s="20"/>
      <c r="F961" s="20"/>
    </row>
    <row r="962" spans="1:6" ht="15.75" customHeight="1" x14ac:dyDescent="0.15">
      <c r="A962" s="20"/>
      <c r="B962" s="20"/>
      <c r="C962" s="20"/>
      <c r="D962" s="20"/>
      <c r="E962" s="20"/>
      <c r="F962" s="20"/>
    </row>
    <row r="963" spans="1:6" ht="15.75" customHeight="1" x14ac:dyDescent="0.15">
      <c r="A963" s="20"/>
      <c r="B963" s="20"/>
      <c r="C963" s="20"/>
      <c r="D963" s="20"/>
      <c r="E963" s="20"/>
      <c r="F963" s="20"/>
    </row>
    <row r="964" spans="1:6" ht="15.75" customHeight="1" x14ac:dyDescent="0.15">
      <c r="A964" s="20"/>
      <c r="B964" s="20"/>
      <c r="C964" s="20"/>
      <c r="D964" s="20"/>
      <c r="E964" s="20"/>
      <c r="F964" s="20"/>
    </row>
    <row r="965" spans="1:6" ht="15.75" customHeight="1" x14ac:dyDescent="0.15">
      <c r="A965" s="20"/>
      <c r="B965" s="20"/>
      <c r="C965" s="20"/>
      <c r="D965" s="20"/>
      <c r="E965" s="20"/>
      <c r="F965" s="20"/>
    </row>
    <row r="966" spans="1:6" ht="15.75" customHeight="1" x14ac:dyDescent="0.15">
      <c r="A966" s="20"/>
      <c r="B966" s="20"/>
      <c r="C966" s="20"/>
      <c r="D966" s="20"/>
      <c r="E966" s="20"/>
      <c r="F966" s="20"/>
    </row>
    <row r="967" spans="1:6" ht="15.75" customHeight="1" x14ac:dyDescent="0.15">
      <c r="A967" s="20"/>
      <c r="B967" s="20"/>
      <c r="C967" s="20"/>
      <c r="D967" s="20"/>
      <c r="E967" s="20"/>
      <c r="F967" s="20"/>
    </row>
    <row r="968" spans="1:6" ht="15.75" customHeight="1" x14ac:dyDescent="0.15">
      <c r="A968" s="20"/>
      <c r="B968" s="20"/>
      <c r="C968" s="20"/>
      <c r="D968" s="20"/>
      <c r="E968" s="20"/>
      <c r="F968" s="20"/>
    </row>
    <row r="969" spans="1:6" ht="15.75" customHeight="1" x14ac:dyDescent="0.15">
      <c r="A969" s="20"/>
      <c r="B969" s="20"/>
      <c r="C969" s="20"/>
      <c r="D969" s="20"/>
      <c r="E969" s="20"/>
      <c r="F969" s="20"/>
    </row>
    <row r="970" spans="1:6" ht="15.75" customHeight="1" x14ac:dyDescent="0.15">
      <c r="A970" s="20"/>
      <c r="B970" s="20"/>
      <c r="C970" s="20"/>
      <c r="D970" s="20"/>
      <c r="E970" s="20"/>
      <c r="F970" s="20"/>
    </row>
    <row r="971" spans="1:6" ht="15.75" customHeight="1" x14ac:dyDescent="0.15">
      <c r="A971" s="20"/>
      <c r="B971" s="20"/>
      <c r="C971" s="20"/>
      <c r="D971" s="20"/>
      <c r="E971" s="20"/>
      <c r="F971" s="20"/>
    </row>
    <row r="972" spans="1:6" ht="15.75" customHeight="1" x14ac:dyDescent="0.15">
      <c r="A972" s="20"/>
      <c r="B972" s="20"/>
      <c r="C972" s="20"/>
      <c r="D972" s="20"/>
      <c r="E972" s="20"/>
      <c r="F972" s="20"/>
    </row>
    <row r="973" spans="1:6" ht="15.75" customHeight="1" x14ac:dyDescent="0.15">
      <c r="A973" s="20"/>
      <c r="B973" s="20"/>
      <c r="C973" s="20"/>
      <c r="D973" s="20"/>
      <c r="E973" s="20"/>
      <c r="F973" s="20"/>
    </row>
    <row r="974" spans="1:6" ht="15.75" customHeight="1" x14ac:dyDescent="0.15">
      <c r="A974" s="20"/>
      <c r="B974" s="20"/>
      <c r="C974" s="20"/>
      <c r="D974" s="20"/>
      <c r="E974" s="20"/>
      <c r="F974" s="20"/>
    </row>
    <row r="975" spans="1:6" ht="15.75" customHeight="1" x14ac:dyDescent="0.15">
      <c r="A975" s="20"/>
      <c r="B975" s="20"/>
      <c r="C975" s="20"/>
      <c r="D975" s="20"/>
      <c r="E975" s="20"/>
      <c r="F975" s="20"/>
    </row>
    <row r="976" spans="1:6" ht="15.75" customHeight="1" x14ac:dyDescent="0.15">
      <c r="A976" s="20"/>
      <c r="B976" s="20"/>
      <c r="C976" s="20"/>
      <c r="D976" s="20"/>
      <c r="E976" s="20"/>
      <c r="F976" s="20"/>
    </row>
    <row r="977" spans="1:6" ht="15.75" customHeight="1" x14ac:dyDescent="0.15">
      <c r="A977" s="20"/>
      <c r="B977" s="20"/>
      <c r="C977" s="20"/>
      <c r="D977" s="20"/>
      <c r="E977" s="20"/>
      <c r="F977" s="20"/>
    </row>
    <row r="978" spans="1:6" ht="15.75" customHeight="1" x14ac:dyDescent="0.15">
      <c r="A978" s="20"/>
      <c r="B978" s="20"/>
      <c r="C978" s="20"/>
      <c r="D978" s="20"/>
      <c r="E978" s="20"/>
      <c r="F978" s="20"/>
    </row>
    <row r="979" spans="1:6" ht="15.75" customHeight="1" x14ac:dyDescent="0.15">
      <c r="A979" s="20"/>
      <c r="B979" s="20"/>
      <c r="C979" s="20"/>
      <c r="D979" s="20"/>
      <c r="E979" s="20"/>
      <c r="F979" s="20"/>
    </row>
    <row r="980" spans="1:6" ht="15.75" customHeight="1" x14ac:dyDescent="0.15">
      <c r="A980" s="20"/>
      <c r="B980" s="20"/>
      <c r="C980" s="20"/>
      <c r="D980" s="20"/>
      <c r="E980" s="20"/>
      <c r="F980" s="20"/>
    </row>
    <row r="981" spans="1:6" ht="15.75" customHeight="1" x14ac:dyDescent="0.15">
      <c r="A981" s="20"/>
      <c r="B981" s="20"/>
      <c r="C981" s="20"/>
      <c r="D981" s="20"/>
      <c r="E981" s="20"/>
      <c r="F981" s="20"/>
    </row>
    <row r="982" spans="1:6" ht="15.75" customHeight="1" x14ac:dyDescent="0.15">
      <c r="A982" s="20"/>
      <c r="B982" s="20"/>
      <c r="C982" s="20"/>
      <c r="D982" s="20"/>
      <c r="E982" s="20"/>
      <c r="F982" s="20"/>
    </row>
    <row r="983" spans="1:6" ht="15.75" customHeight="1" x14ac:dyDescent="0.15">
      <c r="A983" s="20"/>
      <c r="B983" s="20"/>
      <c r="C983" s="20"/>
      <c r="D983" s="20"/>
      <c r="E983" s="20"/>
      <c r="F983" s="20"/>
    </row>
    <row r="984" spans="1:6" ht="15.75" customHeight="1" x14ac:dyDescent="0.15">
      <c r="A984" s="20"/>
      <c r="B984" s="20"/>
      <c r="C984" s="20"/>
      <c r="D984" s="20"/>
      <c r="E984" s="20"/>
      <c r="F984" s="20"/>
    </row>
    <row r="985" spans="1:6" ht="15.75" customHeight="1" x14ac:dyDescent="0.15">
      <c r="A985" s="20"/>
      <c r="B985" s="20"/>
      <c r="C985" s="20"/>
      <c r="D985" s="20"/>
      <c r="E985" s="20"/>
      <c r="F985" s="20"/>
    </row>
    <row r="986" spans="1:6" ht="15.75" customHeight="1" x14ac:dyDescent="0.15">
      <c r="A986" s="20"/>
      <c r="B986" s="20"/>
      <c r="C986" s="20"/>
      <c r="D986" s="20"/>
      <c r="E986" s="20"/>
      <c r="F986" s="20"/>
    </row>
    <row r="987" spans="1:6" ht="15.75" customHeight="1" x14ac:dyDescent="0.15">
      <c r="A987" s="20"/>
      <c r="B987" s="20"/>
      <c r="C987" s="20"/>
      <c r="D987" s="20"/>
      <c r="E987" s="20"/>
      <c r="F987" s="20"/>
    </row>
    <row r="988" spans="1:6" ht="15.75" customHeight="1" x14ac:dyDescent="0.15">
      <c r="A988" s="20"/>
      <c r="B988" s="20"/>
      <c r="C988" s="20"/>
      <c r="D988" s="20"/>
      <c r="E988" s="20"/>
      <c r="F988" s="20"/>
    </row>
    <row r="989" spans="1:6" ht="15.75" customHeight="1" x14ac:dyDescent="0.15">
      <c r="A989" s="20"/>
      <c r="B989" s="20"/>
      <c r="C989" s="20"/>
      <c r="D989" s="20"/>
      <c r="E989" s="20"/>
      <c r="F989" s="20"/>
    </row>
    <row r="990" spans="1:6" ht="15.75" customHeight="1" x14ac:dyDescent="0.15">
      <c r="A990" s="20"/>
      <c r="B990" s="20"/>
      <c r="C990" s="20"/>
      <c r="D990" s="20"/>
      <c r="E990" s="20"/>
      <c r="F990" s="20"/>
    </row>
    <row r="991" spans="1:6" ht="15.75" customHeight="1" x14ac:dyDescent="0.15">
      <c r="A991" s="20"/>
      <c r="B991" s="20"/>
      <c r="C991" s="20"/>
      <c r="D991" s="20"/>
      <c r="E991" s="20"/>
      <c r="F991" s="20"/>
    </row>
    <row r="992" spans="1:6" ht="15.75" customHeight="1" x14ac:dyDescent="0.15">
      <c r="A992" s="20"/>
      <c r="B992" s="20"/>
      <c r="C992" s="20"/>
      <c r="D992" s="20"/>
      <c r="E992" s="20"/>
      <c r="F992" s="20"/>
    </row>
    <row r="993" spans="1:6" ht="15.75" customHeight="1" x14ac:dyDescent="0.15">
      <c r="A993" s="20"/>
      <c r="B993" s="20"/>
      <c r="C993" s="20"/>
      <c r="D993" s="20"/>
      <c r="E993" s="20"/>
      <c r="F993" s="20"/>
    </row>
    <row r="994" spans="1:6" ht="15.75" customHeight="1" x14ac:dyDescent="0.15">
      <c r="A994" s="20"/>
      <c r="B994" s="20"/>
      <c r="C994" s="20"/>
      <c r="D994" s="20"/>
      <c r="E994" s="20"/>
      <c r="F994" s="20"/>
    </row>
    <row r="995" spans="1:6" ht="15.75" customHeight="1" x14ac:dyDescent="0.15">
      <c r="A995" s="20"/>
      <c r="B995" s="20"/>
      <c r="C995" s="20"/>
      <c r="D995" s="20"/>
      <c r="E995" s="20"/>
      <c r="F995" s="20"/>
    </row>
    <row r="996" spans="1:6" ht="15.75" customHeight="1" x14ac:dyDescent="0.15">
      <c r="A996" s="20"/>
      <c r="B996" s="20"/>
      <c r="C996" s="20"/>
      <c r="D996" s="20"/>
      <c r="E996" s="20"/>
      <c r="F996" s="20"/>
    </row>
    <row r="997" spans="1:6" ht="15.75" customHeight="1" x14ac:dyDescent="0.15">
      <c r="A997" s="20"/>
      <c r="B997" s="20"/>
      <c r="C997" s="20"/>
      <c r="D997" s="20"/>
      <c r="E997" s="20"/>
      <c r="F997" s="20"/>
    </row>
    <row r="998" spans="1:6" ht="15.75" customHeight="1" x14ac:dyDescent="0.15">
      <c r="A998" s="20"/>
      <c r="B998" s="20"/>
      <c r="C998" s="20"/>
      <c r="D998" s="20"/>
      <c r="E998" s="20"/>
      <c r="F998" s="20"/>
    </row>
    <row r="999" spans="1:6" ht="15.75" customHeight="1" x14ac:dyDescent="0.15">
      <c r="A999" s="20"/>
      <c r="B999" s="20"/>
      <c r="C999" s="20"/>
      <c r="D999" s="20"/>
      <c r="E999" s="20"/>
      <c r="F999" s="20"/>
    </row>
  </sheetData>
  <autoFilter ref="A1:I999" xr:uid="{00000000-0001-0000-0200-000000000000}"/>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000"/>
  <sheetViews>
    <sheetView workbookViewId="0">
      <selection activeCell="F1" sqref="F1"/>
    </sheetView>
  </sheetViews>
  <sheetFormatPr baseColWidth="10" defaultColWidth="12.5" defaultRowHeight="15" customHeight="1" x14ac:dyDescent="0.15"/>
  <cols>
    <col min="1" max="1" width="31.5" customWidth="1"/>
    <col min="2" max="2" width="14.5" customWidth="1"/>
    <col min="3" max="3" width="15.83203125" customWidth="1"/>
    <col min="4" max="4" width="16.5" customWidth="1"/>
    <col min="5" max="5" width="22.1640625" customWidth="1"/>
    <col min="6" max="6" width="26.83203125" customWidth="1"/>
  </cols>
  <sheetData>
    <row r="1" spans="1:16" ht="15.75" customHeight="1" x14ac:dyDescent="0.2">
      <c r="A1" s="14" t="s">
        <v>0</v>
      </c>
      <c r="B1" s="14" t="s">
        <v>1</v>
      </c>
      <c r="C1" s="14" t="s">
        <v>78</v>
      </c>
      <c r="D1" s="14" t="s">
        <v>79</v>
      </c>
      <c r="E1" s="14" t="s">
        <v>80</v>
      </c>
      <c r="F1" s="84" t="s">
        <v>419</v>
      </c>
      <c r="G1" s="14" t="s">
        <v>1317</v>
      </c>
      <c r="H1" s="14" t="s">
        <v>1318</v>
      </c>
      <c r="I1" s="14" t="s">
        <v>206</v>
      </c>
      <c r="J1" s="14" t="s">
        <v>79</v>
      </c>
      <c r="K1" s="14" t="s">
        <v>207</v>
      </c>
      <c r="L1" s="14" t="s">
        <v>208</v>
      </c>
      <c r="M1" s="19"/>
      <c r="N1" s="19"/>
      <c r="O1" s="19"/>
      <c r="P1" s="19"/>
    </row>
    <row r="2" spans="1:16" ht="15.75" customHeight="1" x14ac:dyDescent="0.2">
      <c r="A2" s="11" t="s">
        <v>151</v>
      </c>
      <c r="B2" s="11" t="s">
        <v>3</v>
      </c>
      <c r="C2" s="11" t="s">
        <v>6</v>
      </c>
      <c r="D2" s="11" t="s">
        <v>6</v>
      </c>
      <c r="E2" s="11" t="s">
        <v>6</v>
      </c>
      <c r="F2" s="19" t="s">
        <v>6</v>
      </c>
      <c r="G2" s="93" t="s">
        <v>1014</v>
      </c>
      <c r="H2" s="93" t="s">
        <v>1013</v>
      </c>
      <c r="I2" s="11">
        <f>COUNTIF(C2:C19,"&lt;&gt;N")</f>
        <v>16</v>
      </c>
      <c r="J2" s="11">
        <f>COUNTIF(D2:D19,"&lt;&gt;N")</f>
        <v>16</v>
      </c>
      <c r="K2" s="11">
        <f>COUNTIF(E2:E19,"&lt;&gt;N")</f>
        <v>14</v>
      </c>
      <c r="L2" s="11">
        <f>COUNTIF(F2:F19,"&lt;&gt;N")</f>
        <v>15</v>
      </c>
      <c r="M2" s="19"/>
      <c r="N2" s="19"/>
      <c r="O2" s="19"/>
      <c r="P2" s="19"/>
    </row>
    <row r="3" spans="1:16" ht="15.75" customHeight="1" x14ac:dyDescent="0.2">
      <c r="A3" s="11" t="s">
        <v>152</v>
      </c>
      <c r="B3" s="11" t="s">
        <v>3</v>
      </c>
      <c r="C3" s="11" t="s">
        <v>6</v>
      </c>
      <c r="D3" s="11" t="s">
        <v>6</v>
      </c>
      <c r="E3" s="11" t="s">
        <v>6</v>
      </c>
      <c r="F3" s="19" t="s">
        <v>6</v>
      </c>
      <c r="G3" s="93" t="s">
        <v>1016</v>
      </c>
      <c r="H3" s="93" t="s">
        <v>1015</v>
      </c>
      <c r="I3" s="19"/>
      <c r="J3" s="19"/>
      <c r="K3" s="19"/>
      <c r="L3" s="19"/>
      <c r="M3" s="19"/>
      <c r="N3" s="19"/>
      <c r="O3" s="19"/>
      <c r="P3" s="19"/>
    </row>
    <row r="4" spans="1:16" ht="15.75" customHeight="1" x14ac:dyDescent="0.2">
      <c r="A4" s="11" t="s">
        <v>153</v>
      </c>
      <c r="B4" s="11" t="s">
        <v>3</v>
      </c>
      <c r="C4" s="11" t="s">
        <v>6</v>
      </c>
      <c r="D4" s="11" t="s">
        <v>6</v>
      </c>
      <c r="E4" s="11" t="s">
        <v>6</v>
      </c>
      <c r="F4" s="19" t="s">
        <v>6</v>
      </c>
      <c r="G4" s="93" t="s">
        <v>1018</v>
      </c>
      <c r="H4" s="93" t="s">
        <v>1017</v>
      </c>
      <c r="I4" s="19"/>
      <c r="J4" s="19"/>
      <c r="K4" s="19"/>
      <c r="L4" s="19"/>
      <c r="M4" s="19"/>
      <c r="N4" s="19"/>
      <c r="O4" s="19"/>
      <c r="P4" s="19"/>
    </row>
    <row r="5" spans="1:16" ht="15.75" customHeight="1" x14ac:dyDescent="0.2">
      <c r="A5" s="11" t="s">
        <v>154</v>
      </c>
      <c r="B5" s="11" t="s">
        <v>3</v>
      </c>
      <c r="C5" s="11" t="s">
        <v>6</v>
      </c>
      <c r="D5" s="11" t="s">
        <v>6</v>
      </c>
      <c r="E5" s="11" t="s">
        <v>4</v>
      </c>
      <c r="F5" s="19" t="s">
        <v>4</v>
      </c>
      <c r="G5" s="93" t="s">
        <v>1020</v>
      </c>
      <c r="H5" s="93" t="s">
        <v>1019</v>
      </c>
      <c r="I5" s="19"/>
      <c r="J5" s="19"/>
      <c r="K5" s="19"/>
      <c r="L5" s="19"/>
      <c r="M5" s="19"/>
      <c r="N5" s="19"/>
      <c r="O5" s="19"/>
      <c r="P5" s="19"/>
    </row>
    <row r="6" spans="1:16" ht="15.75" customHeight="1" x14ac:dyDescent="0.2">
      <c r="A6" s="11" t="s">
        <v>155</v>
      </c>
      <c r="B6" s="11" t="s">
        <v>3</v>
      </c>
      <c r="C6" s="11" t="s">
        <v>4</v>
      </c>
      <c r="D6" s="11" t="s">
        <v>4</v>
      </c>
      <c r="E6" s="11" t="s">
        <v>4</v>
      </c>
      <c r="F6" s="19" t="s">
        <v>6</v>
      </c>
      <c r="G6" s="93" t="s">
        <v>1022</v>
      </c>
      <c r="H6" s="93" t="s">
        <v>1021</v>
      </c>
      <c r="I6" s="19"/>
      <c r="J6" s="19"/>
      <c r="K6" s="19"/>
      <c r="L6" s="19"/>
      <c r="M6" s="19"/>
      <c r="N6" s="19"/>
      <c r="O6" s="19"/>
      <c r="P6" s="19"/>
    </row>
    <row r="7" spans="1:16" ht="15.75" customHeight="1" x14ac:dyDescent="0.2">
      <c r="A7" s="11" t="s">
        <v>156</v>
      </c>
      <c r="B7" s="11" t="s">
        <v>3</v>
      </c>
      <c r="C7" s="11" t="s">
        <v>6</v>
      </c>
      <c r="D7" s="11" t="s">
        <v>6</v>
      </c>
      <c r="E7" s="11" t="s">
        <v>6</v>
      </c>
      <c r="F7" s="19" t="s">
        <v>6</v>
      </c>
      <c r="G7" s="93" t="s">
        <v>1024</v>
      </c>
      <c r="H7" s="93" t="s">
        <v>1023</v>
      </c>
      <c r="I7" s="19"/>
      <c r="J7" s="19"/>
      <c r="K7" s="19"/>
      <c r="L7" s="19"/>
      <c r="M7" s="19"/>
      <c r="N7" s="19"/>
      <c r="O7" s="19"/>
      <c r="P7" s="19"/>
    </row>
    <row r="8" spans="1:16" ht="15.75" customHeight="1" x14ac:dyDescent="0.2">
      <c r="A8" s="11" t="s">
        <v>157</v>
      </c>
      <c r="B8" s="11" t="s">
        <v>3</v>
      </c>
      <c r="C8" s="11" t="s">
        <v>6</v>
      </c>
      <c r="D8" s="11" t="s">
        <v>6</v>
      </c>
      <c r="E8" s="11" t="s">
        <v>6</v>
      </c>
      <c r="F8" s="19" t="s">
        <v>6</v>
      </c>
      <c r="G8" s="93" t="s">
        <v>1026</v>
      </c>
      <c r="H8" s="93" t="s">
        <v>1025</v>
      </c>
      <c r="I8" s="19"/>
      <c r="J8" s="19"/>
      <c r="K8" s="19"/>
      <c r="L8" s="19"/>
      <c r="M8" s="19"/>
      <c r="N8" s="19"/>
      <c r="O8" s="19"/>
      <c r="P8" s="19"/>
    </row>
    <row r="9" spans="1:16" ht="15.75" customHeight="1" x14ac:dyDescent="0.2">
      <c r="A9" s="11" t="s">
        <v>158</v>
      </c>
      <c r="B9" s="11" t="s">
        <v>3</v>
      </c>
      <c r="C9" s="11" t="s">
        <v>6</v>
      </c>
      <c r="D9" s="11" t="s">
        <v>6</v>
      </c>
      <c r="E9" s="11" t="s">
        <v>6</v>
      </c>
      <c r="F9" s="19" t="s">
        <v>6</v>
      </c>
      <c r="G9" s="93" t="s">
        <v>1028</v>
      </c>
      <c r="H9" s="93" t="s">
        <v>1027</v>
      </c>
      <c r="I9" s="19"/>
      <c r="J9" s="19"/>
      <c r="K9" s="19"/>
      <c r="L9" s="19"/>
      <c r="M9" s="19"/>
      <c r="N9" s="19"/>
      <c r="O9" s="19"/>
      <c r="P9" s="19"/>
    </row>
    <row r="10" spans="1:16" ht="15.75" customHeight="1" x14ac:dyDescent="0.2">
      <c r="A10" s="11" t="s">
        <v>159</v>
      </c>
      <c r="B10" s="11" t="s">
        <v>3</v>
      </c>
      <c r="C10" s="11" t="s">
        <v>6</v>
      </c>
      <c r="D10" s="11" t="s">
        <v>150</v>
      </c>
      <c r="E10" s="11" t="s">
        <v>150</v>
      </c>
      <c r="F10" s="19" t="s">
        <v>6</v>
      </c>
      <c r="G10" s="93" t="s">
        <v>1030</v>
      </c>
      <c r="H10" s="93" t="s">
        <v>1029</v>
      </c>
      <c r="I10" s="19"/>
      <c r="J10" s="19"/>
      <c r="K10" s="19"/>
      <c r="L10" s="19"/>
      <c r="M10" s="19"/>
      <c r="N10" s="19"/>
      <c r="O10" s="19"/>
      <c r="P10" s="19"/>
    </row>
    <row r="11" spans="1:16" ht="15.75" customHeight="1" x14ac:dyDescent="0.2">
      <c r="A11" s="11" t="s">
        <v>160</v>
      </c>
      <c r="B11" s="11" t="s">
        <v>3</v>
      </c>
      <c r="C11" s="11" t="s">
        <v>6</v>
      </c>
      <c r="D11" s="11" t="s">
        <v>6</v>
      </c>
      <c r="E11" s="11" t="s">
        <v>6</v>
      </c>
      <c r="F11" s="19" t="s">
        <v>6</v>
      </c>
      <c r="G11" s="93" t="s">
        <v>1032</v>
      </c>
      <c r="H11" s="93" t="s">
        <v>1031</v>
      </c>
      <c r="I11" s="19"/>
      <c r="J11" s="19"/>
      <c r="K11" s="19"/>
      <c r="L11" s="19"/>
      <c r="M11" s="19"/>
      <c r="N11" s="19"/>
      <c r="O11" s="19"/>
      <c r="P11" s="19"/>
    </row>
    <row r="12" spans="1:16" ht="15.75" customHeight="1" x14ac:dyDescent="0.2">
      <c r="A12" s="11" t="s">
        <v>161</v>
      </c>
      <c r="B12" s="11" t="s">
        <v>3</v>
      </c>
      <c r="C12" s="11" t="s">
        <v>6</v>
      </c>
      <c r="D12" s="11" t="s">
        <v>6</v>
      </c>
      <c r="E12" s="11" t="s">
        <v>6</v>
      </c>
      <c r="F12" s="19" t="s">
        <v>6</v>
      </c>
      <c r="G12" s="93" t="s">
        <v>1034</v>
      </c>
      <c r="H12" s="93" t="s">
        <v>1033</v>
      </c>
      <c r="I12" s="19"/>
      <c r="J12" s="19"/>
      <c r="K12" s="19"/>
      <c r="L12" s="19"/>
      <c r="M12" s="19"/>
      <c r="N12" s="19"/>
      <c r="O12" s="19"/>
      <c r="P12" s="19"/>
    </row>
    <row r="13" spans="1:16" ht="15.75" customHeight="1" x14ac:dyDescent="0.2">
      <c r="A13" s="11" t="s">
        <v>162</v>
      </c>
      <c r="B13" s="11" t="s">
        <v>3</v>
      </c>
      <c r="C13" s="11" t="s">
        <v>6</v>
      </c>
      <c r="D13" s="11" t="s">
        <v>6</v>
      </c>
      <c r="E13" s="11" t="s">
        <v>6</v>
      </c>
      <c r="F13" s="19" t="s">
        <v>6</v>
      </c>
      <c r="G13" s="93" t="s">
        <v>1036</v>
      </c>
      <c r="H13" s="93" t="s">
        <v>1035</v>
      </c>
      <c r="I13" s="19"/>
      <c r="J13" s="19"/>
      <c r="K13" s="19"/>
      <c r="L13" s="19"/>
      <c r="M13" s="19"/>
      <c r="N13" s="19"/>
      <c r="O13" s="19"/>
      <c r="P13" s="19"/>
    </row>
    <row r="14" spans="1:16" ht="15.75" customHeight="1" x14ac:dyDescent="0.2">
      <c r="A14" s="11" t="s">
        <v>163</v>
      </c>
      <c r="B14" s="11" t="s">
        <v>3</v>
      </c>
      <c r="C14" s="11" t="s">
        <v>6</v>
      </c>
      <c r="D14" s="11" t="s">
        <v>6</v>
      </c>
      <c r="E14" s="11" t="s">
        <v>6</v>
      </c>
      <c r="F14" s="19" t="s">
        <v>6</v>
      </c>
      <c r="G14" s="93" t="s">
        <v>1038</v>
      </c>
      <c r="H14" s="93" t="s">
        <v>1037</v>
      </c>
      <c r="I14" s="19"/>
      <c r="J14" s="19"/>
      <c r="K14" s="19"/>
      <c r="L14" s="19"/>
      <c r="M14" s="19"/>
      <c r="N14" s="19"/>
      <c r="O14" s="19"/>
      <c r="P14" s="19"/>
    </row>
    <row r="15" spans="1:16" ht="15.75" customHeight="1" x14ac:dyDescent="0.2">
      <c r="A15" s="11" t="s">
        <v>164</v>
      </c>
      <c r="B15" s="11" t="s">
        <v>3</v>
      </c>
      <c r="C15" s="11" t="s">
        <v>6</v>
      </c>
      <c r="D15" s="11" t="s">
        <v>6</v>
      </c>
      <c r="E15" s="11" t="s">
        <v>6</v>
      </c>
      <c r="F15" s="19" t="s">
        <v>6</v>
      </c>
      <c r="G15" s="93" t="s">
        <v>1040</v>
      </c>
      <c r="H15" s="93" t="s">
        <v>1039</v>
      </c>
      <c r="I15" s="19"/>
      <c r="J15" s="19"/>
      <c r="K15" s="19"/>
      <c r="L15" s="19"/>
      <c r="M15" s="19"/>
      <c r="N15" s="19"/>
      <c r="O15" s="19"/>
      <c r="P15" s="19"/>
    </row>
    <row r="16" spans="1:16" ht="15.75" customHeight="1" x14ac:dyDescent="0.2">
      <c r="A16" s="11" t="s">
        <v>165</v>
      </c>
      <c r="B16" s="11" t="s">
        <v>3</v>
      </c>
      <c r="C16" s="11" t="s">
        <v>4</v>
      </c>
      <c r="D16" s="11" t="s">
        <v>4</v>
      </c>
      <c r="E16" s="11" t="s">
        <v>4</v>
      </c>
      <c r="F16" s="19" t="s">
        <v>4</v>
      </c>
      <c r="G16" s="93" t="s">
        <v>1042</v>
      </c>
      <c r="H16" s="93" t="s">
        <v>1041</v>
      </c>
      <c r="I16" s="19"/>
      <c r="J16" s="19"/>
      <c r="K16" s="19"/>
      <c r="L16" s="19"/>
      <c r="M16" s="19"/>
      <c r="N16" s="19"/>
      <c r="O16" s="19"/>
      <c r="P16" s="19"/>
    </row>
    <row r="17" spans="1:16" ht="15.75" customHeight="1" x14ac:dyDescent="0.2">
      <c r="A17" s="11" t="s">
        <v>166</v>
      </c>
      <c r="B17" s="11" t="s">
        <v>3</v>
      </c>
      <c r="C17" s="11" t="s">
        <v>6</v>
      </c>
      <c r="D17" s="11" t="s">
        <v>6</v>
      </c>
      <c r="E17" s="11" t="s">
        <v>4</v>
      </c>
      <c r="F17" s="19" t="s">
        <v>4</v>
      </c>
      <c r="G17" s="93" t="s">
        <v>1044</v>
      </c>
      <c r="H17" s="93" t="s">
        <v>1043</v>
      </c>
      <c r="I17" s="19"/>
      <c r="J17" s="19"/>
      <c r="K17" s="19"/>
      <c r="L17" s="19"/>
      <c r="M17" s="19"/>
      <c r="N17" s="19"/>
      <c r="O17" s="19"/>
      <c r="P17" s="19"/>
    </row>
    <row r="18" spans="1:16" ht="15.75" customHeight="1" x14ac:dyDescent="0.2">
      <c r="A18" s="11" t="s">
        <v>167</v>
      </c>
      <c r="B18" s="11" t="s">
        <v>3</v>
      </c>
      <c r="C18" s="11" t="s">
        <v>6</v>
      </c>
      <c r="D18" s="11" t="s">
        <v>6</v>
      </c>
      <c r="E18" s="11" t="s">
        <v>6</v>
      </c>
      <c r="F18" s="19" t="s">
        <v>6</v>
      </c>
      <c r="G18" s="93" t="s">
        <v>1046</v>
      </c>
      <c r="H18" s="93" t="s">
        <v>1045</v>
      </c>
      <c r="I18" s="19"/>
      <c r="J18" s="19"/>
      <c r="K18" s="19"/>
      <c r="L18" s="19"/>
      <c r="M18" s="19"/>
      <c r="N18" s="19"/>
      <c r="O18" s="19"/>
      <c r="P18" s="19"/>
    </row>
    <row r="19" spans="1:16" ht="15.75" customHeight="1" x14ac:dyDescent="0.2">
      <c r="A19" s="12" t="s">
        <v>168</v>
      </c>
      <c r="B19" s="12" t="s">
        <v>3</v>
      </c>
      <c r="C19" s="12" t="s">
        <v>6</v>
      </c>
      <c r="D19" s="12" t="s">
        <v>6</v>
      </c>
      <c r="E19" s="12" t="s">
        <v>6</v>
      </c>
      <c r="F19" s="83" t="s">
        <v>6</v>
      </c>
      <c r="G19" s="93" t="s">
        <v>1048</v>
      </c>
      <c r="H19" s="93" t="s">
        <v>1047</v>
      </c>
      <c r="I19" s="19"/>
      <c r="J19" s="19"/>
      <c r="K19" s="19"/>
      <c r="L19" s="19"/>
      <c r="M19" s="19"/>
      <c r="N19" s="19"/>
      <c r="O19" s="19"/>
      <c r="P19" s="19"/>
    </row>
    <row r="20" spans="1:16" ht="15.75" customHeight="1" x14ac:dyDescent="0.2">
      <c r="A20" s="11" t="s">
        <v>183</v>
      </c>
      <c r="B20" s="11" t="s">
        <v>23</v>
      </c>
      <c r="C20" s="11" t="s">
        <v>6</v>
      </c>
      <c r="D20" s="11" t="s">
        <v>6</v>
      </c>
      <c r="E20" s="11" t="s">
        <v>6</v>
      </c>
      <c r="F20" s="70" t="s">
        <v>6</v>
      </c>
      <c r="G20" s="93" t="s">
        <v>1118</v>
      </c>
      <c r="H20" s="93" t="s">
        <v>1117</v>
      </c>
      <c r="I20" s="11">
        <f>COUNTIF(C20:C37,"&lt;&gt;N")</f>
        <v>17</v>
      </c>
      <c r="J20" s="11">
        <f>COUNTIF(D20:D37,"&lt;&gt;N")</f>
        <v>12</v>
      </c>
      <c r="K20" s="11">
        <f>COUNTIF(E20:E37,"&lt;&gt;N")</f>
        <v>12</v>
      </c>
      <c r="L20" s="11">
        <f>COUNTIF(F20:F37,"&lt;&gt;N")</f>
        <v>11</v>
      </c>
      <c r="M20" s="19"/>
      <c r="N20" s="19"/>
      <c r="O20" s="19"/>
      <c r="P20" s="19"/>
    </row>
    <row r="21" spans="1:16" ht="15.75" customHeight="1" x14ac:dyDescent="0.2">
      <c r="A21" s="11" t="s">
        <v>177</v>
      </c>
      <c r="B21" s="11" t="s">
        <v>23</v>
      </c>
      <c r="C21" s="11" t="s">
        <v>6</v>
      </c>
      <c r="D21" s="11" t="s">
        <v>6</v>
      </c>
      <c r="E21" s="11" t="s">
        <v>6</v>
      </c>
      <c r="F21" s="70" t="s">
        <v>6</v>
      </c>
      <c r="G21" s="93" t="s">
        <v>1120</v>
      </c>
      <c r="H21" s="93" t="s">
        <v>1119</v>
      </c>
      <c r="J21" s="19"/>
      <c r="K21" s="19"/>
      <c r="L21" s="19"/>
      <c r="M21" s="19"/>
      <c r="N21" s="19"/>
      <c r="O21" s="19"/>
      <c r="P21" s="19"/>
    </row>
    <row r="22" spans="1:16" ht="15.75" customHeight="1" x14ac:dyDescent="0.2">
      <c r="A22" s="11" t="s">
        <v>187</v>
      </c>
      <c r="B22" s="11" t="s">
        <v>23</v>
      </c>
      <c r="C22" s="11" t="s">
        <v>6</v>
      </c>
      <c r="D22" s="11" t="s">
        <v>6</v>
      </c>
      <c r="E22" s="11" t="s">
        <v>6</v>
      </c>
      <c r="F22" s="70" t="s">
        <v>6</v>
      </c>
      <c r="G22" s="93" t="s">
        <v>1122</v>
      </c>
      <c r="H22" s="93" t="s">
        <v>1121</v>
      </c>
      <c r="J22" s="19"/>
      <c r="K22" s="19"/>
      <c r="L22" s="19"/>
      <c r="M22" s="19"/>
      <c r="N22" s="19"/>
      <c r="O22" s="19"/>
      <c r="P22" s="19"/>
    </row>
    <row r="23" spans="1:16" ht="15.75" customHeight="1" x14ac:dyDescent="0.2">
      <c r="A23" s="11" t="s">
        <v>178</v>
      </c>
      <c r="B23" s="11" t="s">
        <v>23</v>
      </c>
      <c r="C23" s="11" t="s">
        <v>6</v>
      </c>
      <c r="D23" s="11" t="s">
        <v>6</v>
      </c>
      <c r="E23" s="11" t="s">
        <v>6</v>
      </c>
      <c r="F23" s="70" t="s">
        <v>6</v>
      </c>
      <c r="G23" s="93" t="s">
        <v>1124</v>
      </c>
      <c r="H23" s="93" t="s">
        <v>1123</v>
      </c>
      <c r="J23" s="19"/>
      <c r="K23" s="19"/>
      <c r="L23" s="19"/>
      <c r="M23" s="19"/>
      <c r="N23" s="19"/>
      <c r="O23" s="19"/>
      <c r="P23" s="19"/>
    </row>
    <row r="24" spans="1:16" ht="15.75" customHeight="1" x14ac:dyDescent="0.2">
      <c r="A24" s="11" t="s">
        <v>179</v>
      </c>
      <c r="B24" s="11" t="s">
        <v>23</v>
      </c>
      <c r="C24" s="11" t="s">
        <v>6</v>
      </c>
      <c r="D24" s="11" t="s">
        <v>4</v>
      </c>
      <c r="E24" s="11" t="s">
        <v>4</v>
      </c>
      <c r="F24" s="70" t="s">
        <v>4</v>
      </c>
      <c r="G24" s="93" t="s">
        <v>1126</v>
      </c>
      <c r="H24" s="93" t="s">
        <v>1125</v>
      </c>
      <c r="J24" s="19"/>
      <c r="K24" s="19"/>
      <c r="L24" s="19"/>
      <c r="M24" s="19"/>
      <c r="N24" s="19"/>
      <c r="O24" s="19"/>
      <c r="P24" s="19"/>
    </row>
    <row r="25" spans="1:16" ht="15.75" customHeight="1" x14ac:dyDescent="0.2">
      <c r="A25" s="11" t="s">
        <v>180</v>
      </c>
      <c r="B25" s="11" t="s">
        <v>23</v>
      </c>
      <c r="C25" s="11" t="s">
        <v>6</v>
      </c>
      <c r="D25" s="11" t="s">
        <v>6</v>
      </c>
      <c r="E25" s="11" t="s">
        <v>181</v>
      </c>
      <c r="F25" s="70" t="s">
        <v>6</v>
      </c>
      <c r="G25" s="93" t="s">
        <v>1128</v>
      </c>
      <c r="H25" s="93" t="s">
        <v>1127</v>
      </c>
      <c r="J25" s="19"/>
      <c r="K25" s="19"/>
      <c r="L25" s="19"/>
      <c r="M25" s="19"/>
      <c r="N25" s="19"/>
      <c r="O25" s="19"/>
      <c r="P25" s="19"/>
    </row>
    <row r="26" spans="1:16" ht="15.75" customHeight="1" x14ac:dyDescent="0.2">
      <c r="A26" s="11" t="s">
        <v>169</v>
      </c>
      <c r="B26" s="11" t="s">
        <v>23</v>
      </c>
      <c r="C26" s="11" t="s">
        <v>6</v>
      </c>
      <c r="D26" s="11" t="s">
        <v>4</v>
      </c>
      <c r="E26" s="11" t="s">
        <v>4</v>
      </c>
      <c r="F26" s="70" t="s">
        <v>4</v>
      </c>
      <c r="G26" s="93" t="s">
        <v>1132</v>
      </c>
      <c r="H26" s="93" t="s">
        <v>1131</v>
      </c>
      <c r="J26" s="19"/>
      <c r="K26" s="19"/>
      <c r="L26" s="19"/>
      <c r="M26" s="19"/>
      <c r="N26" s="19"/>
      <c r="O26" s="19"/>
      <c r="P26" s="19"/>
    </row>
    <row r="27" spans="1:16" ht="15.75" customHeight="1" x14ac:dyDescent="0.2">
      <c r="A27" s="11" t="s">
        <v>185</v>
      </c>
      <c r="B27" s="11" t="s">
        <v>23</v>
      </c>
      <c r="C27" s="11" t="s">
        <v>4</v>
      </c>
      <c r="D27" s="11" t="s">
        <v>4</v>
      </c>
      <c r="E27" s="11" t="s">
        <v>4</v>
      </c>
      <c r="F27" s="70" t="s">
        <v>4</v>
      </c>
      <c r="G27" s="93" t="s">
        <v>1134</v>
      </c>
      <c r="H27" s="93" t="s">
        <v>1133</v>
      </c>
      <c r="J27" s="19"/>
      <c r="K27" s="19"/>
      <c r="L27" s="19"/>
      <c r="M27" s="19"/>
      <c r="N27" s="19"/>
      <c r="O27" s="19"/>
      <c r="P27" s="19"/>
    </row>
    <row r="28" spans="1:16" ht="15.75" customHeight="1" x14ac:dyDescent="0.2">
      <c r="A28" s="11" t="s">
        <v>170</v>
      </c>
      <c r="B28" s="11" t="s">
        <v>23</v>
      </c>
      <c r="C28" s="11" t="s">
        <v>6</v>
      </c>
      <c r="D28" s="11" t="s">
        <v>6</v>
      </c>
      <c r="E28" s="11" t="s">
        <v>6</v>
      </c>
      <c r="F28" s="70" t="s">
        <v>6</v>
      </c>
      <c r="G28" s="93" t="s">
        <v>1136</v>
      </c>
      <c r="H28" s="93" t="s">
        <v>1135</v>
      </c>
      <c r="J28" s="19"/>
      <c r="K28" s="19"/>
      <c r="L28" s="19"/>
      <c r="M28" s="19"/>
      <c r="N28" s="19"/>
      <c r="O28" s="19"/>
      <c r="P28" s="19"/>
    </row>
    <row r="29" spans="1:16" ht="15.75" customHeight="1" x14ac:dyDescent="0.2">
      <c r="A29" s="11" t="s">
        <v>186</v>
      </c>
      <c r="B29" s="11" t="s">
        <v>23</v>
      </c>
      <c r="C29" s="11" t="s">
        <v>6</v>
      </c>
      <c r="D29" s="11" t="s">
        <v>150</v>
      </c>
      <c r="E29" s="11" t="s">
        <v>150</v>
      </c>
      <c r="F29" s="70" t="s">
        <v>6</v>
      </c>
      <c r="G29" s="93" t="s">
        <v>1140</v>
      </c>
      <c r="H29" s="93" t="s">
        <v>1139</v>
      </c>
      <c r="J29" s="19"/>
      <c r="K29" s="19"/>
      <c r="L29" s="19"/>
      <c r="M29" s="19"/>
      <c r="N29" s="19"/>
      <c r="O29" s="19"/>
      <c r="P29" s="19"/>
    </row>
    <row r="30" spans="1:16" ht="15.75" customHeight="1" x14ac:dyDescent="0.2">
      <c r="A30" s="11" t="s">
        <v>171</v>
      </c>
      <c r="B30" s="11" t="s">
        <v>23</v>
      </c>
      <c r="C30" s="11" t="s">
        <v>6</v>
      </c>
      <c r="D30" s="11" t="s">
        <v>6</v>
      </c>
      <c r="E30" s="11" t="s">
        <v>6</v>
      </c>
      <c r="F30" s="70" t="s">
        <v>4</v>
      </c>
      <c r="G30" s="93" t="s">
        <v>1142</v>
      </c>
      <c r="H30" s="93" t="s">
        <v>1141</v>
      </c>
      <c r="J30" s="19"/>
      <c r="K30" s="19"/>
      <c r="L30" s="19"/>
      <c r="M30" s="19"/>
      <c r="N30" s="19"/>
      <c r="O30" s="19"/>
      <c r="P30" s="19"/>
    </row>
    <row r="31" spans="1:16" ht="15.75" customHeight="1" x14ac:dyDescent="0.2">
      <c r="A31" s="11" t="s">
        <v>172</v>
      </c>
      <c r="B31" s="11" t="s">
        <v>23</v>
      </c>
      <c r="C31" s="11" t="s">
        <v>6</v>
      </c>
      <c r="D31" s="11" t="s">
        <v>4</v>
      </c>
      <c r="E31" s="11" t="s">
        <v>4</v>
      </c>
      <c r="F31" s="70" t="s">
        <v>4</v>
      </c>
      <c r="G31" s="93" t="s">
        <v>1144</v>
      </c>
      <c r="H31" s="93" t="s">
        <v>1143</v>
      </c>
      <c r="J31" s="19"/>
      <c r="K31" s="19"/>
      <c r="L31" s="19"/>
      <c r="M31" s="19"/>
      <c r="N31" s="19"/>
      <c r="O31" s="19"/>
      <c r="P31" s="19"/>
    </row>
    <row r="32" spans="1:16" ht="15.75" customHeight="1" x14ac:dyDescent="0.2">
      <c r="A32" s="11" t="s">
        <v>173</v>
      </c>
      <c r="B32" s="11" t="s">
        <v>23</v>
      </c>
      <c r="C32" s="11" t="s">
        <v>6</v>
      </c>
      <c r="D32" s="11" t="s">
        <v>6</v>
      </c>
      <c r="E32" s="11" t="s">
        <v>6</v>
      </c>
      <c r="F32" s="70" t="s">
        <v>6</v>
      </c>
      <c r="G32" s="93" t="s">
        <v>1148</v>
      </c>
      <c r="H32" s="93" t="s">
        <v>1147</v>
      </c>
      <c r="J32" s="19"/>
      <c r="K32" s="19"/>
      <c r="L32" s="19"/>
      <c r="M32" s="19"/>
      <c r="N32" s="19"/>
      <c r="O32" s="19"/>
      <c r="P32" s="19"/>
    </row>
    <row r="33" spans="1:16" ht="15.75" customHeight="1" x14ac:dyDescent="0.2">
      <c r="A33" s="11" t="s">
        <v>174</v>
      </c>
      <c r="B33" s="11" t="s">
        <v>23</v>
      </c>
      <c r="C33" s="11" t="s">
        <v>6</v>
      </c>
      <c r="D33" s="11" t="s">
        <v>6</v>
      </c>
      <c r="E33" s="11" t="s">
        <v>6</v>
      </c>
      <c r="F33" s="70" t="s">
        <v>6</v>
      </c>
      <c r="G33" s="93" t="s">
        <v>1150</v>
      </c>
      <c r="H33" s="93" t="s">
        <v>1149</v>
      </c>
      <c r="J33" s="19"/>
      <c r="K33" s="19"/>
      <c r="L33" s="19"/>
      <c r="M33" s="19"/>
      <c r="N33" s="19"/>
      <c r="O33" s="19"/>
      <c r="P33" s="19"/>
    </row>
    <row r="34" spans="1:16" ht="15.75" customHeight="1" x14ac:dyDescent="0.2">
      <c r="A34" s="11" t="s">
        <v>184</v>
      </c>
      <c r="B34" s="11" t="s">
        <v>23</v>
      </c>
      <c r="C34" s="11" t="s">
        <v>6</v>
      </c>
      <c r="D34" s="11" t="s">
        <v>4</v>
      </c>
      <c r="E34" s="11" t="s">
        <v>4</v>
      </c>
      <c r="F34" s="70" t="s">
        <v>4</v>
      </c>
      <c r="G34" s="93" t="s">
        <v>1152</v>
      </c>
      <c r="H34" s="93" t="s">
        <v>1151</v>
      </c>
      <c r="J34" s="19"/>
      <c r="K34" s="19"/>
      <c r="L34" s="19"/>
      <c r="M34" s="19"/>
      <c r="N34" s="19"/>
      <c r="O34" s="19"/>
      <c r="P34" s="19"/>
    </row>
    <row r="35" spans="1:16" ht="15.75" customHeight="1" x14ac:dyDescent="0.2">
      <c r="A35" s="11" t="s">
        <v>175</v>
      </c>
      <c r="B35" s="11" t="s">
        <v>23</v>
      </c>
      <c r="C35" s="11" t="s">
        <v>6</v>
      </c>
      <c r="D35" s="11" t="s">
        <v>6</v>
      </c>
      <c r="E35" s="11" t="s">
        <v>6</v>
      </c>
      <c r="F35" s="70" t="s">
        <v>4</v>
      </c>
      <c r="G35" s="93" t="s">
        <v>1154</v>
      </c>
      <c r="H35" s="93" t="s">
        <v>1153</v>
      </c>
      <c r="J35" s="19"/>
      <c r="K35" s="19"/>
      <c r="L35" s="19"/>
      <c r="M35" s="19"/>
      <c r="N35" s="19"/>
      <c r="O35" s="19"/>
      <c r="P35" s="19"/>
    </row>
    <row r="36" spans="1:16" ht="15.75" customHeight="1" x14ac:dyDescent="0.2">
      <c r="A36" s="11" t="s">
        <v>176</v>
      </c>
      <c r="B36" s="11" t="s">
        <v>23</v>
      </c>
      <c r="C36" s="11" t="s">
        <v>6</v>
      </c>
      <c r="D36" s="11" t="s">
        <v>4</v>
      </c>
      <c r="E36" s="11" t="s">
        <v>4</v>
      </c>
      <c r="F36" s="70" t="s">
        <v>6</v>
      </c>
      <c r="G36" s="93" t="s">
        <v>1156</v>
      </c>
      <c r="H36" s="93" t="s">
        <v>1155</v>
      </c>
      <c r="J36" s="19"/>
      <c r="K36" s="19"/>
      <c r="L36" s="19"/>
      <c r="M36" s="19"/>
      <c r="N36" s="19"/>
      <c r="O36" s="19"/>
      <c r="P36" s="19"/>
    </row>
    <row r="37" spans="1:16" ht="15.75" customHeight="1" x14ac:dyDescent="0.2">
      <c r="A37" s="12" t="s">
        <v>182</v>
      </c>
      <c r="B37" s="12" t="s">
        <v>23</v>
      </c>
      <c r="C37" s="12" t="s">
        <v>6</v>
      </c>
      <c r="D37" s="12" t="s">
        <v>6</v>
      </c>
      <c r="E37" s="12" t="s">
        <v>6</v>
      </c>
      <c r="F37" s="70" t="s">
        <v>6</v>
      </c>
      <c r="G37" s="93" t="s">
        <v>1158</v>
      </c>
      <c r="H37" s="93" t="s">
        <v>1157</v>
      </c>
      <c r="J37" s="19"/>
      <c r="K37" s="19"/>
      <c r="L37" s="19"/>
      <c r="M37" s="19"/>
      <c r="N37" s="19"/>
      <c r="O37" s="19"/>
      <c r="P37" s="19"/>
    </row>
    <row r="38" spans="1:16" ht="15.75" customHeight="1" x14ac:dyDescent="0.2">
      <c r="A38" s="11">
        <v>1</v>
      </c>
      <c r="B38" s="11" t="s">
        <v>24</v>
      </c>
      <c r="C38" s="11" t="s">
        <v>6</v>
      </c>
      <c r="D38" s="11" t="s">
        <v>4</v>
      </c>
      <c r="E38" s="11" t="s">
        <v>4</v>
      </c>
      <c r="F38" s="19" t="s">
        <v>4</v>
      </c>
      <c r="G38" s="93" t="s">
        <v>442</v>
      </c>
      <c r="H38" s="93" t="s">
        <v>441</v>
      </c>
      <c r="I38" s="11">
        <f>COUNTIF(C38:C55,"&lt;&gt;N")</f>
        <v>15</v>
      </c>
      <c r="J38" s="11">
        <f>COUNTIF(D38:D55,"&lt;&gt;N")</f>
        <v>3</v>
      </c>
      <c r="K38" s="11">
        <f>COUNTIF(E38:E55,"&lt;&gt;N")</f>
        <v>3</v>
      </c>
      <c r="L38" s="11">
        <f>COUNTIF(F38:F55,"&lt;&gt;N")</f>
        <v>4</v>
      </c>
      <c r="M38" s="19"/>
      <c r="N38" s="19"/>
      <c r="O38" s="19"/>
      <c r="P38" s="19"/>
    </row>
    <row r="39" spans="1:16" ht="15.75" customHeight="1" x14ac:dyDescent="0.2">
      <c r="A39" s="11">
        <v>1284</v>
      </c>
      <c r="B39" s="11" t="s">
        <v>24</v>
      </c>
      <c r="C39" s="11" t="s">
        <v>6</v>
      </c>
      <c r="D39" s="11" t="s">
        <v>4</v>
      </c>
      <c r="E39" s="11" t="s">
        <v>4</v>
      </c>
      <c r="F39" s="19" t="s">
        <v>4</v>
      </c>
      <c r="G39" s="93" t="s">
        <v>484</v>
      </c>
      <c r="H39" s="93" t="s">
        <v>483</v>
      </c>
      <c r="J39" s="19"/>
      <c r="K39" s="19"/>
      <c r="L39" s="19"/>
      <c r="M39" s="19"/>
      <c r="N39" s="19"/>
      <c r="O39" s="19"/>
      <c r="P39" s="19"/>
    </row>
    <row r="40" spans="1:16" ht="15.75" customHeight="1" x14ac:dyDescent="0.2">
      <c r="A40" s="11">
        <v>1546</v>
      </c>
      <c r="B40" s="11" t="s">
        <v>24</v>
      </c>
      <c r="C40" s="11" t="s">
        <v>150</v>
      </c>
      <c r="D40" s="11" t="s">
        <v>150</v>
      </c>
      <c r="E40" s="11" t="s">
        <v>150</v>
      </c>
      <c r="F40" s="19" t="s">
        <v>6</v>
      </c>
      <c r="G40" s="93" t="s">
        <v>502</v>
      </c>
      <c r="H40" s="93" t="s">
        <v>501</v>
      </c>
      <c r="J40" s="19"/>
      <c r="K40" s="19"/>
      <c r="L40" s="19"/>
      <c r="M40" s="19"/>
      <c r="N40" s="19"/>
      <c r="O40" s="19"/>
      <c r="P40" s="19"/>
    </row>
    <row r="41" spans="1:16" ht="15.75" customHeight="1" x14ac:dyDescent="0.2">
      <c r="A41" s="11">
        <v>1564</v>
      </c>
      <c r="B41" s="11" t="s">
        <v>24</v>
      </c>
      <c r="C41" s="11" t="s">
        <v>6</v>
      </c>
      <c r="D41" s="11" t="s">
        <v>6</v>
      </c>
      <c r="E41" s="11" t="s">
        <v>6</v>
      </c>
      <c r="F41" s="19" t="s">
        <v>6</v>
      </c>
      <c r="G41" s="93" t="s">
        <v>506</v>
      </c>
      <c r="H41" s="93" t="s">
        <v>505</v>
      </c>
      <c r="J41" s="19"/>
      <c r="K41" s="19"/>
      <c r="L41" s="19"/>
      <c r="M41" s="19"/>
      <c r="N41" s="19"/>
      <c r="O41" s="19"/>
      <c r="P41" s="19"/>
    </row>
    <row r="42" spans="1:16" ht="15.75" customHeight="1" x14ac:dyDescent="0.2">
      <c r="A42" s="11">
        <v>1677</v>
      </c>
      <c r="B42" s="11" t="s">
        <v>24</v>
      </c>
      <c r="C42" s="11" t="s">
        <v>6</v>
      </c>
      <c r="D42" s="11" t="s">
        <v>4</v>
      </c>
      <c r="E42" s="11" t="s">
        <v>4</v>
      </c>
      <c r="F42" s="19" t="s">
        <v>4</v>
      </c>
      <c r="G42" s="93" t="s">
        <v>508</v>
      </c>
      <c r="H42" s="93" t="s">
        <v>507</v>
      </c>
      <c r="J42" s="19"/>
      <c r="K42" s="19"/>
      <c r="L42" s="19"/>
      <c r="M42" s="19"/>
      <c r="N42" s="19"/>
      <c r="O42" s="19"/>
      <c r="P42" s="19"/>
    </row>
    <row r="43" spans="1:16" ht="15.75" customHeight="1" x14ac:dyDescent="0.2">
      <c r="A43" s="11">
        <v>2333</v>
      </c>
      <c r="B43" s="11" t="s">
        <v>24</v>
      </c>
      <c r="C43" s="11" t="s">
        <v>6</v>
      </c>
      <c r="D43" s="11" t="s">
        <v>4</v>
      </c>
      <c r="E43" s="11" t="s">
        <v>4</v>
      </c>
      <c r="F43" s="19" t="s">
        <v>4</v>
      </c>
      <c r="G43" s="93" t="s">
        <v>518</v>
      </c>
      <c r="H43" s="93" t="s">
        <v>517</v>
      </c>
      <c r="J43" s="19"/>
      <c r="K43" s="19"/>
      <c r="L43" s="19"/>
      <c r="M43" s="19"/>
      <c r="N43" s="19"/>
      <c r="O43" s="19"/>
      <c r="P43" s="19"/>
    </row>
    <row r="44" spans="1:16" ht="15.75" customHeight="1" x14ac:dyDescent="0.2">
      <c r="A44" s="11">
        <v>2376</v>
      </c>
      <c r="B44" s="11" t="s">
        <v>24</v>
      </c>
      <c r="C44" s="11" t="s">
        <v>4</v>
      </c>
      <c r="D44" s="11" t="s">
        <v>4</v>
      </c>
      <c r="E44" s="11" t="s">
        <v>4</v>
      </c>
      <c r="F44" s="19" t="s">
        <v>4</v>
      </c>
      <c r="G44" s="93" t="s">
        <v>520</v>
      </c>
      <c r="H44" s="93" t="s">
        <v>519</v>
      </c>
      <c r="J44" s="19"/>
      <c r="K44" s="19"/>
      <c r="L44" s="19"/>
      <c r="M44" s="19"/>
      <c r="N44" s="19"/>
      <c r="O44" s="19"/>
      <c r="P44" s="19"/>
    </row>
    <row r="45" spans="1:16" ht="15.75" customHeight="1" x14ac:dyDescent="0.2">
      <c r="A45" s="11">
        <v>4495</v>
      </c>
      <c r="B45" s="11" t="s">
        <v>24</v>
      </c>
      <c r="C45" s="11" t="s">
        <v>6</v>
      </c>
      <c r="D45" s="11" t="s">
        <v>4</v>
      </c>
      <c r="E45" s="11" t="s">
        <v>4</v>
      </c>
      <c r="F45" s="19" t="s">
        <v>4</v>
      </c>
      <c r="G45" s="93" t="s">
        <v>576</v>
      </c>
      <c r="H45" s="93" t="s">
        <v>575</v>
      </c>
      <c r="J45" s="19"/>
      <c r="K45" s="19"/>
      <c r="L45" s="19"/>
      <c r="M45" s="19"/>
      <c r="N45" s="19"/>
      <c r="O45" s="19"/>
      <c r="P45" s="19"/>
    </row>
    <row r="46" spans="1:16" ht="15.75" customHeight="1" x14ac:dyDescent="0.2">
      <c r="A46" s="11">
        <v>5239</v>
      </c>
      <c r="B46" s="11" t="s">
        <v>24</v>
      </c>
      <c r="C46" s="11" t="s">
        <v>6</v>
      </c>
      <c r="D46" s="11" t="s">
        <v>4</v>
      </c>
      <c r="E46" s="11" t="s">
        <v>4</v>
      </c>
      <c r="F46" s="19" t="s">
        <v>4</v>
      </c>
      <c r="G46" s="93" t="s">
        <v>600</v>
      </c>
      <c r="H46" s="93" t="s">
        <v>599</v>
      </c>
      <c r="J46" s="19"/>
      <c r="K46" s="19"/>
      <c r="L46" s="19"/>
      <c r="M46" s="19"/>
      <c r="N46" s="19"/>
      <c r="O46" s="19"/>
      <c r="P46" s="19"/>
    </row>
    <row r="47" spans="1:16" ht="15.75" customHeight="1" x14ac:dyDescent="0.2">
      <c r="A47" s="11">
        <v>5425</v>
      </c>
      <c r="B47" s="11" t="s">
        <v>24</v>
      </c>
      <c r="C47" s="11" t="s">
        <v>6</v>
      </c>
      <c r="D47" s="11" t="s">
        <v>4</v>
      </c>
      <c r="E47" s="11" t="s">
        <v>4</v>
      </c>
      <c r="F47" s="19" t="s">
        <v>4</v>
      </c>
      <c r="G47" s="93" t="s">
        <v>606</v>
      </c>
      <c r="H47" s="93" t="s">
        <v>605</v>
      </c>
      <c r="J47" s="19"/>
      <c r="K47" s="19"/>
      <c r="L47" s="19"/>
      <c r="M47" s="19"/>
      <c r="N47" s="19"/>
      <c r="O47" s="19"/>
      <c r="P47" s="19"/>
    </row>
    <row r="48" spans="1:16" ht="15.75" customHeight="1" x14ac:dyDescent="0.2">
      <c r="A48" s="11">
        <v>6143</v>
      </c>
      <c r="B48" s="11" t="s">
        <v>24</v>
      </c>
      <c r="C48" s="11" t="s">
        <v>6</v>
      </c>
      <c r="D48" s="11" t="s">
        <v>4</v>
      </c>
      <c r="E48" s="11" t="s">
        <v>4</v>
      </c>
      <c r="F48" s="19" t="s">
        <v>4</v>
      </c>
      <c r="G48" s="93" t="s">
        <v>612</v>
      </c>
      <c r="H48" s="93" t="s">
        <v>611</v>
      </c>
      <c r="J48" s="19"/>
      <c r="K48" s="19"/>
      <c r="L48" s="19"/>
      <c r="M48" s="19"/>
      <c r="N48" s="19"/>
      <c r="O48" s="19"/>
      <c r="P48" s="19"/>
    </row>
    <row r="49" spans="1:16" ht="15.75" customHeight="1" x14ac:dyDescent="0.2">
      <c r="A49" s="11">
        <v>6770</v>
      </c>
      <c r="B49" s="11" t="s">
        <v>24</v>
      </c>
      <c r="C49" s="11" t="s">
        <v>6</v>
      </c>
      <c r="D49" s="11" t="s">
        <v>4</v>
      </c>
      <c r="E49" s="11" t="s">
        <v>4</v>
      </c>
      <c r="F49" s="19" t="s">
        <v>4</v>
      </c>
      <c r="G49" s="93" t="s">
        <v>622</v>
      </c>
      <c r="H49" s="93" t="s">
        <v>621</v>
      </c>
      <c r="J49" s="19"/>
      <c r="K49" s="19"/>
      <c r="L49" s="19"/>
      <c r="M49" s="19"/>
      <c r="N49" s="19"/>
      <c r="O49" s="19"/>
      <c r="P49" s="19"/>
    </row>
    <row r="50" spans="1:16" ht="15.75" customHeight="1" x14ac:dyDescent="0.2">
      <c r="A50" s="11">
        <v>6992</v>
      </c>
      <c r="B50" s="11" t="s">
        <v>24</v>
      </c>
      <c r="C50" s="11" t="s">
        <v>4</v>
      </c>
      <c r="D50" s="11" t="s">
        <v>4</v>
      </c>
      <c r="E50" s="11" t="s">
        <v>4</v>
      </c>
      <c r="F50" s="19" t="s">
        <v>4</v>
      </c>
      <c r="G50" s="93" t="s">
        <v>626</v>
      </c>
      <c r="H50" s="93" t="s">
        <v>625</v>
      </c>
      <c r="J50" s="19"/>
      <c r="K50" s="19"/>
      <c r="L50" s="19"/>
      <c r="M50" s="19"/>
      <c r="N50" s="19"/>
      <c r="O50" s="19"/>
      <c r="P50" s="19"/>
    </row>
    <row r="51" spans="1:16" ht="15.75" customHeight="1" x14ac:dyDescent="0.2">
      <c r="A51" s="11">
        <v>7427</v>
      </c>
      <c r="B51" s="11" t="s">
        <v>24</v>
      </c>
      <c r="C51" s="11" t="s">
        <v>4</v>
      </c>
      <c r="D51" s="11" t="s">
        <v>4</v>
      </c>
      <c r="E51" s="11" t="s">
        <v>4</v>
      </c>
      <c r="F51" s="19" t="s">
        <v>4</v>
      </c>
      <c r="G51" s="93" t="s">
        <v>632</v>
      </c>
      <c r="H51" s="93" t="s">
        <v>631</v>
      </c>
      <c r="J51" s="19"/>
      <c r="K51" s="19"/>
      <c r="L51" s="19"/>
      <c r="M51" s="19"/>
      <c r="N51" s="19"/>
      <c r="O51" s="19"/>
      <c r="P51" s="19"/>
    </row>
    <row r="52" spans="1:16" ht="15.75" customHeight="1" x14ac:dyDescent="0.2">
      <c r="A52" s="11">
        <v>7455</v>
      </c>
      <c r="B52" s="11" t="s">
        <v>24</v>
      </c>
      <c r="C52" s="11" t="s">
        <v>6</v>
      </c>
      <c r="D52" s="11" t="s">
        <v>4</v>
      </c>
      <c r="E52" s="11" t="s">
        <v>4</v>
      </c>
      <c r="F52" s="19" t="s">
        <v>6</v>
      </c>
      <c r="G52" s="93" t="s">
        <v>634</v>
      </c>
      <c r="H52" s="93" t="s">
        <v>633</v>
      </c>
      <c r="J52" s="19"/>
      <c r="K52" s="19"/>
      <c r="L52" s="19"/>
      <c r="M52" s="19"/>
      <c r="N52" s="19"/>
      <c r="O52" s="19"/>
      <c r="P52" s="19"/>
    </row>
    <row r="53" spans="1:16" ht="15.75" customHeight="1" x14ac:dyDescent="0.2">
      <c r="A53" s="11">
        <v>8162</v>
      </c>
      <c r="B53" s="11" t="s">
        <v>24</v>
      </c>
      <c r="C53" s="11" t="s">
        <v>6</v>
      </c>
      <c r="D53" s="11" t="s">
        <v>4</v>
      </c>
      <c r="E53" s="11" t="s">
        <v>4</v>
      </c>
      <c r="F53" s="19" t="s">
        <v>6</v>
      </c>
      <c r="G53" s="93" t="s">
        <v>638</v>
      </c>
      <c r="H53" s="93" t="s">
        <v>637</v>
      </c>
      <c r="J53" s="19"/>
      <c r="K53" s="19"/>
      <c r="L53" s="19"/>
      <c r="M53" s="19"/>
      <c r="N53" s="19"/>
      <c r="O53" s="19"/>
      <c r="P53" s="19"/>
    </row>
    <row r="54" spans="1:16" ht="15.75" customHeight="1" x14ac:dyDescent="0.2">
      <c r="A54" s="11">
        <v>9006</v>
      </c>
      <c r="B54" s="11" t="s">
        <v>24</v>
      </c>
      <c r="C54" s="11" t="s">
        <v>6</v>
      </c>
      <c r="D54" s="11" t="s">
        <v>6</v>
      </c>
      <c r="E54" s="11" t="s">
        <v>6</v>
      </c>
      <c r="F54" s="19" t="s">
        <v>4</v>
      </c>
      <c r="G54" s="93" t="s">
        <v>646</v>
      </c>
      <c r="H54" s="93" t="s">
        <v>645</v>
      </c>
      <c r="J54" s="19"/>
      <c r="K54" s="19"/>
      <c r="L54" s="19"/>
      <c r="M54" s="19"/>
      <c r="N54" s="19"/>
      <c r="O54" s="19"/>
      <c r="P54" s="19"/>
    </row>
    <row r="55" spans="1:16" ht="15.75" customHeight="1" x14ac:dyDescent="0.2">
      <c r="A55" s="12">
        <v>9625</v>
      </c>
      <c r="B55" s="12" t="s">
        <v>24</v>
      </c>
      <c r="C55" s="12" t="s">
        <v>6</v>
      </c>
      <c r="D55" s="12" t="s">
        <v>4</v>
      </c>
      <c r="E55" s="12" t="s">
        <v>4</v>
      </c>
      <c r="F55" s="19" t="s">
        <v>4</v>
      </c>
      <c r="G55" s="93" t="s">
        <v>658</v>
      </c>
      <c r="H55" s="93" t="s">
        <v>657</v>
      </c>
      <c r="J55" s="19"/>
      <c r="K55" s="19"/>
      <c r="L55" s="19"/>
      <c r="M55" s="19"/>
      <c r="N55" s="19"/>
      <c r="O55" s="19"/>
      <c r="P55" s="19"/>
    </row>
    <row r="56" spans="1:16" ht="15.75" customHeight="1" x14ac:dyDescent="0.2">
      <c r="A56" s="11" t="s">
        <v>205</v>
      </c>
      <c r="B56" s="13" t="s">
        <v>119</v>
      </c>
      <c r="C56" s="11" t="s">
        <v>6</v>
      </c>
      <c r="D56" s="11" t="s">
        <v>6</v>
      </c>
      <c r="E56" s="11" t="s">
        <v>6</v>
      </c>
      <c r="F56" s="11" t="s">
        <v>6</v>
      </c>
      <c r="G56" s="93" t="s">
        <v>924</v>
      </c>
      <c r="H56" s="93" t="s">
        <v>923</v>
      </c>
      <c r="I56" s="11">
        <f>COUNTIF(C56:C73,"&lt;&gt;N")</f>
        <v>18</v>
      </c>
      <c r="J56" s="11">
        <f>COUNTIF(D56:D73,"&lt;&gt;N")</f>
        <v>15</v>
      </c>
      <c r="K56" s="11">
        <f>COUNTIF(E56:E73,"&lt;&gt;N")</f>
        <v>15</v>
      </c>
      <c r="L56" s="11">
        <f>COUNTIF(F56:F73,"&lt;&gt;N")</f>
        <v>14</v>
      </c>
      <c r="M56" s="19"/>
      <c r="N56" s="19"/>
      <c r="O56" s="19"/>
      <c r="P56" s="19"/>
    </row>
    <row r="57" spans="1:16" ht="15.75" customHeight="1" x14ac:dyDescent="0.2">
      <c r="A57" s="11" t="s">
        <v>199</v>
      </c>
      <c r="B57" s="11" t="s">
        <v>119</v>
      </c>
      <c r="C57" s="11" t="s">
        <v>6</v>
      </c>
      <c r="D57" s="11" t="s">
        <v>6</v>
      </c>
      <c r="E57" s="11" t="s">
        <v>6</v>
      </c>
      <c r="F57" s="11" t="s">
        <v>6</v>
      </c>
      <c r="G57" s="93" t="s">
        <v>936</v>
      </c>
      <c r="H57" s="93" t="s">
        <v>935</v>
      </c>
      <c r="I57" s="19"/>
      <c r="J57" s="19"/>
      <c r="K57" s="19"/>
      <c r="L57" s="19"/>
      <c r="M57" s="19"/>
      <c r="N57" s="19"/>
      <c r="O57" s="19"/>
      <c r="P57" s="19"/>
    </row>
    <row r="58" spans="1:16" ht="15.75" customHeight="1" x14ac:dyDescent="0.2">
      <c r="A58" s="11" t="s">
        <v>200</v>
      </c>
      <c r="B58" s="11" t="s">
        <v>119</v>
      </c>
      <c r="C58" s="11" t="s">
        <v>150</v>
      </c>
      <c r="D58" s="11" t="s">
        <v>150</v>
      </c>
      <c r="E58" s="11" t="s">
        <v>150</v>
      </c>
      <c r="F58" s="11" t="s">
        <v>6</v>
      </c>
      <c r="G58" s="93" t="s">
        <v>946</v>
      </c>
      <c r="H58" s="93" t="s">
        <v>945</v>
      </c>
      <c r="I58" s="19"/>
      <c r="J58" s="19"/>
      <c r="K58" s="19"/>
      <c r="L58" s="19"/>
      <c r="M58" s="19"/>
      <c r="N58" s="19"/>
      <c r="O58" s="19"/>
      <c r="P58" s="19"/>
    </row>
    <row r="59" spans="1:16" ht="15.75" customHeight="1" x14ac:dyDescent="0.2">
      <c r="A59" s="11" t="s">
        <v>201</v>
      </c>
      <c r="B59" s="11" t="s">
        <v>119</v>
      </c>
      <c r="C59" s="11" t="s">
        <v>6</v>
      </c>
      <c r="D59" s="11" t="s">
        <v>6</v>
      </c>
      <c r="E59" s="11" t="s">
        <v>6</v>
      </c>
      <c r="F59" s="11" t="s">
        <v>6</v>
      </c>
      <c r="G59" s="93" t="s">
        <v>950</v>
      </c>
      <c r="H59" s="93" t="s">
        <v>949</v>
      </c>
      <c r="I59" s="19"/>
      <c r="J59" s="19"/>
      <c r="K59" s="19"/>
      <c r="L59" s="19"/>
      <c r="M59" s="19"/>
      <c r="N59" s="19"/>
      <c r="O59" s="19"/>
      <c r="P59" s="19"/>
    </row>
    <row r="60" spans="1:16" ht="15.75" customHeight="1" x14ac:dyDescent="0.2">
      <c r="A60" s="11" t="s">
        <v>202</v>
      </c>
      <c r="B60" s="11" t="s">
        <v>119</v>
      </c>
      <c r="C60" s="11" t="s">
        <v>6</v>
      </c>
      <c r="D60" s="11" t="s">
        <v>6</v>
      </c>
      <c r="E60" s="11" t="s">
        <v>6</v>
      </c>
      <c r="F60" s="11" t="s">
        <v>6</v>
      </c>
      <c r="G60" s="93" t="s">
        <v>964</v>
      </c>
      <c r="H60" s="93" t="s">
        <v>963</v>
      </c>
      <c r="I60" s="19"/>
      <c r="J60" s="19"/>
      <c r="K60" s="19"/>
      <c r="L60" s="19"/>
      <c r="M60" s="19"/>
      <c r="N60" s="19"/>
      <c r="O60" s="19"/>
      <c r="P60" s="19"/>
    </row>
    <row r="61" spans="1:16" ht="15.75" customHeight="1" x14ac:dyDescent="0.2">
      <c r="A61" s="11" t="s">
        <v>203</v>
      </c>
      <c r="B61" s="11" t="s">
        <v>119</v>
      </c>
      <c r="C61" s="11" t="s">
        <v>6</v>
      </c>
      <c r="D61" s="11" t="s">
        <v>6</v>
      </c>
      <c r="E61" s="11" t="s">
        <v>6</v>
      </c>
      <c r="F61" s="11" t="s">
        <v>6</v>
      </c>
      <c r="G61" s="93" t="s">
        <v>982</v>
      </c>
      <c r="H61" s="93" t="s">
        <v>981</v>
      </c>
      <c r="I61" s="19"/>
      <c r="J61" s="19"/>
      <c r="K61" s="19"/>
      <c r="L61" s="19"/>
      <c r="M61" s="19"/>
      <c r="N61" s="19"/>
      <c r="O61" s="19"/>
      <c r="P61" s="19"/>
    </row>
    <row r="62" spans="1:16" ht="15.75" customHeight="1" x14ac:dyDescent="0.2">
      <c r="A62" s="11" t="s">
        <v>204</v>
      </c>
      <c r="B62" s="11" t="s">
        <v>119</v>
      </c>
      <c r="C62" s="11" t="s">
        <v>6</v>
      </c>
      <c r="D62" s="11" t="s">
        <v>6</v>
      </c>
      <c r="E62" s="11" t="s">
        <v>6</v>
      </c>
      <c r="F62" s="11" t="s">
        <v>6</v>
      </c>
      <c r="G62" s="93" t="s">
        <v>984</v>
      </c>
      <c r="H62" s="93" t="s">
        <v>983</v>
      </c>
      <c r="I62" s="19"/>
      <c r="J62" s="19"/>
      <c r="K62" s="19"/>
      <c r="L62" s="19"/>
      <c r="M62" s="19"/>
      <c r="N62" s="19"/>
      <c r="O62" s="19"/>
      <c r="P62" s="19"/>
    </row>
    <row r="63" spans="1:16" ht="15.75" customHeight="1" x14ac:dyDescent="0.2">
      <c r="A63" s="11" t="s">
        <v>188</v>
      </c>
      <c r="B63" s="11" t="s">
        <v>119</v>
      </c>
      <c r="C63" s="11" t="s">
        <v>6</v>
      </c>
      <c r="D63" s="11" t="s">
        <v>6</v>
      </c>
      <c r="E63" s="11" t="s">
        <v>6</v>
      </c>
      <c r="F63" s="11" t="s">
        <v>6</v>
      </c>
      <c r="G63" s="93" t="s">
        <v>1186</v>
      </c>
      <c r="H63" s="93" t="s">
        <v>1185</v>
      </c>
      <c r="I63" s="19"/>
      <c r="J63" s="19"/>
      <c r="K63" s="19"/>
      <c r="L63" s="19"/>
      <c r="M63" s="19"/>
      <c r="N63" s="19"/>
      <c r="O63" s="19"/>
      <c r="P63" s="19"/>
    </row>
    <row r="64" spans="1:16" ht="15.75" customHeight="1" x14ac:dyDescent="0.2">
      <c r="A64" s="11" t="s">
        <v>189</v>
      </c>
      <c r="B64" s="11" t="s">
        <v>119</v>
      </c>
      <c r="C64" s="11" t="s">
        <v>6</v>
      </c>
      <c r="D64" s="11" t="s">
        <v>6</v>
      </c>
      <c r="E64" s="11" t="s">
        <v>6</v>
      </c>
      <c r="F64" s="11" t="s">
        <v>6</v>
      </c>
      <c r="G64" s="93" t="s">
        <v>1188</v>
      </c>
      <c r="H64" s="93" t="s">
        <v>1187</v>
      </c>
      <c r="I64" s="19"/>
      <c r="J64" s="19"/>
      <c r="K64" s="19"/>
      <c r="L64" s="19"/>
      <c r="M64" s="19"/>
      <c r="N64" s="19"/>
      <c r="O64" s="19"/>
      <c r="P64" s="19"/>
    </row>
    <row r="65" spans="1:16" ht="15.75" customHeight="1" x14ac:dyDescent="0.2">
      <c r="A65" s="11" t="s">
        <v>190</v>
      </c>
      <c r="B65" s="11" t="s">
        <v>119</v>
      </c>
      <c r="C65" s="11" t="s">
        <v>6</v>
      </c>
      <c r="D65" s="11" t="s">
        <v>6</v>
      </c>
      <c r="E65" s="11" t="s">
        <v>6</v>
      </c>
      <c r="F65" s="11" t="s">
        <v>6</v>
      </c>
      <c r="G65" s="93" t="s">
        <v>1190</v>
      </c>
      <c r="H65" s="93" t="s">
        <v>1189</v>
      </c>
      <c r="I65" s="19"/>
      <c r="J65" s="19"/>
      <c r="K65" s="19"/>
      <c r="L65" s="19"/>
      <c r="M65" s="19"/>
      <c r="N65" s="19"/>
      <c r="O65" s="19"/>
      <c r="P65" s="19"/>
    </row>
    <row r="66" spans="1:16" ht="15.75" customHeight="1" x14ac:dyDescent="0.2">
      <c r="A66" s="11" t="s">
        <v>191</v>
      </c>
      <c r="B66" s="11" t="s">
        <v>119</v>
      </c>
      <c r="C66" s="11" t="s">
        <v>6</v>
      </c>
      <c r="D66" s="11" t="s">
        <v>6</v>
      </c>
      <c r="E66" s="11" t="s">
        <v>6</v>
      </c>
      <c r="F66" s="11" t="s">
        <v>6</v>
      </c>
      <c r="G66" s="93" t="s">
        <v>1192</v>
      </c>
      <c r="H66" s="93" t="s">
        <v>1191</v>
      </c>
      <c r="I66" s="19"/>
      <c r="J66" s="19"/>
      <c r="K66" s="19"/>
      <c r="L66" s="19"/>
      <c r="M66" s="19"/>
      <c r="N66" s="19"/>
      <c r="O66" s="19"/>
      <c r="P66" s="19"/>
    </row>
    <row r="67" spans="1:16" ht="15.75" customHeight="1" x14ac:dyDescent="0.2">
      <c r="A67" s="11" t="s">
        <v>192</v>
      </c>
      <c r="B67" s="11" t="s">
        <v>119</v>
      </c>
      <c r="C67" s="11" t="s">
        <v>6</v>
      </c>
      <c r="D67" s="11" t="s">
        <v>6</v>
      </c>
      <c r="E67" s="11" t="s">
        <v>6</v>
      </c>
      <c r="F67" s="11" t="s">
        <v>6</v>
      </c>
      <c r="G67" s="93" t="s">
        <v>1194</v>
      </c>
      <c r="H67" s="93" t="s">
        <v>1193</v>
      </c>
      <c r="I67" s="19"/>
      <c r="J67" s="19"/>
      <c r="K67" s="19"/>
      <c r="L67" s="19"/>
      <c r="M67" s="19"/>
      <c r="N67" s="19"/>
      <c r="O67" s="19"/>
      <c r="P67" s="19"/>
    </row>
    <row r="68" spans="1:16" ht="15.75" customHeight="1" x14ac:dyDescent="0.2">
      <c r="A68" s="11" t="s">
        <v>193</v>
      </c>
      <c r="B68" s="11" t="s">
        <v>119</v>
      </c>
      <c r="C68" s="11" t="s">
        <v>6</v>
      </c>
      <c r="D68" s="11" t="s">
        <v>4</v>
      </c>
      <c r="E68" s="11" t="s">
        <v>4</v>
      </c>
      <c r="F68" s="11" t="s">
        <v>6</v>
      </c>
      <c r="G68" s="93" t="s">
        <v>1196</v>
      </c>
      <c r="H68" s="93" t="s">
        <v>1195</v>
      </c>
      <c r="I68" s="19"/>
      <c r="J68" s="19"/>
      <c r="K68" s="19"/>
      <c r="L68" s="19"/>
      <c r="M68" s="19"/>
      <c r="N68" s="19"/>
      <c r="O68" s="19"/>
      <c r="P68" s="19"/>
    </row>
    <row r="69" spans="1:16" ht="15.75" customHeight="1" x14ac:dyDescent="0.2">
      <c r="A69" s="11" t="s">
        <v>194</v>
      </c>
      <c r="B69" s="11" t="s">
        <v>119</v>
      </c>
      <c r="C69" s="11" t="s">
        <v>6</v>
      </c>
      <c r="D69" s="11" t="s">
        <v>4</v>
      </c>
      <c r="E69" s="11" t="s">
        <v>4</v>
      </c>
      <c r="F69" s="11" t="s">
        <v>4</v>
      </c>
      <c r="G69" s="93" t="s">
        <v>1198</v>
      </c>
      <c r="H69" s="93" t="s">
        <v>1197</v>
      </c>
      <c r="I69" s="19"/>
      <c r="J69" s="19"/>
      <c r="K69" s="19"/>
      <c r="L69" s="19"/>
      <c r="M69" s="19"/>
      <c r="N69" s="19"/>
      <c r="O69" s="19"/>
      <c r="P69" s="19"/>
    </row>
    <row r="70" spans="1:16" ht="15.75" customHeight="1" x14ac:dyDescent="0.2">
      <c r="A70" s="11" t="s">
        <v>195</v>
      </c>
      <c r="B70" s="11" t="s">
        <v>119</v>
      </c>
      <c r="C70" s="11" t="s">
        <v>6</v>
      </c>
      <c r="D70" s="11" t="s">
        <v>6</v>
      </c>
      <c r="E70" s="11" t="s">
        <v>6</v>
      </c>
      <c r="F70" s="11" t="s">
        <v>4</v>
      </c>
      <c r="G70" s="93" t="s">
        <v>1200</v>
      </c>
      <c r="H70" s="93" t="s">
        <v>1199</v>
      </c>
      <c r="I70" s="19"/>
      <c r="J70" s="19"/>
      <c r="K70" s="19"/>
      <c r="L70" s="19"/>
      <c r="M70" s="19"/>
      <c r="N70" s="19"/>
      <c r="O70" s="19"/>
      <c r="P70" s="19"/>
    </row>
    <row r="71" spans="1:16" ht="15.75" customHeight="1" x14ac:dyDescent="0.2">
      <c r="A71" s="11" t="s">
        <v>196</v>
      </c>
      <c r="B71" s="11" t="s">
        <v>119</v>
      </c>
      <c r="C71" s="11" t="s">
        <v>6</v>
      </c>
      <c r="D71" s="11" t="s">
        <v>4</v>
      </c>
      <c r="E71" s="11" t="s">
        <v>4</v>
      </c>
      <c r="F71" s="11" t="s">
        <v>4</v>
      </c>
      <c r="G71" s="93" t="s">
        <v>1202</v>
      </c>
      <c r="H71" s="93" t="s">
        <v>1201</v>
      </c>
      <c r="I71" s="19"/>
      <c r="J71" s="19"/>
      <c r="K71" s="19"/>
      <c r="L71" s="19"/>
      <c r="M71" s="19"/>
      <c r="N71" s="19"/>
      <c r="O71" s="19"/>
      <c r="P71" s="19"/>
    </row>
    <row r="72" spans="1:16" ht="15.75" customHeight="1" x14ac:dyDescent="0.2">
      <c r="A72" s="11" t="s">
        <v>197</v>
      </c>
      <c r="B72" s="11" t="s">
        <v>119</v>
      </c>
      <c r="C72" s="11" t="s">
        <v>150</v>
      </c>
      <c r="D72" s="11" t="s">
        <v>150</v>
      </c>
      <c r="E72" s="11" t="s">
        <v>181</v>
      </c>
      <c r="F72" s="11" t="s">
        <v>4</v>
      </c>
      <c r="G72" s="93" t="s">
        <v>1204</v>
      </c>
      <c r="H72" s="93" t="s">
        <v>1203</v>
      </c>
      <c r="I72" s="19"/>
      <c r="J72" s="19"/>
      <c r="K72" s="19"/>
      <c r="L72" s="19"/>
      <c r="M72" s="19"/>
      <c r="N72" s="19"/>
      <c r="O72" s="19"/>
      <c r="P72" s="19"/>
    </row>
    <row r="73" spans="1:16" ht="15.75" customHeight="1" x14ac:dyDescent="0.2">
      <c r="A73" s="12" t="s">
        <v>198</v>
      </c>
      <c r="B73" s="12" t="s">
        <v>119</v>
      </c>
      <c r="C73" s="12" t="s">
        <v>6</v>
      </c>
      <c r="D73" s="12" t="s">
        <v>6</v>
      </c>
      <c r="E73" s="12" t="s">
        <v>6</v>
      </c>
      <c r="F73" s="12" t="s">
        <v>6</v>
      </c>
      <c r="G73" s="93" t="s">
        <v>1206</v>
      </c>
      <c r="H73" s="93" t="s">
        <v>1205</v>
      </c>
      <c r="I73" s="19"/>
      <c r="J73" s="19"/>
      <c r="K73" s="19"/>
      <c r="L73" s="19"/>
      <c r="M73" s="19"/>
      <c r="N73" s="19"/>
      <c r="O73" s="19"/>
      <c r="P73" s="19"/>
    </row>
    <row r="74" spans="1:16" ht="15.75" customHeight="1" x14ac:dyDescent="0.2">
      <c r="A74" s="15"/>
      <c r="B74" s="15"/>
      <c r="C74" s="15"/>
      <c r="D74" s="15"/>
      <c r="E74" s="15"/>
      <c r="F74" s="21"/>
      <c r="G74" s="11"/>
      <c r="H74" s="11"/>
      <c r="I74" s="19"/>
      <c r="J74" s="19"/>
      <c r="K74" s="19"/>
      <c r="L74" s="19"/>
      <c r="M74" s="19"/>
      <c r="N74" s="19"/>
      <c r="O74" s="19"/>
      <c r="P74" s="19"/>
    </row>
    <row r="75" spans="1:16" ht="15.75" customHeight="1" x14ac:dyDescent="0.2">
      <c r="A75" s="15"/>
      <c r="B75" s="15"/>
      <c r="C75" s="15"/>
      <c r="D75" s="15"/>
      <c r="E75" s="15"/>
      <c r="F75" s="21"/>
      <c r="G75" s="11"/>
      <c r="H75" s="11"/>
      <c r="I75" s="19"/>
      <c r="J75" s="19"/>
      <c r="K75" s="19"/>
      <c r="L75" s="19"/>
      <c r="M75" s="19"/>
      <c r="N75" s="19"/>
      <c r="O75" s="19"/>
      <c r="P75" s="19"/>
    </row>
    <row r="76" spans="1:16" ht="15.75" customHeight="1" x14ac:dyDescent="0.2">
      <c r="A76" s="15"/>
      <c r="B76" s="15"/>
      <c r="C76" s="15"/>
      <c r="D76" s="15"/>
      <c r="E76" s="15"/>
      <c r="F76" s="21"/>
      <c r="G76" s="11"/>
      <c r="H76" s="11"/>
      <c r="I76" s="19"/>
      <c r="J76" s="19"/>
      <c r="K76" s="19"/>
      <c r="L76" s="19"/>
      <c r="M76" s="19"/>
      <c r="N76" s="19"/>
      <c r="O76" s="19"/>
      <c r="P76" s="19"/>
    </row>
    <row r="77" spans="1:16" ht="15.75" customHeight="1" x14ac:dyDescent="0.2">
      <c r="A77" s="19"/>
      <c r="B77" s="19"/>
      <c r="C77" s="19"/>
      <c r="D77" s="19"/>
      <c r="E77" s="19"/>
      <c r="F77" s="19"/>
      <c r="G77" s="11"/>
      <c r="H77" s="11"/>
      <c r="I77" s="19"/>
      <c r="J77" s="19"/>
      <c r="K77" s="19"/>
      <c r="L77" s="19"/>
      <c r="M77" s="19"/>
      <c r="N77" s="19"/>
      <c r="O77" s="19"/>
      <c r="P77" s="19"/>
    </row>
    <row r="78" spans="1:16" ht="15.75" customHeight="1" x14ac:dyDescent="0.2">
      <c r="A78" s="19"/>
      <c r="B78" s="19"/>
      <c r="C78" s="19"/>
      <c r="D78" s="19"/>
      <c r="E78" s="19"/>
      <c r="F78" s="19"/>
      <c r="G78" s="11"/>
      <c r="H78" s="11"/>
      <c r="I78" s="19"/>
      <c r="J78" s="19"/>
      <c r="K78" s="19"/>
      <c r="L78" s="19"/>
      <c r="M78" s="19"/>
      <c r="N78" s="19"/>
      <c r="O78" s="19"/>
      <c r="P78" s="19"/>
    </row>
    <row r="79" spans="1:16" ht="15.75" customHeight="1" x14ac:dyDescent="0.2">
      <c r="A79" s="19"/>
      <c r="B79" s="19"/>
      <c r="C79" s="19"/>
      <c r="D79" s="19"/>
      <c r="E79" s="19"/>
      <c r="F79" s="19"/>
      <c r="G79" s="11"/>
      <c r="H79" s="11"/>
      <c r="I79" s="19"/>
      <c r="J79" s="19"/>
      <c r="K79" s="19"/>
      <c r="L79" s="19"/>
      <c r="M79" s="19"/>
      <c r="N79" s="19"/>
      <c r="O79" s="19"/>
      <c r="P79" s="19"/>
    </row>
    <row r="80" spans="1:16" ht="15.75" customHeight="1" x14ac:dyDescent="0.2">
      <c r="A80" s="19"/>
      <c r="B80" s="19"/>
      <c r="C80" s="19"/>
      <c r="D80" s="19"/>
      <c r="E80" s="19"/>
      <c r="F80" s="19"/>
      <c r="G80" s="11"/>
      <c r="H80" s="11"/>
      <c r="I80" s="19"/>
      <c r="J80" s="19"/>
      <c r="K80" s="19"/>
      <c r="L80" s="19"/>
      <c r="M80" s="19"/>
      <c r="N80" s="19"/>
      <c r="O80" s="19"/>
      <c r="P80" s="19"/>
    </row>
    <row r="81" spans="1:16" ht="15.75" customHeight="1" x14ac:dyDescent="0.2">
      <c r="A81" s="19"/>
      <c r="B81" s="19"/>
      <c r="C81" s="19"/>
      <c r="D81" s="19"/>
      <c r="E81" s="19"/>
      <c r="F81" s="19"/>
      <c r="G81" s="11"/>
      <c r="H81" s="11"/>
      <c r="I81" s="19"/>
      <c r="J81" s="19"/>
      <c r="K81" s="19"/>
      <c r="L81" s="19"/>
      <c r="M81" s="19"/>
      <c r="N81" s="19"/>
      <c r="O81" s="19"/>
      <c r="P81" s="19"/>
    </row>
    <row r="82" spans="1:16" ht="15.75" customHeight="1" x14ac:dyDescent="0.2">
      <c r="A82" s="19"/>
      <c r="B82" s="19"/>
      <c r="C82" s="19"/>
      <c r="D82" s="19"/>
      <c r="E82" s="19"/>
      <c r="F82" s="19"/>
      <c r="G82" s="11"/>
      <c r="H82" s="11"/>
      <c r="I82" s="19"/>
      <c r="J82" s="19"/>
      <c r="K82" s="19"/>
      <c r="L82" s="19"/>
      <c r="M82" s="19"/>
      <c r="N82" s="19"/>
      <c r="O82" s="19"/>
      <c r="P82" s="19"/>
    </row>
    <row r="83" spans="1:16" ht="15.75" customHeight="1" x14ac:dyDescent="0.2">
      <c r="A83" s="19"/>
      <c r="B83" s="19"/>
      <c r="C83" s="19"/>
      <c r="D83" s="19"/>
      <c r="E83" s="19"/>
      <c r="F83" s="19"/>
      <c r="G83" s="11"/>
      <c r="H83" s="11"/>
      <c r="I83" s="19"/>
      <c r="J83" s="19"/>
      <c r="K83" s="19"/>
      <c r="L83" s="19"/>
      <c r="M83" s="19"/>
      <c r="N83" s="19"/>
      <c r="O83" s="19"/>
      <c r="P83" s="19"/>
    </row>
    <row r="84" spans="1:16" ht="15.75" customHeight="1" x14ac:dyDescent="0.2">
      <c r="A84" s="19"/>
      <c r="B84" s="19"/>
      <c r="C84" s="19"/>
      <c r="D84" s="19"/>
      <c r="E84" s="19"/>
      <c r="F84" s="19"/>
      <c r="G84" s="11"/>
      <c r="H84" s="11"/>
      <c r="I84" s="19"/>
      <c r="J84" s="19"/>
      <c r="K84" s="19"/>
      <c r="L84" s="19"/>
      <c r="M84" s="19"/>
      <c r="N84" s="19"/>
      <c r="O84" s="19"/>
      <c r="P84" s="19"/>
    </row>
    <row r="85" spans="1:16" ht="15.75" customHeight="1" x14ac:dyDescent="0.2">
      <c r="A85" s="19"/>
      <c r="B85" s="19"/>
      <c r="C85" s="19"/>
      <c r="D85" s="19"/>
      <c r="E85" s="19"/>
      <c r="F85" s="19"/>
      <c r="G85" s="11"/>
      <c r="H85" s="11"/>
      <c r="I85" s="19"/>
      <c r="J85" s="19"/>
      <c r="K85" s="19"/>
      <c r="L85" s="19"/>
      <c r="M85" s="19"/>
      <c r="N85" s="19"/>
      <c r="O85" s="19"/>
      <c r="P85" s="19"/>
    </row>
    <row r="86" spans="1:16" ht="15.75" customHeight="1" x14ac:dyDescent="0.2">
      <c r="A86" s="19"/>
      <c r="B86" s="19"/>
      <c r="C86" s="19"/>
      <c r="D86" s="19"/>
      <c r="E86" s="19"/>
      <c r="F86" s="19"/>
      <c r="G86" s="11"/>
      <c r="H86" s="11"/>
      <c r="I86" s="19"/>
      <c r="J86" s="19"/>
      <c r="K86" s="19"/>
      <c r="L86" s="19"/>
      <c r="M86" s="19"/>
      <c r="N86" s="19"/>
      <c r="O86" s="19"/>
      <c r="P86" s="19"/>
    </row>
    <row r="87" spans="1:16" ht="15.75" customHeight="1" x14ac:dyDescent="0.2">
      <c r="A87" s="19"/>
      <c r="B87" s="19"/>
      <c r="C87" s="19"/>
      <c r="D87" s="19"/>
      <c r="E87" s="19"/>
      <c r="F87" s="19"/>
      <c r="G87" s="11"/>
      <c r="H87" s="11"/>
      <c r="I87" s="19"/>
      <c r="J87" s="19"/>
      <c r="K87" s="19"/>
      <c r="L87" s="19"/>
      <c r="M87" s="19"/>
      <c r="N87" s="19"/>
      <c r="O87" s="19"/>
      <c r="P87" s="19"/>
    </row>
    <row r="88" spans="1:16" ht="15.75" customHeight="1" x14ac:dyDescent="0.2">
      <c r="A88" s="19"/>
      <c r="B88" s="19"/>
      <c r="C88" s="19"/>
      <c r="D88" s="19"/>
      <c r="E88" s="19"/>
      <c r="F88" s="19"/>
      <c r="G88" s="11"/>
      <c r="H88" s="11"/>
      <c r="I88" s="19"/>
      <c r="J88" s="19"/>
      <c r="K88" s="19"/>
      <c r="L88" s="19"/>
      <c r="M88" s="19"/>
      <c r="N88" s="19"/>
      <c r="O88" s="19"/>
      <c r="P88" s="19"/>
    </row>
    <row r="89" spans="1:16" ht="15.75" customHeight="1" x14ac:dyDescent="0.2">
      <c r="A89" s="19"/>
      <c r="B89" s="19"/>
      <c r="C89" s="19"/>
      <c r="D89" s="19"/>
      <c r="E89" s="19"/>
      <c r="F89" s="19"/>
      <c r="G89" s="11"/>
      <c r="H89" s="11"/>
      <c r="I89" s="19"/>
      <c r="J89" s="19"/>
      <c r="K89" s="19"/>
      <c r="L89" s="19"/>
      <c r="M89" s="19"/>
      <c r="N89" s="19"/>
      <c r="O89" s="19"/>
      <c r="P89" s="19"/>
    </row>
    <row r="90" spans="1:16" ht="15.75" customHeight="1" x14ac:dyDescent="0.2">
      <c r="A90" s="19"/>
      <c r="B90" s="19"/>
      <c r="C90" s="19"/>
      <c r="D90" s="19"/>
      <c r="E90" s="19"/>
      <c r="F90" s="19"/>
      <c r="G90" s="11"/>
      <c r="H90" s="11"/>
      <c r="I90" s="19"/>
      <c r="J90" s="19"/>
      <c r="K90" s="19"/>
      <c r="L90" s="19"/>
      <c r="M90" s="19"/>
      <c r="N90" s="19"/>
      <c r="O90" s="19"/>
      <c r="P90" s="19"/>
    </row>
    <row r="91" spans="1:16" ht="15.75" customHeight="1" x14ac:dyDescent="0.2">
      <c r="A91" s="19"/>
      <c r="B91" s="19"/>
      <c r="C91" s="19"/>
      <c r="D91" s="19"/>
      <c r="E91" s="19"/>
      <c r="F91" s="19"/>
      <c r="G91" s="11"/>
      <c r="H91" s="11"/>
      <c r="I91" s="19"/>
      <c r="J91" s="19"/>
      <c r="K91" s="19"/>
      <c r="L91" s="19"/>
      <c r="M91" s="19"/>
      <c r="N91" s="19"/>
      <c r="O91" s="19"/>
      <c r="P91" s="19"/>
    </row>
    <row r="92" spans="1:16" ht="15.75" customHeight="1" x14ac:dyDescent="0.2">
      <c r="A92" s="19"/>
      <c r="B92" s="19"/>
      <c r="C92" s="19"/>
      <c r="D92" s="19"/>
      <c r="E92" s="19"/>
      <c r="F92" s="19"/>
      <c r="G92" s="11"/>
      <c r="H92" s="11"/>
      <c r="I92" s="19"/>
      <c r="J92" s="19"/>
      <c r="K92" s="19"/>
      <c r="L92" s="19"/>
      <c r="M92" s="19"/>
      <c r="N92" s="19"/>
      <c r="O92" s="19"/>
      <c r="P92" s="19"/>
    </row>
    <row r="93" spans="1:16" ht="15.75" customHeight="1" x14ac:dyDescent="0.2">
      <c r="A93" s="19"/>
      <c r="B93" s="19"/>
      <c r="C93" s="19"/>
      <c r="D93" s="19"/>
      <c r="E93" s="19"/>
      <c r="F93" s="19"/>
      <c r="G93" s="11"/>
      <c r="H93" s="11"/>
      <c r="I93" s="19"/>
      <c r="J93" s="19"/>
      <c r="K93" s="19"/>
      <c r="L93" s="19"/>
      <c r="M93" s="19"/>
      <c r="N93" s="19"/>
      <c r="O93" s="19"/>
      <c r="P93" s="19"/>
    </row>
    <row r="94" spans="1:16" ht="15.75" customHeight="1" x14ac:dyDescent="0.2">
      <c r="A94" s="19"/>
      <c r="B94" s="19"/>
      <c r="C94" s="19"/>
      <c r="D94" s="19"/>
      <c r="E94" s="19"/>
      <c r="F94" s="19"/>
      <c r="G94" s="11"/>
      <c r="H94" s="11"/>
      <c r="I94" s="19"/>
      <c r="J94" s="19"/>
      <c r="K94" s="19"/>
      <c r="L94" s="19"/>
      <c r="M94" s="19"/>
      <c r="N94" s="19"/>
      <c r="O94" s="19"/>
      <c r="P94" s="19"/>
    </row>
    <row r="95" spans="1:16" ht="15.75" customHeight="1" x14ac:dyDescent="0.2">
      <c r="A95" s="19"/>
      <c r="B95" s="19"/>
      <c r="C95" s="19"/>
      <c r="D95" s="19"/>
      <c r="E95" s="19"/>
      <c r="F95" s="19"/>
      <c r="G95" s="11"/>
      <c r="H95" s="11"/>
      <c r="I95" s="19"/>
      <c r="J95" s="19"/>
      <c r="K95" s="19"/>
      <c r="L95" s="19"/>
      <c r="M95" s="19"/>
      <c r="N95" s="19"/>
      <c r="O95" s="19"/>
      <c r="P95" s="19"/>
    </row>
    <row r="96" spans="1:16" ht="15.75" customHeight="1" x14ac:dyDescent="0.2">
      <c r="A96" s="19"/>
      <c r="B96" s="19"/>
      <c r="C96" s="19"/>
      <c r="D96" s="19"/>
      <c r="E96" s="19"/>
      <c r="F96" s="19"/>
      <c r="G96" s="11"/>
      <c r="H96" s="11"/>
      <c r="I96" s="19"/>
      <c r="J96" s="19"/>
      <c r="K96" s="19"/>
      <c r="L96" s="19"/>
      <c r="M96" s="19"/>
      <c r="N96" s="19"/>
      <c r="O96" s="19"/>
      <c r="P96" s="19"/>
    </row>
    <row r="97" spans="1:16" ht="15.75" customHeight="1" x14ac:dyDescent="0.2">
      <c r="A97" s="19"/>
      <c r="B97" s="19"/>
      <c r="C97" s="19"/>
      <c r="D97" s="19"/>
      <c r="E97" s="19"/>
      <c r="F97" s="19"/>
      <c r="G97" s="11"/>
      <c r="H97" s="11"/>
      <c r="I97" s="19"/>
      <c r="J97" s="19"/>
      <c r="K97" s="19"/>
      <c r="L97" s="19"/>
      <c r="M97" s="19"/>
      <c r="N97" s="19"/>
      <c r="O97" s="19"/>
      <c r="P97" s="19"/>
    </row>
    <row r="98" spans="1:16" ht="15.75" customHeight="1" x14ac:dyDescent="0.2">
      <c r="A98" s="19"/>
      <c r="B98" s="19"/>
      <c r="C98" s="19"/>
      <c r="D98" s="19"/>
      <c r="E98" s="19"/>
      <c r="F98" s="19"/>
      <c r="G98" s="11"/>
      <c r="H98" s="11"/>
      <c r="I98" s="19"/>
      <c r="J98" s="19"/>
      <c r="K98" s="19"/>
      <c r="L98" s="19"/>
      <c r="M98" s="19"/>
      <c r="N98" s="19"/>
      <c r="O98" s="19"/>
      <c r="P98" s="19"/>
    </row>
    <row r="99" spans="1:16" ht="15.75" customHeight="1" x14ac:dyDescent="0.2">
      <c r="A99" s="19"/>
      <c r="B99" s="19"/>
      <c r="C99" s="19"/>
      <c r="D99" s="19"/>
      <c r="E99" s="19"/>
      <c r="F99" s="19"/>
      <c r="G99" s="11"/>
      <c r="H99" s="11"/>
      <c r="I99" s="19"/>
      <c r="J99" s="19"/>
      <c r="K99" s="19"/>
      <c r="L99" s="19"/>
      <c r="M99" s="19"/>
      <c r="N99" s="19"/>
      <c r="O99" s="19"/>
      <c r="P99" s="19"/>
    </row>
    <row r="100" spans="1:16" ht="15.75" customHeight="1" x14ac:dyDescent="0.2">
      <c r="A100" s="19"/>
      <c r="B100" s="19"/>
      <c r="C100" s="19"/>
      <c r="D100" s="19"/>
      <c r="E100" s="19"/>
      <c r="F100" s="19"/>
      <c r="G100" s="11"/>
      <c r="H100" s="11"/>
      <c r="I100" s="19"/>
      <c r="J100" s="19"/>
      <c r="K100" s="19"/>
      <c r="L100" s="19"/>
      <c r="M100" s="19"/>
      <c r="N100" s="19"/>
      <c r="O100" s="19"/>
      <c r="P100" s="19"/>
    </row>
    <row r="101" spans="1:16" ht="15.75" customHeight="1" x14ac:dyDescent="0.2">
      <c r="A101" s="19"/>
      <c r="B101" s="19"/>
      <c r="C101" s="19"/>
      <c r="D101" s="19"/>
      <c r="E101" s="19"/>
      <c r="F101" s="19"/>
      <c r="G101" s="11"/>
      <c r="H101" s="11"/>
      <c r="I101" s="19"/>
      <c r="J101" s="19"/>
      <c r="K101" s="19"/>
      <c r="L101" s="19"/>
      <c r="M101" s="19"/>
      <c r="N101" s="19"/>
      <c r="O101" s="19"/>
      <c r="P101" s="19"/>
    </row>
    <row r="102" spans="1:16" ht="15.75" customHeight="1" x14ac:dyDescent="0.2">
      <c r="A102" s="19"/>
      <c r="B102" s="19"/>
      <c r="C102" s="19"/>
      <c r="D102" s="19"/>
      <c r="E102" s="19"/>
      <c r="F102" s="19"/>
      <c r="G102" s="11"/>
      <c r="H102" s="11"/>
      <c r="I102" s="19"/>
      <c r="J102" s="19"/>
      <c r="K102" s="19"/>
      <c r="L102" s="19"/>
      <c r="M102" s="19"/>
      <c r="N102" s="19"/>
      <c r="O102" s="19"/>
      <c r="P102" s="19"/>
    </row>
    <row r="103" spans="1:16" ht="15.75" customHeight="1" x14ac:dyDescent="0.2">
      <c r="A103" s="19"/>
      <c r="B103" s="19"/>
      <c r="C103" s="19"/>
      <c r="D103" s="19"/>
      <c r="E103" s="19"/>
      <c r="F103" s="19"/>
      <c r="G103" s="11"/>
      <c r="H103" s="11"/>
      <c r="I103" s="19"/>
      <c r="J103" s="19"/>
      <c r="K103" s="19"/>
      <c r="L103" s="19"/>
      <c r="M103" s="19"/>
      <c r="N103" s="19"/>
      <c r="O103" s="19"/>
      <c r="P103" s="19"/>
    </row>
    <row r="104" spans="1:16" ht="15.75" customHeight="1" x14ac:dyDescent="0.2">
      <c r="A104" s="19"/>
      <c r="B104" s="19"/>
      <c r="C104" s="19"/>
      <c r="D104" s="19"/>
      <c r="E104" s="19"/>
      <c r="F104" s="19"/>
      <c r="G104" s="11"/>
      <c r="H104" s="11"/>
      <c r="I104" s="19"/>
      <c r="J104" s="19"/>
      <c r="K104" s="19"/>
      <c r="L104" s="19"/>
      <c r="M104" s="19"/>
      <c r="N104" s="19"/>
      <c r="O104" s="19"/>
      <c r="P104" s="19"/>
    </row>
    <row r="105" spans="1:16" ht="15.75" customHeight="1" x14ac:dyDescent="0.2">
      <c r="A105" s="19"/>
      <c r="B105" s="19"/>
      <c r="C105" s="19"/>
      <c r="D105" s="19"/>
      <c r="E105" s="19"/>
      <c r="F105" s="19"/>
      <c r="G105" s="11"/>
      <c r="H105" s="11"/>
      <c r="I105" s="19"/>
      <c r="J105" s="19"/>
      <c r="K105" s="19"/>
      <c r="L105" s="19"/>
      <c r="M105" s="19"/>
      <c r="N105" s="19"/>
      <c r="O105" s="19"/>
      <c r="P105" s="19"/>
    </row>
    <row r="106" spans="1:16" ht="15.75" customHeight="1" x14ac:dyDescent="0.2">
      <c r="A106" s="19"/>
      <c r="B106" s="19"/>
      <c r="C106" s="19"/>
      <c r="D106" s="19"/>
      <c r="E106" s="19"/>
      <c r="F106" s="19"/>
      <c r="G106" s="11"/>
      <c r="H106" s="11"/>
      <c r="I106" s="19"/>
      <c r="J106" s="19"/>
      <c r="K106" s="19"/>
      <c r="L106" s="19"/>
      <c r="M106" s="19"/>
      <c r="N106" s="19"/>
      <c r="O106" s="19"/>
      <c r="P106" s="19"/>
    </row>
    <row r="107" spans="1:16" ht="15.75" customHeight="1" x14ac:dyDescent="0.2">
      <c r="A107" s="19"/>
      <c r="B107" s="19"/>
      <c r="C107" s="19"/>
      <c r="D107" s="19"/>
      <c r="E107" s="19"/>
      <c r="F107" s="19"/>
      <c r="G107" s="11"/>
      <c r="H107" s="11"/>
      <c r="I107" s="19"/>
      <c r="J107" s="19"/>
      <c r="K107" s="19"/>
      <c r="L107" s="19"/>
      <c r="M107" s="19"/>
      <c r="N107" s="19"/>
      <c r="O107" s="19"/>
      <c r="P107" s="19"/>
    </row>
    <row r="108" spans="1:16" ht="15.75" customHeight="1" x14ac:dyDescent="0.2">
      <c r="A108" s="19"/>
      <c r="B108" s="19"/>
      <c r="C108" s="19"/>
      <c r="D108" s="19"/>
      <c r="E108" s="19"/>
      <c r="F108" s="19"/>
      <c r="G108" s="11"/>
      <c r="H108" s="11"/>
      <c r="I108" s="19"/>
      <c r="J108" s="19"/>
      <c r="K108" s="19"/>
      <c r="L108" s="19"/>
      <c r="M108" s="19"/>
      <c r="N108" s="19"/>
      <c r="O108" s="19"/>
      <c r="P108" s="19"/>
    </row>
    <row r="109" spans="1:16" ht="15.75" customHeight="1" x14ac:dyDescent="0.2">
      <c r="A109" s="19"/>
      <c r="B109" s="19"/>
      <c r="C109" s="19"/>
      <c r="D109" s="19"/>
      <c r="E109" s="19"/>
      <c r="F109" s="19"/>
      <c r="G109" s="11"/>
      <c r="H109" s="11"/>
      <c r="I109" s="19"/>
      <c r="J109" s="19"/>
      <c r="K109" s="19"/>
      <c r="L109" s="19"/>
      <c r="M109" s="19"/>
      <c r="N109" s="19"/>
      <c r="O109" s="19"/>
      <c r="P109" s="19"/>
    </row>
    <row r="110" spans="1:16" ht="15.75" customHeight="1" x14ac:dyDescent="0.2">
      <c r="A110" s="19"/>
      <c r="B110" s="19"/>
      <c r="C110" s="19"/>
      <c r="D110" s="19"/>
      <c r="E110" s="19"/>
      <c r="F110" s="19"/>
      <c r="G110" s="11"/>
      <c r="H110" s="11"/>
      <c r="I110" s="19"/>
      <c r="J110" s="19"/>
      <c r="K110" s="19"/>
      <c r="L110" s="19"/>
      <c r="M110" s="19"/>
      <c r="N110" s="19"/>
      <c r="O110" s="19"/>
      <c r="P110" s="19"/>
    </row>
    <row r="111" spans="1:16" ht="15.75" customHeight="1" x14ac:dyDescent="0.2">
      <c r="A111" s="19"/>
      <c r="B111" s="19"/>
      <c r="C111" s="19"/>
      <c r="D111" s="19"/>
      <c r="E111" s="19"/>
      <c r="F111" s="19"/>
      <c r="G111" s="11"/>
      <c r="H111" s="11"/>
      <c r="I111" s="19"/>
      <c r="J111" s="19"/>
      <c r="K111" s="19"/>
      <c r="L111" s="19"/>
      <c r="M111" s="19"/>
      <c r="N111" s="19"/>
      <c r="O111" s="19"/>
      <c r="P111" s="19"/>
    </row>
    <row r="112" spans="1:16" ht="15.75" customHeight="1" x14ac:dyDescent="0.2">
      <c r="A112" s="19"/>
      <c r="B112" s="19"/>
      <c r="C112" s="19"/>
      <c r="D112" s="19"/>
      <c r="E112" s="19"/>
      <c r="F112" s="19"/>
      <c r="G112" s="11"/>
      <c r="H112" s="11"/>
      <c r="I112" s="19"/>
      <c r="J112" s="19"/>
      <c r="K112" s="19"/>
      <c r="L112" s="19"/>
      <c r="M112" s="19"/>
      <c r="N112" s="19"/>
      <c r="O112" s="19"/>
      <c r="P112" s="19"/>
    </row>
    <row r="113" spans="1:16" ht="15.75" customHeight="1" x14ac:dyDescent="0.2">
      <c r="A113" s="19"/>
      <c r="B113" s="19"/>
      <c r="C113" s="19"/>
      <c r="D113" s="19"/>
      <c r="E113" s="19"/>
      <c r="F113" s="19"/>
      <c r="G113" s="11"/>
      <c r="H113" s="11"/>
      <c r="I113" s="19"/>
      <c r="J113" s="19"/>
      <c r="K113" s="19"/>
      <c r="L113" s="19"/>
      <c r="M113" s="19"/>
      <c r="N113" s="19"/>
      <c r="O113" s="19"/>
      <c r="P113" s="19"/>
    </row>
    <row r="114" spans="1:16" ht="15.75" customHeight="1" x14ac:dyDescent="0.2">
      <c r="A114" s="19"/>
      <c r="B114" s="19"/>
      <c r="C114" s="19"/>
      <c r="D114" s="19"/>
      <c r="E114" s="19"/>
      <c r="F114" s="19"/>
      <c r="G114" s="11"/>
      <c r="H114" s="11"/>
      <c r="I114" s="19"/>
      <c r="J114" s="19"/>
      <c r="K114" s="19"/>
      <c r="L114" s="19"/>
      <c r="M114" s="19"/>
      <c r="N114" s="19"/>
      <c r="O114" s="19"/>
      <c r="P114" s="19"/>
    </row>
    <row r="115" spans="1:16" ht="15.75" customHeight="1" x14ac:dyDescent="0.2">
      <c r="A115" s="19"/>
      <c r="B115" s="19"/>
      <c r="C115" s="19"/>
      <c r="D115" s="19"/>
      <c r="E115" s="19"/>
      <c r="F115" s="19"/>
      <c r="G115" s="11"/>
      <c r="H115" s="11"/>
      <c r="I115" s="19"/>
      <c r="J115" s="19"/>
      <c r="K115" s="19"/>
      <c r="L115" s="19"/>
      <c r="M115" s="19"/>
      <c r="N115" s="19"/>
      <c r="O115" s="19"/>
      <c r="P115" s="19"/>
    </row>
    <row r="116" spans="1:16" ht="15.75" customHeight="1" x14ac:dyDescent="0.2">
      <c r="A116" s="19"/>
      <c r="B116" s="19"/>
      <c r="C116" s="19"/>
      <c r="D116" s="19"/>
      <c r="E116" s="19"/>
      <c r="F116" s="19"/>
      <c r="G116" s="11"/>
      <c r="H116" s="11"/>
      <c r="I116" s="19"/>
      <c r="J116" s="19"/>
      <c r="K116" s="19"/>
      <c r="L116" s="19"/>
      <c r="M116" s="19"/>
      <c r="N116" s="19"/>
      <c r="O116" s="19"/>
      <c r="P116" s="19"/>
    </row>
    <row r="117" spans="1:16" ht="15.75" customHeight="1" x14ac:dyDescent="0.2">
      <c r="A117" s="19"/>
      <c r="B117" s="19"/>
      <c r="C117" s="19"/>
      <c r="D117" s="19"/>
      <c r="E117" s="19"/>
      <c r="F117" s="19"/>
      <c r="G117" s="11"/>
      <c r="H117" s="11"/>
      <c r="I117" s="19"/>
      <c r="J117" s="19"/>
      <c r="K117" s="19"/>
      <c r="L117" s="19"/>
      <c r="M117" s="19"/>
      <c r="N117" s="19"/>
      <c r="O117" s="19"/>
      <c r="P117" s="19"/>
    </row>
    <row r="118" spans="1:16" ht="15.75" customHeight="1" x14ac:dyDescent="0.2">
      <c r="A118" s="19"/>
      <c r="B118" s="19"/>
      <c r="C118" s="19"/>
      <c r="D118" s="19"/>
      <c r="E118" s="19"/>
      <c r="F118" s="19"/>
      <c r="G118" s="11"/>
      <c r="H118" s="11"/>
      <c r="I118" s="19"/>
      <c r="J118" s="19"/>
      <c r="K118" s="19"/>
      <c r="L118" s="19"/>
      <c r="M118" s="19"/>
      <c r="N118" s="19"/>
      <c r="O118" s="19"/>
      <c r="P118" s="19"/>
    </row>
    <row r="119" spans="1:16" ht="15.75" customHeight="1" x14ac:dyDescent="0.2">
      <c r="A119" s="19"/>
      <c r="B119" s="19"/>
      <c r="C119" s="19"/>
      <c r="D119" s="19"/>
      <c r="E119" s="19"/>
      <c r="F119" s="19"/>
      <c r="G119" s="11"/>
      <c r="H119" s="11"/>
      <c r="I119" s="19"/>
      <c r="J119" s="19"/>
      <c r="K119" s="19"/>
      <c r="L119" s="19"/>
      <c r="M119" s="19"/>
      <c r="N119" s="19"/>
      <c r="O119" s="19"/>
      <c r="P119" s="19"/>
    </row>
    <row r="120" spans="1:16" ht="15.75" customHeight="1" x14ac:dyDescent="0.2">
      <c r="A120" s="19"/>
      <c r="B120" s="19"/>
      <c r="C120" s="19"/>
      <c r="D120" s="19"/>
      <c r="E120" s="19"/>
      <c r="F120" s="19"/>
      <c r="G120" s="11"/>
      <c r="H120" s="11"/>
      <c r="I120" s="19"/>
      <c r="J120" s="19"/>
      <c r="K120" s="19"/>
      <c r="L120" s="19"/>
      <c r="M120" s="19"/>
      <c r="N120" s="19"/>
      <c r="O120" s="19"/>
      <c r="P120" s="19"/>
    </row>
    <row r="121" spans="1:16" ht="15.75" customHeight="1" x14ac:dyDescent="0.2">
      <c r="A121" s="19"/>
      <c r="B121" s="19"/>
      <c r="C121" s="19"/>
      <c r="D121" s="19"/>
      <c r="E121" s="19"/>
      <c r="F121" s="19"/>
      <c r="G121" s="11"/>
      <c r="H121" s="11"/>
      <c r="I121" s="19"/>
      <c r="J121" s="19"/>
      <c r="K121" s="19"/>
      <c r="L121" s="19"/>
      <c r="M121" s="19"/>
      <c r="N121" s="19"/>
      <c r="O121" s="19"/>
      <c r="P121" s="19"/>
    </row>
    <row r="122" spans="1:16" ht="15.75" customHeight="1" x14ac:dyDescent="0.2">
      <c r="A122" s="19"/>
      <c r="B122" s="19"/>
      <c r="C122" s="19"/>
      <c r="D122" s="19"/>
      <c r="E122" s="19"/>
      <c r="F122" s="19"/>
      <c r="G122" s="11"/>
      <c r="H122" s="11"/>
      <c r="I122" s="19"/>
      <c r="J122" s="19"/>
      <c r="K122" s="19"/>
      <c r="L122" s="19"/>
      <c r="M122" s="19"/>
      <c r="N122" s="19"/>
      <c r="O122" s="19"/>
      <c r="P122" s="19"/>
    </row>
    <row r="123" spans="1:16" ht="15.75" customHeight="1" x14ac:dyDescent="0.2">
      <c r="A123" s="19"/>
      <c r="B123" s="19"/>
      <c r="C123" s="19"/>
      <c r="D123" s="19"/>
      <c r="E123" s="19"/>
      <c r="F123" s="19"/>
      <c r="G123" s="11"/>
      <c r="H123" s="11"/>
      <c r="I123" s="19"/>
      <c r="J123" s="19"/>
      <c r="K123" s="19"/>
      <c r="L123" s="19"/>
      <c r="M123" s="19"/>
      <c r="N123" s="19"/>
      <c r="O123" s="19"/>
      <c r="P123" s="19"/>
    </row>
    <row r="124" spans="1:16" ht="15.75" customHeight="1" x14ac:dyDescent="0.2">
      <c r="A124" s="19"/>
      <c r="B124" s="19"/>
      <c r="C124" s="19"/>
      <c r="D124" s="19"/>
      <c r="E124" s="19"/>
      <c r="F124" s="19"/>
      <c r="G124" s="11"/>
      <c r="H124" s="11"/>
      <c r="I124" s="19"/>
      <c r="J124" s="19"/>
      <c r="K124" s="19"/>
      <c r="L124" s="19"/>
      <c r="M124" s="19"/>
      <c r="N124" s="19"/>
      <c r="O124" s="19"/>
      <c r="P124" s="19"/>
    </row>
    <row r="125" spans="1:16" ht="15.75" customHeight="1" x14ac:dyDescent="0.2">
      <c r="A125" s="19"/>
      <c r="B125" s="19"/>
      <c r="C125" s="19"/>
      <c r="D125" s="19"/>
      <c r="E125" s="19"/>
      <c r="F125" s="19"/>
      <c r="G125" s="11"/>
      <c r="H125" s="11"/>
      <c r="I125" s="19"/>
      <c r="J125" s="19"/>
      <c r="K125" s="19"/>
      <c r="L125" s="19"/>
      <c r="M125" s="19"/>
      <c r="N125" s="19"/>
      <c r="O125" s="19"/>
      <c r="P125" s="19"/>
    </row>
    <row r="126" spans="1:16" ht="15.75" customHeight="1" x14ac:dyDescent="0.2">
      <c r="A126" s="19"/>
      <c r="B126" s="19"/>
      <c r="C126" s="19"/>
      <c r="D126" s="19"/>
      <c r="E126" s="19"/>
      <c r="F126" s="19"/>
      <c r="G126" s="11"/>
      <c r="H126" s="11"/>
      <c r="I126" s="19"/>
      <c r="J126" s="19"/>
      <c r="K126" s="19"/>
      <c r="L126" s="19"/>
      <c r="M126" s="19"/>
      <c r="N126" s="19"/>
      <c r="O126" s="19"/>
      <c r="P126" s="19"/>
    </row>
    <row r="127" spans="1:16" ht="15.75" customHeight="1" x14ac:dyDescent="0.2">
      <c r="A127" s="19"/>
      <c r="B127" s="19"/>
      <c r="C127" s="19"/>
      <c r="D127" s="19"/>
      <c r="E127" s="19"/>
      <c r="F127" s="19"/>
      <c r="G127" s="11"/>
      <c r="H127" s="11"/>
      <c r="I127" s="19"/>
      <c r="J127" s="19"/>
      <c r="K127" s="19"/>
      <c r="L127" s="19"/>
      <c r="M127" s="19"/>
      <c r="N127" s="19"/>
      <c r="O127" s="19"/>
      <c r="P127" s="19"/>
    </row>
    <row r="128" spans="1:16" ht="15.75" customHeight="1" x14ac:dyDescent="0.2">
      <c r="A128" s="19"/>
      <c r="B128" s="19"/>
      <c r="C128" s="19"/>
      <c r="D128" s="19"/>
      <c r="E128" s="19"/>
      <c r="F128" s="19"/>
      <c r="G128" s="11"/>
      <c r="H128" s="11"/>
      <c r="I128" s="19"/>
      <c r="J128" s="19"/>
      <c r="K128" s="19"/>
      <c r="L128" s="19"/>
      <c r="M128" s="19"/>
      <c r="N128" s="19"/>
      <c r="O128" s="19"/>
      <c r="P128" s="19"/>
    </row>
    <row r="129" spans="1:16" ht="15.75" customHeight="1" x14ac:dyDescent="0.2">
      <c r="A129" s="19"/>
      <c r="B129" s="19"/>
      <c r="C129" s="19"/>
      <c r="D129" s="19"/>
      <c r="E129" s="19"/>
      <c r="F129" s="19"/>
      <c r="G129" s="11"/>
      <c r="H129" s="11"/>
      <c r="I129" s="19"/>
      <c r="J129" s="19"/>
      <c r="K129" s="19"/>
      <c r="L129" s="19"/>
      <c r="M129" s="19"/>
      <c r="N129" s="19"/>
      <c r="O129" s="19"/>
      <c r="P129" s="19"/>
    </row>
    <row r="130" spans="1:16" ht="15.75" customHeight="1" x14ac:dyDescent="0.2">
      <c r="A130" s="19"/>
      <c r="B130" s="19"/>
      <c r="C130" s="19"/>
      <c r="D130" s="19"/>
      <c r="E130" s="19"/>
      <c r="F130" s="19"/>
      <c r="G130" s="11"/>
      <c r="H130" s="11"/>
      <c r="I130" s="19"/>
      <c r="J130" s="19"/>
      <c r="K130" s="19"/>
      <c r="L130" s="19"/>
      <c r="M130" s="19"/>
      <c r="N130" s="19"/>
      <c r="O130" s="19"/>
      <c r="P130" s="19"/>
    </row>
    <row r="131" spans="1:16" ht="15.75" customHeight="1" x14ac:dyDescent="0.2">
      <c r="A131" s="19"/>
      <c r="B131" s="19"/>
      <c r="C131" s="19"/>
      <c r="D131" s="19"/>
      <c r="E131" s="19"/>
      <c r="F131" s="19"/>
      <c r="G131" s="11"/>
      <c r="H131" s="11"/>
      <c r="I131" s="19"/>
      <c r="J131" s="19"/>
      <c r="K131" s="19"/>
      <c r="L131" s="19"/>
      <c r="M131" s="19"/>
      <c r="N131" s="19"/>
      <c r="O131" s="19"/>
      <c r="P131" s="19"/>
    </row>
    <row r="132" spans="1:16" ht="15.75" customHeight="1" x14ac:dyDescent="0.2">
      <c r="A132" s="19"/>
      <c r="B132" s="19"/>
      <c r="C132" s="19"/>
      <c r="D132" s="19"/>
      <c r="E132" s="19"/>
      <c r="F132" s="19"/>
      <c r="G132" s="11"/>
      <c r="H132" s="11"/>
      <c r="I132" s="19"/>
      <c r="J132" s="19"/>
      <c r="K132" s="19"/>
      <c r="L132" s="19"/>
      <c r="M132" s="19"/>
      <c r="N132" s="19"/>
      <c r="O132" s="19"/>
      <c r="P132" s="19"/>
    </row>
    <row r="133" spans="1:16" ht="15.75" customHeight="1" x14ac:dyDescent="0.2">
      <c r="A133" s="19"/>
      <c r="B133" s="19"/>
      <c r="C133" s="19"/>
      <c r="D133" s="19"/>
      <c r="E133" s="19"/>
      <c r="F133" s="19"/>
      <c r="G133" s="11"/>
      <c r="H133" s="11"/>
      <c r="I133" s="19"/>
      <c r="J133" s="19"/>
      <c r="K133" s="19"/>
      <c r="L133" s="19"/>
      <c r="M133" s="19"/>
      <c r="N133" s="19"/>
      <c r="O133" s="19"/>
      <c r="P133" s="19"/>
    </row>
    <row r="134" spans="1:16" ht="15.75" customHeight="1" x14ac:dyDescent="0.2">
      <c r="A134" s="19"/>
      <c r="B134" s="19"/>
      <c r="C134" s="19"/>
      <c r="D134" s="19"/>
      <c r="E134" s="19"/>
      <c r="F134" s="19"/>
      <c r="G134" s="11"/>
      <c r="H134" s="11"/>
      <c r="I134" s="19"/>
      <c r="J134" s="19"/>
      <c r="K134" s="19"/>
      <c r="L134" s="19"/>
      <c r="M134" s="19"/>
      <c r="N134" s="19"/>
      <c r="O134" s="19"/>
      <c r="P134" s="19"/>
    </row>
    <row r="135" spans="1:16" ht="15.75" customHeight="1" x14ac:dyDescent="0.2">
      <c r="A135" s="19"/>
      <c r="B135" s="19"/>
      <c r="C135" s="19"/>
      <c r="D135" s="19"/>
      <c r="E135" s="19"/>
      <c r="F135" s="19"/>
      <c r="G135" s="11"/>
      <c r="H135" s="11"/>
      <c r="I135" s="19"/>
      <c r="J135" s="19"/>
      <c r="K135" s="19"/>
      <c r="L135" s="19"/>
      <c r="M135" s="19"/>
      <c r="N135" s="19"/>
      <c r="O135" s="19"/>
      <c r="P135" s="19"/>
    </row>
    <row r="136" spans="1:16" ht="15.75" customHeight="1" x14ac:dyDescent="0.2">
      <c r="A136" s="19"/>
      <c r="B136" s="19"/>
      <c r="C136" s="19"/>
      <c r="D136" s="19"/>
      <c r="E136" s="19"/>
      <c r="F136" s="19"/>
      <c r="G136" s="11"/>
      <c r="H136" s="11"/>
      <c r="I136" s="19"/>
      <c r="J136" s="19"/>
      <c r="K136" s="19"/>
      <c r="L136" s="19"/>
      <c r="M136" s="19"/>
      <c r="N136" s="19"/>
      <c r="O136" s="19"/>
      <c r="P136" s="19"/>
    </row>
    <row r="137" spans="1:16" ht="15.75" customHeight="1" x14ac:dyDescent="0.2">
      <c r="A137" s="19"/>
      <c r="B137" s="19"/>
      <c r="C137" s="19"/>
      <c r="D137" s="19"/>
      <c r="E137" s="19"/>
      <c r="F137" s="19"/>
      <c r="G137" s="11"/>
      <c r="H137" s="11"/>
      <c r="I137" s="19"/>
      <c r="J137" s="19"/>
      <c r="K137" s="19"/>
      <c r="L137" s="19"/>
      <c r="M137" s="19"/>
      <c r="N137" s="19"/>
      <c r="O137" s="19"/>
      <c r="P137" s="19"/>
    </row>
    <row r="138" spans="1:16" ht="15.75" customHeight="1" x14ac:dyDescent="0.2">
      <c r="A138" s="19"/>
      <c r="B138" s="19"/>
      <c r="C138" s="19"/>
      <c r="D138" s="19"/>
      <c r="E138" s="19"/>
      <c r="F138" s="19"/>
      <c r="G138" s="11"/>
      <c r="H138" s="11"/>
      <c r="I138" s="19"/>
      <c r="J138" s="19"/>
      <c r="K138" s="19"/>
      <c r="L138" s="19"/>
      <c r="M138" s="19"/>
      <c r="N138" s="19"/>
      <c r="O138" s="19"/>
      <c r="P138" s="19"/>
    </row>
    <row r="139" spans="1:16" ht="15.75" customHeight="1" x14ac:dyDescent="0.2">
      <c r="A139" s="19"/>
      <c r="B139" s="19"/>
      <c r="C139" s="19"/>
      <c r="D139" s="19"/>
      <c r="E139" s="19"/>
      <c r="F139" s="19"/>
      <c r="G139" s="11"/>
      <c r="H139" s="11"/>
      <c r="I139" s="19"/>
      <c r="J139" s="19"/>
      <c r="K139" s="19"/>
      <c r="L139" s="19"/>
      <c r="M139" s="19"/>
      <c r="N139" s="19"/>
      <c r="O139" s="19"/>
      <c r="P139" s="19"/>
    </row>
    <row r="140" spans="1:16" ht="15.75" customHeight="1" x14ac:dyDescent="0.2">
      <c r="A140" s="19"/>
      <c r="B140" s="19"/>
      <c r="C140" s="19"/>
      <c r="D140" s="19"/>
      <c r="E140" s="19"/>
      <c r="F140" s="19"/>
      <c r="G140" s="11"/>
      <c r="H140" s="11"/>
      <c r="I140" s="19"/>
      <c r="J140" s="19"/>
      <c r="K140" s="19"/>
      <c r="L140" s="19"/>
      <c r="M140" s="19"/>
      <c r="N140" s="19"/>
      <c r="O140" s="19"/>
      <c r="P140" s="19"/>
    </row>
    <row r="141" spans="1:16" ht="15.75" customHeight="1" x14ac:dyDescent="0.2">
      <c r="A141" s="19"/>
      <c r="B141" s="19"/>
      <c r="C141" s="19"/>
      <c r="D141" s="19"/>
      <c r="E141" s="19"/>
      <c r="F141" s="19"/>
      <c r="G141" s="11"/>
      <c r="H141" s="11"/>
      <c r="I141" s="19"/>
      <c r="J141" s="19"/>
      <c r="K141" s="19"/>
      <c r="L141" s="19"/>
      <c r="M141" s="19"/>
      <c r="N141" s="19"/>
      <c r="O141" s="19"/>
      <c r="P141" s="19"/>
    </row>
    <row r="142" spans="1:16" ht="15.75" customHeight="1" x14ac:dyDescent="0.2">
      <c r="A142" s="19"/>
      <c r="B142" s="19"/>
      <c r="C142" s="19"/>
      <c r="D142" s="19"/>
      <c r="E142" s="19"/>
      <c r="F142" s="19"/>
      <c r="G142" s="11"/>
      <c r="H142" s="11"/>
      <c r="I142" s="19"/>
      <c r="J142" s="19"/>
      <c r="K142" s="19"/>
      <c r="L142" s="19"/>
      <c r="M142" s="19"/>
      <c r="N142" s="19"/>
      <c r="O142" s="19"/>
      <c r="P142" s="19"/>
    </row>
    <row r="143" spans="1:16" ht="15.75" customHeight="1" x14ac:dyDescent="0.2">
      <c r="A143" s="19"/>
      <c r="B143" s="19"/>
      <c r="C143" s="19"/>
      <c r="D143" s="19"/>
      <c r="E143" s="19"/>
      <c r="F143" s="19"/>
      <c r="G143" s="11"/>
      <c r="H143" s="11"/>
      <c r="I143" s="19"/>
      <c r="J143" s="19"/>
      <c r="K143" s="19"/>
      <c r="L143" s="19"/>
      <c r="M143" s="19"/>
      <c r="N143" s="19"/>
      <c r="O143" s="19"/>
      <c r="P143" s="19"/>
    </row>
    <row r="144" spans="1:16" ht="15.75" customHeight="1" x14ac:dyDescent="0.2">
      <c r="A144" s="19"/>
      <c r="B144" s="19"/>
      <c r="C144" s="19"/>
      <c r="D144" s="19"/>
      <c r="E144" s="19"/>
      <c r="F144" s="19"/>
      <c r="G144" s="11"/>
      <c r="H144" s="11"/>
      <c r="I144" s="19"/>
      <c r="J144" s="19"/>
      <c r="K144" s="19"/>
      <c r="L144" s="19"/>
      <c r="M144" s="19"/>
      <c r="N144" s="19"/>
      <c r="O144" s="19"/>
      <c r="P144" s="19"/>
    </row>
    <row r="145" spans="1:16" ht="15.75" customHeight="1" x14ac:dyDescent="0.2">
      <c r="A145" s="19"/>
      <c r="B145" s="19"/>
      <c r="C145" s="19"/>
      <c r="D145" s="19"/>
      <c r="E145" s="19"/>
      <c r="F145" s="19"/>
      <c r="G145" s="11"/>
      <c r="H145" s="11"/>
      <c r="I145" s="19"/>
      <c r="J145" s="19"/>
      <c r="K145" s="19"/>
      <c r="L145" s="19"/>
      <c r="M145" s="19"/>
      <c r="N145" s="19"/>
      <c r="O145" s="19"/>
      <c r="P145" s="19"/>
    </row>
    <row r="146" spans="1:16" ht="15.75" customHeight="1" x14ac:dyDescent="0.2">
      <c r="A146" s="19"/>
      <c r="B146" s="19"/>
      <c r="C146" s="19"/>
      <c r="D146" s="19"/>
      <c r="E146" s="19"/>
      <c r="F146" s="19"/>
      <c r="G146" s="11"/>
      <c r="H146" s="11"/>
      <c r="I146" s="19"/>
      <c r="J146" s="19"/>
      <c r="K146" s="19"/>
      <c r="L146" s="19"/>
      <c r="M146" s="19"/>
      <c r="N146" s="19"/>
      <c r="O146" s="19"/>
      <c r="P146" s="19"/>
    </row>
    <row r="147" spans="1:16" ht="15.75" customHeight="1" x14ac:dyDescent="0.2">
      <c r="A147" s="19"/>
      <c r="B147" s="19"/>
      <c r="C147" s="19"/>
      <c r="D147" s="19"/>
      <c r="E147" s="19"/>
      <c r="F147" s="19"/>
      <c r="G147" s="11"/>
      <c r="H147" s="11"/>
      <c r="I147" s="19"/>
      <c r="J147" s="19"/>
      <c r="K147" s="19"/>
      <c r="L147" s="19"/>
      <c r="M147" s="19"/>
      <c r="N147" s="19"/>
      <c r="O147" s="19"/>
      <c r="P147" s="19"/>
    </row>
    <row r="148" spans="1:16" ht="15.75" customHeight="1" x14ac:dyDescent="0.2">
      <c r="A148" s="19"/>
      <c r="B148" s="19"/>
      <c r="C148" s="19"/>
      <c r="D148" s="19"/>
      <c r="E148" s="19"/>
      <c r="F148" s="19"/>
      <c r="G148" s="11"/>
      <c r="H148" s="11"/>
      <c r="I148" s="19"/>
      <c r="J148" s="19"/>
      <c r="K148" s="19"/>
      <c r="L148" s="19"/>
      <c r="M148" s="19"/>
      <c r="N148" s="19"/>
      <c r="O148" s="19"/>
      <c r="P148" s="19"/>
    </row>
    <row r="149" spans="1:16" ht="15.75" customHeight="1" x14ac:dyDescent="0.2">
      <c r="A149" s="19"/>
      <c r="B149" s="19"/>
      <c r="C149" s="19"/>
      <c r="D149" s="19"/>
      <c r="E149" s="19"/>
      <c r="F149" s="19"/>
      <c r="G149" s="11"/>
      <c r="H149" s="11"/>
      <c r="I149" s="19"/>
      <c r="J149" s="19"/>
      <c r="K149" s="19"/>
      <c r="L149" s="19"/>
      <c r="M149" s="19"/>
      <c r="N149" s="19"/>
      <c r="O149" s="19"/>
      <c r="P149" s="19"/>
    </row>
    <row r="150" spans="1:16" ht="15.75" customHeight="1" x14ac:dyDescent="0.2">
      <c r="A150" s="19"/>
      <c r="B150" s="19"/>
      <c r="C150" s="19"/>
      <c r="D150" s="19"/>
      <c r="E150" s="19"/>
      <c r="F150" s="19"/>
      <c r="G150" s="11"/>
      <c r="H150" s="11"/>
      <c r="I150" s="19"/>
      <c r="J150" s="19"/>
      <c r="K150" s="19"/>
      <c r="L150" s="19"/>
      <c r="M150" s="19"/>
      <c r="N150" s="19"/>
      <c r="O150" s="19"/>
      <c r="P150" s="19"/>
    </row>
    <row r="151" spans="1:16" ht="15.75" customHeight="1" x14ac:dyDescent="0.2">
      <c r="A151" s="19"/>
      <c r="B151" s="19"/>
      <c r="C151" s="19"/>
      <c r="D151" s="19"/>
      <c r="E151" s="19"/>
      <c r="F151" s="19"/>
      <c r="G151" s="11"/>
      <c r="H151" s="11"/>
      <c r="I151" s="19"/>
      <c r="J151" s="19"/>
      <c r="K151" s="19"/>
      <c r="L151" s="19"/>
      <c r="M151" s="19"/>
      <c r="N151" s="19"/>
      <c r="O151" s="19"/>
      <c r="P151" s="19"/>
    </row>
    <row r="152" spans="1:16" ht="15.75" customHeight="1" x14ac:dyDescent="0.2">
      <c r="A152" s="19"/>
      <c r="B152" s="19"/>
      <c r="C152" s="19"/>
      <c r="D152" s="19"/>
      <c r="E152" s="19"/>
      <c r="F152" s="19"/>
      <c r="G152" s="11"/>
      <c r="H152" s="11"/>
      <c r="I152" s="19"/>
      <c r="J152" s="19"/>
      <c r="K152" s="19"/>
      <c r="L152" s="19"/>
      <c r="M152" s="19"/>
      <c r="N152" s="19"/>
      <c r="O152" s="19"/>
      <c r="P152" s="19"/>
    </row>
    <row r="153" spans="1:16" ht="15.75" customHeight="1" x14ac:dyDescent="0.2">
      <c r="A153" s="19"/>
      <c r="B153" s="19"/>
      <c r="C153" s="19"/>
      <c r="D153" s="19"/>
      <c r="E153" s="19"/>
      <c r="F153" s="19"/>
      <c r="G153" s="11"/>
      <c r="H153" s="11"/>
      <c r="I153" s="19"/>
      <c r="J153" s="19"/>
      <c r="K153" s="19"/>
      <c r="L153" s="19"/>
      <c r="M153" s="19"/>
      <c r="N153" s="19"/>
      <c r="O153" s="19"/>
      <c r="P153" s="19"/>
    </row>
    <row r="154" spans="1:16" ht="15.75" customHeight="1" x14ac:dyDescent="0.2">
      <c r="A154" s="19"/>
      <c r="B154" s="19"/>
      <c r="C154" s="19"/>
      <c r="D154" s="19"/>
      <c r="E154" s="19"/>
      <c r="F154" s="19"/>
      <c r="G154" s="11"/>
      <c r="H154" s="11"/>
      <c r="I154" s="19"/>
      <c r="J154" s="19"/>
      <c r="K154" s="19"/>
      <c r="L154" s="19"/>
      <c r="M154" s="19"/>
      <c r="N154" s="19"/>
      <c r="O154" s="19"/>
      <c r="P154" s="19"/>
    </row>
    <row r="155" spans="1:16" ht="15.75" customHeight="1" x14ac:dyDescent="0.2">
      <c r="A155" s="19"/>
      <c r="B155" s="19"/>
      <c r="C155" s="19"/>
      <c r="D155" s="19"/>
      <c r="E155" s="19"/>
      <c r="F155" s="19"/>
      <c r="G155" s="11"/>
      <c r="H155" s="11"/>
      <c r="I155" s="19"/>
      <c r="J155" s="19"/>
      <c r="K155" s="19"/>
      <c r="L155" s="19"/>
      <c r="M155" s="19"/>
      <c r="N155" s="19"/>
      <c r="O155" s="19"/>
      <c r="P155" s="19"/>
    </row>
    <row r="156" spans="1:16" ht="15.75" customHeight="1" x14ac:dyDescent="0.2">
      <c r="A156" s="19"/>
      <c r="B156" s="19"/>
      <c r="C156" s="19"/>
      <c r="D156" s="19"/>
      <c r="E156" s="19"/>
      <c r="F156" s="19"/>
      <c r="G156" s="11"/>
      <c r="H156" s="11"/>
      <c r="I156" s="19"/>
      <c r="J156" s="19"/>
      <c r="K156" s="19"/>
      <c r="L156" s="19"/>
      <c r="M156" s="19"/>
      <c r="N156" s="19"/>
      <c r="O156" s="19"/>
      <c r="P156" s="19"/>
    </row>
    <row r="157" spans="1:16" ht="15.75" customHeight="1" x14ac:dyDescent="0.2">
      <c r="A157" s="19"/>
      <c r="B157" s="19"/>
      <c r="C157" s="19"/>
      <c r="D157" s="19"/>
      <c r="E157" s="19"/>
      <c r="F157" s="19"/>
      <c r="G157" s="11"/>
      <c r="H157" s="11"/>
      <c r="I157" s="19"/>
      <c r="J157" s="19"/>
      <c r="K157" s="19"/>
      <c r="L157" s="19"/>
      <c r="M157" s="19"/>
      <c r="N157" s="19"/>
      <c r="O157" s="19"/>
      <c r="P157" s="19"/>
    </row>
    <row r="158" spans="1:16" ht="15.75" customHeight="1" x14ac:dyDescent="0.2">
      <c r="A158" s="19"/>
      <c r="B158" s="19"/>
      <c r="C158" s="19"/>
      <c r="D158" s="19"/>
      <c r="E158" s="19"/>
      <c r="F158" s="19"/>
      <c r="G158" s="11"/>
      <c r="H158" s="11"/>
      <c r="I158" s="19"/>
      <c r="J158" s="19"/>
      <c r="K158" s="19"/>
      <c r="L158" s="19"/>
      <c r="M158" s="19"/>
      <c r="N158" s="19"/>
      <c r="O158" s="19"/>
      <c r="P158" s="19"/>
    </row>
    <row r="159" spans="1:16" ht="15.75" customHeight="1" x14ac:dyDescent="0.2">
      <c r="A159" s="19"/>
      <c r="B159" s="19"/>
      <c r="C159" s="19"/>
      <c r="D159" s="19"/>
      <c r="E159" s="19"/>
      <c r="F159" s="19"/>
      <c r="G159" s="11"/>
      <c r="H159" s="11"/>
      <c r="I159" s="19"/>
      <c r="J159" s="19"/>
      <c r="K159" s="19"/>
      <c r="L159" s="19"/>
      <c r="M159" s="19"/>
      <c r="N159" s="19"/>
      <c r="O159" s="19"/>
      <c r="P159" s="19"/>
    </row>
    <row r="160" spans="1:16" ht="15.75" customHeight="1" x14ac:dyDescent="0.2">
      <c r="A160" s="19"/>
      <c r="B160" s="19"/>
      <c r="C160" s="19"/>
      <c r="D160" s="19"/>
      <c r="E160" s="19"/>
      <c r="F160" s="19"/>
      <c r="G160" s="11"/>
      <c r="H160" s="11"/>
      <c r="I160" s="19"/>
      <c r="J160" s="19"/>
      <c r="K160" s="19"/>
      <c r="L160" s="19"/>
      <c r="M160" s="19"/>
      <c r="N160" s="19"/>
      <c r="O160" s="19"/>
      <c r="P160" s="19"/>
    </row>
    <row r="161" spans="1:16" ht="15.75" customHeight="1" x14ac:dyDescent="0.2">
      <c r="A161" s="19"/>
      <c r="B161" s="19"/>
      <c r="C161" s="19"/>
      <c r="D161" s="19"/>
      <c r="E161" s="19"/>
      <c r="F161" s="19"/>
      <c r="G161" s="11"/>
      <c r="H161" s="11"/>
      <c r="I161" s="19"/>
      <c r="J161" s="19"/>
      <c r="K161" s="19"/>
      <c r="L161" s="19"/>
      <c r="M161" s="19"/>
      <c r="N161" s="19"/>
      <c r="O161" s="19"/>
      <c r="P161" s="19"/>
    </row>
    <row r="162" spans="1:16" ht="15.75" customHeight="1" x14ac:dyDescent="0.2">
      <c r="A162" s="19"/>
      <c r="B162" s="19"/>
      <c r="C162" s="19"/>
      <c r="D162" s="19"/>
      <c r="E162" s="19"/>
      <c r="F162" s="19"/>
      <c r="G162" s="11"/>
      <c r="H162" s="11"/>
      <c r="I162" s="19"/>
      <c r="J162" s="19"/>
      <c r="K162" s="19"/>
      <c r="L162" s="19"/>
      <c r="M162" s="19"/>
      <c r="N162" s="19"/>
      <c r="O162" s="19"/>
      <c r="P162" s="19"/>
    </row>
    <row r="163" spans="1:16" ht="15.75" customHeight="1" x14ac:dyDescent="0.2">
      <c r="A163" s="19"/>
      <c r="B163" s="19"/>
      <c r="C163" s="19"/>
      <c r="D163" s="19"/>
      <c r="E163" s="19"/>
      <c r="F163" s="19"/>
      <c r="G163" s="11"/>
      <c r="H163" s="11"/>
      <c r="I163" s="19"/>
      <c r="J163" s="19"/>
      <c r="K163" s="19"/>
      <c r="L163" s="19"/>
      <c r="M163" s="19"/>
      <c r="N163" s="19"/>
      <c r="O163" s="19"/>
      <c r="P163" s="19"/>
    </row>
    <row r="164" spans="1:16" ht="15.75" customHeight="1" x14ac:dyDescent="0.2">
      <c r="A164" s="19"/>
      <c r="B164" s="19"/>
      <c r="C164" s="19"/>
      <c r="D164" s="19"/>
      <c r="E164" s="19"/>
      <c r="F164" s="19"/>
      <c r="G164" s="11"/>
      <c r="H164" s="11"/>
      <c r="I164" s="19"/>
      <c r="J164" s="19"/>
      <c r="K164" s="19"/>
      <c r="L164" s="19"/>
      <c r="M164" s="19"/>
      <c r="N164" s="19"/>
      <c r="O164" s="19"/>
      <c r="P164" s="19"/>
    </row>
    <row r="165" spans="1:16" ht="15.75" customHeight="1" x14ac:dyDescent="0.2">
      <c r="A165" s="19"/>
      <c r="B165" s="19"/>
      <c r="C165" s="19"/>
      <c r="D165" s="19"/>
      <c r="E165" s="19"/>
      <c r="F165" s="19"/>
      <c r="G165" s="11"/>
      <c r="H165" s="11"/>
      <c r="I165" s="19"/>
      <c r="J165" s="19"/>
      <c r="K165" s="19"/>
      <c r="L165" s="19"/>
      <c r="M165" s="19"/>
      <c r="N165" s="19"/>
      <c r="O165" s="19"/>
      <c r="P165" s="19"/>
    </row>
    <row r="166" spans="1:16" ht="15.75" customHeight="1" x14ac:dyDescent="0.2">
      <c r="A166" s="19"/>
      <c r="B166" s="19"/>
      <c r="C166" s="19"/>
      <c r="D166" s="19"/>
      <c r="E166" s="19"/>
      <c r="F166" s="19"/>
      <c r="G166" s="11"/>
      <c r="H166" s="11"/>
      <c r="I166" s="19"/>
      <c r="J166" s="19"/>
      <c r="K166" s="19"/>
      <c r="L166" s="19"/>
      <c r="M166" s="19"/>
      <c r="N166" s="19"/>
      <c r="O166" s="19"/>
      <c r="P166" s="19"/>
    </row>
    <row r="167" spans="1:16" ht="15.75" customHeight="1" x14ac:dyDescent="0.2">
      <c r="A167" s="19"/>
      <c r="B167" s="19"/>
      <c r="C167" s="19"/>
      <c r="D167" s="19"/>
      <c r="E167" s="19"/>
      <c r="F167" s="19"/>
      <c r="G167" s="11"/>
      <c r="H167" s="11"/>
      <c r="I167" s="19"/>
      <c r="J167" s="19"/>
      <c r="K167" s="19"/>
      <c r="L167" s="19"/>
      <c r="M167" s="19"/>
      <c r="N167" s="19"/>
      <c r="O167" s="19"/>
      <c r="P167" s="19"/>
    </row>
    <row r="168" spans="1:16" ht="15.75" customHeight="1" x14ac:dyDescent="0.2">
      <c r="A168" s="19"/>
      <c r="B168" s="19"/>
      <c r="C168" s="19"/>
      <c r="D168" s="19"/>
      <c r="E168" s="19"/>
      <c r="F168" s="19"/>
      <c r="G168" s="11"/>
      <c r="H168" s="11"/>
      <c r="I168" s="19"/>
      <c r="J168" s="19"/>
      <c r="K168" s="19"/>
      <c r="L168" s="19"/>
      <c r="M168" s="19"/>
      <c r="N168" s="19"/>
      <c r="O168" s="19"/>
      <c r="P168" s="19"/>
    </row>
    <row r="169" spans="1:16" ht="15.75" customHeight="1" x14ac:dyDescent="0.2">
      <c r="A169" s="19"/>
      <c r="B169" s="19"/>
      <c r="C169" s="19"/>
      <c r="D169" s="19"/>
      <c r="E169" s="19"/>
      <c r="F169" s="19"/>
      <c r="G169" s="11"/>
      <c r="H169" s="11"/>
      <c r="I169" s="19"/>
      <c r="J169" s="19"/>
      <c r="K169" s="19"/>
      <c r="L169" s="19"/>
      <c r="M169" s="19"/>
      <c r="N169" s="19"/>
      <c r="O169" s="19"/>
      <c r="P169" s="19"/>
    </row>
    <row r="170" spans="1:16" ht="15.75" customHeight="1" x14ac:dyDescent="0.2">
      <c r="A170" s="19"/>
      <c r="B170" s="19"/>
      <c r="C170" s="19"/>
      <c r="D170" s="19"/>
      <c r="E170" s="19"/>
      <c r="F170" s="19"/>
      <c r="G170" s="11"/>
      <c r="H170" s="11"/>
      <c r="I170" s="19"/>
      <c r="J170" s="19"/>
      <c r="K170" s="19"/>
      <c r="L170" s="19"/>
      <c r="M170" s="19"/>
      <c r="N170" s="19"/>
      <c r="O170" s="19"/>
      <c r="P170" s="19"/>
    </row>
    <row r="171" spans="1:16" ht="15.75" customHeight="1" x14ac:dyDescent="0.2">
      <c r="A171" s="19"/>
      <c r="B171" s="19"/>
      <c r="C171" s="19"/>
      <c r="D171" s="19"/>
      <c r="E171" s="19"/>
      <c r="F171" s="19"/>
      <c r="G171" s="11"/>
      <c r="H171" s="11"/>
      <c r="I171" s="19"/>
      <c r="J171" s="19"/>
      <c r="K171" s="19"/>
      <c r="L171" s="19"/>
      <c r="M171" s="19"/>
      <c r="N171" s="19"/>
      <c r="O171" s="19"/>
      <c r="P171" s="19"/>
    </row>
    <row r="172" spans="1:16" ht="15.75" customHeight="1" x14ac:dyDescent="0.2">
      <c r="A172" s="19"/>
      <c r="B172" s="19"/>
      <c r="C172" s="19"/>
      <c r="D172" s="19"/>
      <c r="E172" s="19"/>
      <c r="F172" s="19"/>
      <c r="G172" s="11"/>
      <c r="H172" s="11"/>
      <c r="I172" s="19"/>
      <c r="J172" s="19"/>
      <c r="K172" s="19"/>
      <c r="L172" s="19"/>
      <c r="M172" s="19"/>
      <c r="N172" s="19"/>
      <c r="O172" s="19"/>
      <c r="P172" s="19"/>
    </row>
    <row r="173" spans="1:16" ht="15.75" customHeight="1" x14ac:dyDescent="0.2">
      <c r="A173" s="19"/>
      <c r="B173" s="19"/>
      <c r="C173" s="19"/>
      <c r="D173" s="19"/>
      <c r="E173" s="19"/>
      <c r="F173" s="19"/>
      <c r="G173" s="11"/>
      <c r="H173" s="11"/>
      <c r="I173" s="19"/>
      <c r="J173" s="19"/>
      <c r="K173" s="19"/>
      <c r="L173" s="19"/>
      <c r="M173" s="19"/>
      <c r="N173" s="19"/>
      <c r="O173" s="19"/>
      <c r="P173" s="19"/>
    </row>
    <row r="174" spans="1:16" ht="15.75" customHeight="1" x14ac:dyDescent="0.2">
      <c r="A174" s="19"/>
      <c r="B174" s="19"/>
      <c r="C174" s="19"/>
      <c r="D174" s="19"/>
      <c r="E174" s="19"/>
      <c r="F174" s="19"/>
      <c r="G174" s="11"/>
      <c r="H174" s="11"/>
      <c r="I174" s="19"/>
      <c r="J174" s="19"/>
      <c r="K174" s="19"/>
      <c r="L174" s="19"/>
      <c r="M174" s="19"/>
      <c r="N174" s="19"/>
      <c r="O174" s="19"/>
      <c r="P174" s="19"/>
    </row>
    <row r="175" spans="1:16" ht="15.75" customHeight="1" x14ac:dyDescent="0.2">
      <c r="A175" s="19"/>
      <c r="B175" s="19"/>
      <c r="C175" s="19"/>
      <c r="D175" s="19"/>
      <c r="E175" s="19"/>
      <c r="F175" s="19"/>
      <c r="G175" s="11"/>
      <c r="H175" s="11"/>
      <c r="I175" s="19"/>
      <c r="J175" s="19"/>
      <c r="K175" s="19"/>
      <c r="L175" s="19"/>
      <c r="M175" s="19"/>
      <c r="N175" s="19"/>
      <c r="O175" s="19"/>
      <c r="P175" s="19"/>
    </row>
    <row r="176" spans="1:16" ht="15.75" customHeight="1" x14ac:dyDescent="0.2">
      <c r="A176" s="19"/>
      <c r="B176" s="19"/>
      <c r="C176" s="19"/>
      <c r="D176" s="19"/>
      <c r="E176" s="19"/>
      <c r="F176" s="19"/>
      <c r="G176" s="11"/>
      <c r="H176" s="11"/>
      <c r="I176" s="19"/>
      <c r="J176" s="19"/>
      <c r="K176" s="19"/>
      <c r="L176" s="19"/>
      <c r="M176" s="19"/>
      <c r="N176" s="19"/>
      <c r="O176" s="19"/>
      <c r="P176" s="19"/>
    </row>
    <row r="177" spans="1:16" ht="15.75" customHeight="1" x14ac:dyDescent="0.2">
      <c r="A177" s="19"/>
      <c r="B177" s="19"/>
      <c r="C177" s="19"/>
      <c r="D177" s="19"/>
      <c r="E177" s="19"/>
      <c r="F177" s="19"/>
      <c r="G177" s="11"/>
      <c r="H177" s="11"/>
      <c r="I177" s="19"/>
      <c r="J177" s="19"/>
      <c r="K177" s="19"/>
      <c r="L177" s="19"/>
      <c r="M177" s="19"/>
      <c r="N177" s="19"/>
      <c r="O177" s="19"/>
      <c r="P177" s="19"/>
    </row>
    <row r="178" spans="1:16" ht="15.75" customHeight="1" x14ac:dyDescent="0.2">
      <c r="A178" s="19"/>
      <c r="B178" s="19"/>
      <c r="C178" s="19"/>
      <c r="D178" s="19"/>
      <c r="E178" s="19"/>
      <c r="F178" s="19"/>
      <c r="G178" s="11"/>
      <c r="H178" s="11"/>
      <c r="I178" s="19"/>
      <c r="J178" s="19"/>
      <c r="K178" s="19"/>
      <c r="L178" s="19"/>
      <c r="M178" s="19"/>
      <c r="N178" s="19"/>
      <c r="O178" s="19"/>
      <c r="P178" s="19"/>
    </row>
    <row r="179" spans="1:16" ht="15.75" customHeight="1" x14ac:dyDescent="0.2">
      <c r="A179" s="19"/>
      <c r="B179" s="19"/>
      <c r="C179" s="19"/>
      <c r="D179" s="19"/>
      <c r="E179" s="19"/>
      <c r="F179" s="19"/>
      <c r="G179" s="11"/>
      <c r="H179" s="11"/>
      <c r="I179" s="19"/>
      <c r="J179" s="19"/>
      <c r="K179" s="19"/>
      <c r="L179" s="19"/>
      <c r="M179" s="19"/>
      <c r="N179" s="19"/>
      <c r="O179" s="19"/>
      <c r="P179" s="19"/>
    </row>
    <row r="180" spans="1:16" ht="15.75" customHeight="1" x14ac:dyDescent="0.2">
      <c r="A180" s="19"/>
      <c r="B180" s="19"/>
      <c r="C180" s="19"/>
      <c r="D180" s="19"/>
      <c r="E180" s="19"/>
      <c r="F180" s="19"/>
      <c r="G180" s="11"/>
      <c r="H180" s="11"/>
      <c r="I180" s="19"/>
      <c r="J180" s="19"/>
      <c r="K180" s="19"/>
      <c r="L180" s="19"/>
      <c r="M180" s="19"/>
      <c r="N180" s="19"/>
      <c r="O180" s="19"/>
      <c r="P180" s="19"/>
    </row>
    <row r="181" spans="1:16" ht="15.75" customHeight="1" x14ac:dyDescent="0.2">
      <c r="A181" s="19"/>
      <c r="B181" s="19"/>
      <c r="C181" s="19"/>
      <c r="D181" s="19"/>
      <c r="E181" s="19"/>
      <c r="F181" s="19"/>
      <c r="G181" s="11"/>
      <c r="H181" s="11"/>
      <c r="I181" s="19"/>
      <c r="J181" s="19"/>
      <c r="K181" s="19"/>
      <c r="L181" s="19"/>
      <c r="M181" s="19"/>
      <c r="N181" s="19"/>
      <c r="O181" s="19"/>
      <c r="P181" s="19"/>
    </row>
    <row r="182" spans="1:16" ht="15.75" customHeight="1" x14ac:dyDescent="0.2">
      <c r="A182" s="19"/>
      <c r="B182" s="19"/>
      <c r="C182" s="19"/>
      <c r="D182" s="19"/>
      <c r="E182" s="19"/>
      <c r="F182" s="19"/>
      <c r="G182" s="11"/>
      <c r="H182" s="11"/>
      <c r="I182" s="19"/>
      <c r="J182" s="19"/>
      <c r="K182" s="19"/>
      <c r="L182" s="19"/>
      <c r="M182" s="19"/>
      <c r="N182" s="19"/>
      <c r="O182" s="19"/>
      <c r="P182" s="19"/>
    </row>
    <row r="183" spans="1:16" ht="15.75" customHeight="1" x14ac:dyDescent="0.2">
      <c r="A183" s="19"/>
      <c r="B183" s="19"/>
      <c r="C183" s="19"/>
      <c r="D183" s="19"/>
      <c r="E183" s="19"/>
      <c r="F183" s="19"/>
      <c r="G183" s="11"/>
      <c r="H183" s="11"/>
      <c r="I183" s="19"/>
      <c r="J183" s="19"/>
      <c r="K183" s="19"/>
      <c r="L183" s="19"/>
      <c r="M183" s="19"/>
      <c r="N183" s="19"/>
      <c r="O183" s="19"/>
      <c r="P183" s="19"/>
    </row>
    <row r="184" spans="1:16" ht="15.75" customHeight="1" x14ac:dyDescent="0.2">
      <c r="A184" s="19"/>
      <c r="B184" s="19"/>
      <c r="C184" s="19"/>
      <c r="D184" s="19"/>
      <c r="E184" s="19"/>
      <c r="F184" s="19"/>
      <c r="G184" s="11"/>
      <c r="H184" s="11"/>
      <c r="I184" s="19"/>
      <c r="J184" s="19"/>
      <c r="K184" s="19"/>
      <c r="L184" s="19"/>
      <c r="M184" s="19"/>
      <c r="N184" s="19"/>
      <c r="O184" s="19"/>
      <c r="P184" s="19"/>
    </row>
    <row r="185" spans="1:16" ht="15.75" customHeight="1" x14ac:dyDescent="0.2">
      <c r="A185" s="19"/>
      <c r="B185" s="19"/>
      <c r="C185" s="19"/>
      <c r="D185" s="19"/>
      <c r="E185" s="19"/>
      <c r="F185" s="19"/>
      <c r="G185" s="11"/>
      <c r="H185" s="11"/>
      <c r="I185" s="19"/>
      <c r="J185" s="19"/>
      <c r="K185" s="19"/>
      <c r="L185" s="19"/>
      <c r="M185" s="19"/>
      <c r="N185" s="19"/>
      <c r="O185" s="19"/>
      <c r="P185" s="19"/>
    </row>
    <row r="186" spans="1:16" ht="15.75" customHeight="1" x14ac:dyDescent="0.2">
      <c r="A186" s="19"/>
      <c r="B186" s="19"/>
      <c r="C186" s="19"/>
      <c r="D186" s="19"/>
      <c r="E186" s="19"/>
      <c r="F186" s="19"/>
      <c r="G186" s="11"/>
      <c r="H186" s="11"/>
      <c r="I186" s="19"/>
      <c r="J186" s="19"/>
      <c r="K186" s="19"/>
      <c r="L186" s="19"/>
      <c r="M186" s="19"/>
      <c r="N186" s="19"/>
      <c r="O186" s="19"/>
      <c r="P186" s="19"/>
    </row>
    <row r="187" spans="1:16" ht="15.75" customHeight="1" x14ac:dyDescent="0.2">
      <c r="A187" s="19"/>
      <c r="B187" s="19"/>
      <c r="C187" s="19"/>
      <c r="D187" s="19"/>
      <c r="E187" s="19"/>
      <c r="F187" s="19"/>
      <c r="G187" s="11"/>
      <c r="H187" s="11"/>
      <c r="I187" s="19"/>
      <c r="J187" s="19"/>
      <c r="K187" s="19"/>
      <c r="L187" s="19"/>
      <c r="M187" s="19"/>
      <c r="N187" s="19"/>
      <c r="O187" s="19"/>
      <c r="P187" s="19"/>
    </row>
    <row r="188" spans="1:16" ht="15.75" customHeight="1" x14ac:dyDescent="0.2">
      <c r="A188" s="19"/>
      <c r="B188" s="19"/>
      <c r="C188" s="19"/>
      <c r="D188" s="19"/>
      <c r="E188" s="19"/>
      <c r="F188" s="19"/>
      <c r="G188" s="11"/>
      <c r="H188" s="11"/>
      <c r="I188" s="19"/>
      <c r="J188" s="19"/>
      <c r="K188" s="19"/>
      <c r="L188" s="19"/>
      <c r="M188" s="19"/>
      <c r="N188" s="19"/>
      <c r="O188" s="19"/>
      <c r="P188" s="19"/>
    </row>
    <row r="189" spans="1:16" ht="15.75" customHeight="1" x14ac:dyDescent="0.2">
      <c r="A189" s="19"/>
      <c r="B189" s="19"/>
      <c r="C189" s="19"/>
      <c r="D189" s="19"/>
      <c r="E189" s="19"/>
      <c r="F189" s="19"/>
      <c r="G189" s="11"/>
      <c r="H189" s="11"/>
      <c r="I189" s="19"/>
      <c r="J189" s="19"/>
      <c r="K189" s="19"/>
      <c r="L189" s="19"/>
      <c r="M189" s="19"/>
      <c r="N189" s="19"/>
      <c r="O189" s="19"/>
      <c r="P189" s="19"/>
    </row>
    <row r="190" spans="1:16" ht="15.75" customHeight="1" x14ac:dyDescent="0.2">
      <c r="A190" s="19"/>
      <c r="B190" s="19"/>
      <c r="C190" s="19"/>
      <c r="D190" s="19"/>
      <c r="E190" s="19"/>
      <c r="F190" s="19"/>
      <c r="G190" s="11"/>
      <c r="H190" s="11"/>
      <c r="I190" s="19"/>
      <c r="J190" s="19"/>
      <c r="K190" s="19"/>
      <c r="L190" s="19"/>
      <c r="M190" s="19"/>
      <c r="N190" s="19"/>
      <c r="O190" s="19"/>
      <c r="P190" s="19"/>
    </row>
    <row r="191" spans="1:16" ht="15.75" customHeight="1" x14ac:dyDescent="0.2">
      <c r="A191" s="19"/>
      <c r="B191" s="19"/>
      <c r="C191" s="19"/>
      <c r="D191" s="19"/>
      <c r="E191" s="19"/>
      <c r="F191" s="19"/>
      <c r="G191" s="11"/>
      <c r="H191" s="11"/>
      <c r="I191" s="19"/>
      <c r="J191" s="19"/>
      <c r="K191" s="19"/>
      <c r="L191" s="19"/>
      <c r="M191" s="19"/>
      <c r="N191" s="19"/>
      <c r="O191" s="19"/>
      <c r="P191" s="19"/>
    </row>
    <row r="192" spans="1:16" ht="15.75" customHeight="1" x14ac:dyDescent="0.2">
      <c r="A192" s="19"/>
      <c r="B192" s="19"/>
      <c r="C192" s="19"/>
      <c r="D192" s="19"/>
      <c r="E192" s="19"/>
      <c r="F192" s="19"/>
      <c r="G192" s="11"/>
      <c r="H192" s="11"/>
      <c r="I192" s="19"/>
      <c r="J192" s="19"/>
      <c r="K192" s="19"/>
      <c r="L192" s="19"/>
      <c r="M192" s="19"/>
      <c r="N192" s="19"/>
      <c r="O192" s="19"/>
      <c r="P192" s="19"/>
    </row>
    <row r="193" spans="1:16" ht="15.75" customHeight="1" x14ac:dyDescent="0.2">
      <c r="A193" s="19"/>
      <c r="B193" s="19"/>
      <c r="C193" s="19"/>
      <c r="D193" s="19"/>
      <c r="E193" s="19"/>
      <c r="F193" s="19"/>
      <c r="G193" s="11"/>
      <c r="H193" s="11"/>
      <c r="I193" s="19"/>
      <c r="J193" s="19"/>
      <c r="K193" s="19"/>
      <c r="L193" s="19"/>
      <c r="M193" s="19"/>
      <c r="N193" s="19"/>
      <c r="O193" s="19"/>
      <c r="P193" s="19"/>
    </row>
    <row r="194" spans="1:16" ht="15.75" customHeight="1" x14ac:dyDescent="0.2">
      <c r="A194" s="19"/>
      <c r="B194" s="19"/>
      <c r="C194" s="19"/>
      <c r="D194" s="19"/>
      <c r="E194" s="19"/>
      <c r="F194" s="19"/>
      <c r="G194" s="11"/>
      <c r="H194" s="11"/>
      <c r="I194" s="19"/>
      <c r="J194" s="19"/>
      <c r="K194" s="19"/>
      <c r="L194" s="19"/>
      <c r="M194" s="19"/>
      <c r="N194" s="19"/>
      <c r="O194" s="19"/>
      <c r="P194" s="19"/>
    </row>
    <row r="195" spans="1:16" ht="15.75" customHeight="1" x14ac:dyDescent="0.2">
      <c r="A195" s="19"/>
      <c r="B195" s="19"/>
      <c r="C195" s="19"/>
      <c r="D195" s="19"/>
      <c r="E195" s="19"/>
      <c r="F195" s="19"/>
      <c r="G195" s="11"/>
      <c r="H195" s="11"/>
      <c r="I195" s="19"/>
      <c r="J195" s="19"/>
      <c r="K195" s="19"/>
      <c r="L195" s="19"/>
      <c r="M195" s="19"/>
      <c r="N195" s="19"/>
      <c r="O195" s="19"/>
      <c r="P195" s="19"/>
    </row>
    <row r="196" spans="1:16" ht="15.75" customHeight="1" x14ac:dyDescent="0.2">
      <c r="A196" s="19"/>
      <c r="B196" s="19"/>
      <c r="C196" s="19"/>
      <c r="D196" s="19"/>
      <c r="E196" s="19"/>
      <c r="F196" s="19"/>
      <c r="G196" s="11"/>
      <c r="H196" s="11"/>
      <c r="I196" s="19"/>
      <c r="J196" s="19"/>
      <c r="K196" s="19"/>
      <c r="L196" s="19"/>
      <c r="M196" s="19"/>
      <c r="N196" s="19"/>
      <c r="O196" s="19"/>
      <c r="P196" s="19"/>
    </row>
    <row r="197" spans="1:16" ht="15.75" customHeight="1" x14ac:dyDescent="0.2">
      <c r="A197" s="19"/>
      <c r="B197" s="19"/>
      <c r="C197" s="19"/>
      <c r="D197" s="19"/>
      <c r="E197" s="19"/>
      <c r="F197" s="19"/>
      <c r="G197" s="11"/>
      <c r="H197" s="11"/>
      <c r="I197" s="19"/>
      <c r="J197" s="19"/>
      <c r="K197" s="19"/>
      <c r="L197" s="19"/>
      <c r="M197" s="19"/>
      <c r="N197" s="19"/>
      <c r="O197" s="19"/>
      <c r="P197" s="19"/>
    </row>
    <row r="198" spans="1:16" ht="15.75" customHeight="1" x14ac:dyDescent="0.2">
      <c r="A198" s="19"/>
      <c r="B198" s="19"/>
      <c r="C198" s="19"/>
      <c r="D198" s="19"/>
      <c r="E198" s="19"/>
      <c r="F198" s="19"/>
      <c r="G198" s="11"/>
      <c r="H198" s="11"/>
      <c r="I198" s="19"/>
      <c r="J198" s="19"/>
      <c r="K198" s="19"/>
      <c r="L198" s="19"/>
      <c r="M198" s="19"/>
      <c r="N198" s="19"/>
      <c r="O198" s="19"/>
      <c r="P198" s="19"/>
    </row>
    <row r="199" spans="1:16" ht="15.75" customHeight="1" x14ac:dyDescent="0.2">
      <c r="A199" s="19"/>
      <c r="B199" s="19"/>
      <c r="C199" s="19"/>
      <c r="D199" s="19"/>
      <c r="E199" s="19"/>
      <c r="F199" s="19"/>
      <c r="G199" s="11"/>
      <c r="H199" s="11"/>
      <c r="I199" s="19"/>
      <c r="J199" s="19"/>
      <c r="K199" s="19"/>
      <c r="L199" s="19"/>
      <c r="M199" s="19"/>
      <c r="N199" s="19"/>
      <c r="O199" s="19"/>
      <c r="P199" s="19"/>
    </row>
    <row r="200" spans="1:16" ht="15.75" customHeight="1" x14ac:dyDescent="0.2">
      <c r="A200" s="19"/>
      <c r="B200" s="19"/>
      <c r="C200" s="19"/>
      <c r="D200" s="19"/>
      <c r="E200" s="19"/>
      <c r="F200" s="19"/>
      <c r="G200" s="11"/>
      <c r="H200" s="11"/>
      <c r="I200" s="19"/>
      <c r="J200" s="19"/>
      <c r="K200" s="19"/>
      <c r="L200" s="19"/>
      <c r="M200" s="19"/>
      <c r="N200" s="19"/>
      <c r="O200" s="19"/>
      <c r="P200" s="19"/>
    </row>
    <row r="201" spans="1:16" ht="15.75" customHeight="1" x14ac:dyDescent="0.2">
      <c r="A201" s="19"/>
      <c r="B201" s="19"/>
      <c r="C201" s="19"/>
      <c r="D201" s="19"/>
      <c r="E201" s="19"/>
      <c r="F201" s="19"/>
      <c r="G201" s="11"/>
      <c r="H201" s="11"/>
      <c r="I201" s="19"/>
      <c r="J201" s="19"/>
      <c r="K201" s="19"/>
      <c r="L201" s="19"/>
      <c r="M201" s="19"/>
      <c r="N201" s="19"/>
      <c r="O201" s="19"/>
      <c r="P201" s="19"/>
    </row>
    <row r="202" spans="1:16" ht="15.75" customHeight="1" x14ac:dyDescent="0.2">
      <c r="A202" s="19"/>
      <c r="B202" s="19"/>
      <c r="C202" s="19"/>
      <c r="D202" s="19"/>
      <c r="E202" s="19"/>
      <c r="F202" s="19"/>
      <c r="G202" s="11"/>
      <c r="H202" s="11"/>
      <c r="I202" s="19"/>
      <c r="J202" s="19"/>
      <c r="K202" s="19"/>
      <c r="L202" s="19"/>
      <c r="M202" s="19"/>
      <c r="N202" s="19"/>
      <c r="O202" s="19"/>
      <c r="P202" s="19"/>
    </row>
    <row r="203" spans="1:16" ht="15.75" customHeight="1" x14ac:dyDescent="0.2">
      <c r="A203" s="19"/>
      <c r="B203" s="19"/>
      <c r="C203" s="19"/>
      <c r="D203" s="19"/>
      <c r="E203" s="19"/>
      <c r="F203" s="19"/>
      <c r="G203" s="11"/>
      <c r="H203" s="11"/>
      <c r="I203" s="19"/>
      <c r="J203" s="19"/>
      <c r="K203" s="19"/>
      <c r="L203" s="19"/>
      <c r="M203" s="19"/>
      <c r="N203" s="19"/>
      <c r="O203" s="19"/>
      <c r="P203" s="19"/>
    </row>
    <row r="204" spans="1:16" ht="15.75" customHeight="1" x14ac:dyDescent="0.2">
      <c r="A204" s="19"/>
      <c r="B204" s="19"/>
      <c r="C204" s="19"/>
      <c r="D204" s="19"/>
      <c r="E204" s="19"/>
      <c r="F204" s="19"/>
      <c r="G204" s="11"/>
      <c r="H204" s="11"/>
      <c r="I204" s="19"/>
      <c r="J204" s="19"/>
      <c r="K204" s="19"/>
      <c r="L204" s="19"/>
      <c r="M204" s="19"/>
      <c r="N204" s="19"/>
      <c r="O204" s="19"/>
      <c r="P204" s="19"/>
    </row>
    <row r="205" spans="1:16" ht="15.75" customHeight="1" x14ac:dyDescent="0.2">
      <c r="A205" s="19"/>
      <c r="B205" s="19"/>
      <c r="C205" s="19"/>
      <c r="D205" s="19"/>
      <c r="E205" s="19"/>
      <c r="F205" s="19"/>
      <c r="G205" s="11"/>
      <c r="H205" s="11"/>
      <c r="I205" s="19"/>
      <c r="J205" s="19"/>
      <c r="K205" s="19"/>
      <c r="L205" s="19"/>
      <c r="M205" s="19"/>
      <c r="N205" s="19"/>
      <c r="O205" s="19"/>
      <c r="P205" s="19"/>
    </row>
    <row r="206" spans="1:16" ht="15.75" customHeight="1" x14ac:dyDescent="0.2">
      <c r="A206" s="19"/>
      <c r="B206" s="19"/>
      <c r="C206" s="19"/>
      <c r="D206" s="19"/>
      <c r="E206" s="19"/>
      <c r="F206" s="19"/>
      <c r="G206" s="11"/>
      <c r="H206" s="11"/>
      <c r="I206" s="19"/>
      <c r="J206" s="19"/>
      <c r="K206" s="19"/>
      <c r="L206" s="19"/>
      <c r="M206" s="19"/>
      <c r="N206" s="19"/>
      <c r="O206" s="19"/>
      <c r="P206" s="19"/>
    </row>
    <row r="207" spans="1:16" ht="15.75" customHeight="1" x14ac:dyDescent="0.2">
      <c r="A207" s="19"/>
      <c r="B207" s="19"/>
      <c r="C207" s="19"/>
      <c r="D207" s="19"/>
      <c r="E207" s="19"/>
      <c r="F207" s="19"/>
      <c r="G207" s="11"/>
      <c r="H207" s="11"/>
      <c r="I207" s="19"/>
      <c r="J207" s="19"/>
      <c r="K207" s="19"/>
      <c r="L207" s="19"/>
      <c r="M207" s="19"/>
      <c r="N207" s="19"/>
      <c r="O207" s="19"/>
      <c r="P207" s="19"/>
    </row>
    <row r="208" spans="1:16" ht="15.75" customHeight="1" x14ac:dyDescent="0.2">
      <c r="A208" s="19"/>
      <c r="B208" s="19"/>
      <c r="C208" s="19"/>
      <c r="D208" s="19"/>
      <c r="E208" s="19"/>
      <c r="F208" s="19"/>
      <c r="G208" s="11"/>
      <c r="H208" s="11"/>
      <c r="I208" s="19"/>
      <c r="J208" s="19"/>
      <c r="K208" s="19"/>
      <c r="L208" s="19"/>
      <c r="M208" s="19"/>
      <c r="N208" s="19"/>
      <c r="O208" s="19"/>
      <c r="P208" s="19"/>
    </row>
    <row r="209" spans="1:16" ht="15.75" customHeight="1" x14ac:dyDescent="0.2">
      <c r="A209" s="19"/>
      <c r="B209" s="19"/>
      <c r="C209" s="19"/>
      <c r="D209" s="19"/>
      <c r="E209" s="19"/>
      <c r="F209" s="19"/>
      <c r="G209" s="11"/>
      <c r="H209" s="11"/>
      <c r="I209" s="19"/>
      <c r="J209" s="19"/>
      <c r="K209" s="19"/>
      <c r="L209" s="19"/>
      <c r="M209" s="19"/>
      <c r="N209" s="19"/>
      <c r="O209" s="19"/>
      <c r="P209" s="19"/>
    </row>
    <row r="210" spans="1:16" ht="15.75" customHeight="1" x14ac:dyDescent="0.2">
      <c r="A210" s="19"/>
      <c r="B210" s="19"/>
      <c r="C210" s="19"/>
      <c r="D210" s="19"/>
      <c r="E210" s="19"/>
      <c r="F210" s="19"/>
      <c r="G210" s="11"/>
      <c r="H210" s="11"/>
      <c r="I210" s="19"/>
      <c r="J210" s="19"/>
      <c r="K210" s="19"/>
      <c r="L210" s="19"/>
      <c r="M210" s="19"/>
      <c r="N210" s="19"/>
      <c r="O210" s="19"/>
      <c r="P210" s="19"/>
    </row>
    <row r="211" spans="1:16" ht="15.75" customHeight="1" x14ac:dyDescent="0.2">
      <c r="A211" s="19"/>
      <c r="B211" s="19"/>
      <c r="C211" s="19"/>
      <c r="D211" s="19"/>
      <c r="E211" s="19"/>
      <c r="F211" s="19"/>
      <c r="G211" s="11"/>
      <c r="H211" s="11"/>
      <c r="I211" s="19"/>
      <c r="J211" s="19"/>
      <c r="K211" s="19"/>
      <c r="L211" s="19"/>
      <c r="M211" s="19"/>
      <c r="N211" s="19"/>
      <c r="O211" s="19"/>
      <c r="P211" s="19"/>
    </row>
    <row r="212" spans="1:16" ht="15.75" customHeight="1" x14ac:dyDescent="0.2">
      <c r="A212" s="19"/>
      <c r="B212" s="19"/>
      <c r="C212" s="19"/>
      <c r="D212" s="19"/>
      <c r="E212" s="19"/>
      <c r="F212" s="19"/>
      <c r="G212" s="11"/>
      <c r="H212" s="11"/>
      <c r="I212" s="19"/>
      <c r="J212" s="19"/>
      <c r="K212" s="19"/>
      <c r="L212" s="19"/>
      <c r="M212" s="19"/>
      <c r="N212" s="19"/>
      <c r="O212" s="19"/>
      <c r="P212" s="19"/>
    </row>
    <row r="213" spans="1:16" ht="15.75" customHeight="1" x14ac:dyDescent="0.2">
      <c r="A213" s="19"/>
      <c r="B213" s="19"/>
      <c r="C213" s="19"/>
      <c r="D213" s="19"/>
      <c r="E213" s="19"/>
      <c r="F213" s="19"/>
      <c r="G213" s="11"/>
      <c r="H213" s="11"/>
      <c r="I213" s="19"/>
      <c r="J213" s="19"/>
      <c r="K213" s="19"/>
      <c r="L213" s="19"/>
      <c r="M213" s="19"/>
      <c r="N213" s="19"/>
      <c r="O213" s="19"/>
      <c r="P213" s="19"/>
    </row>
    <row r="214" spans="1:16" ht="15.75" customHeight="1" x14ac:dyDescent="0.2">
      <c r="A214" s="19"/>
      <c r="B214" s="19"/>
      <c r="C214" s="19"/>
      <c r="D214" s="19"/>
      <c r="E214" s="19"/>
      <c r="F214" s="19"/>
      <c r="G214" s="11"/>
      <c r="H214" s="11"/>
      <c r="I214" s="19"/>
      <c r="J214" s="19"/>
      <c r="K214" s="19"/>
      <c r="L214" s="19"/>
      <c r="M214" s="19"/>
      <c r="N214" s="19"/>
      <c r="O214" s="19"/>
      <c r="P214" s="19"/>
    </row>
    <row r="215" spans="1:16" ht="15.75" customHeight="1" x14ac:dyDescent="0.2">
      <c r="A215" s="19"/>
      <c r="B215" s="19"/>
      <c r="C215" s="19"/>
      <c r="D215" s="19"/>
      <c r="E215" s="19"/>
      <c r="F215" s="19"/>
      <c r="G215" s="11"/>
      <c r="H215" s="11"/>
      <c r="I215" s="19"/>
      <c r="J215" s="19"/>
      <c r="K215" s="19"/>
      <c r="L215" s="19"/>
      <c r="M215" s="19"/>
      <c r="N215" s="19"/>
      <c r="O215" s="19"/>
      <c r="P215" s="19"/>
    </row>
    <row r="216" spans="1:16" ht="15.75" customHeight="1" x14ac:dyDescent="0.2">
      <c r="A216" s="19"/>
      <c r="B216" s="19"/>
      <c r="C216" s="19"/>
      <c r="D216" s="19"/>
      <c r="E216" s="19"/>
      <c r="F216" s="19"/>
      <c r="G216" s="11"/>
      <c r="H216" s="11"/>
      <c r="I216" s="19"/>
      <c r="J216" s="19"/>
      <c r="K216" s="19"/>
      <c r="L216" s="19"/>
      <c r="M216" s="19"/>
      <c r="N216" s="19"/>
      <c r="O216" s="19"/>
      <c r="P216" s="19"/>
    </row>
    <row r="217" spans="1:16" ht="15.75" customHeight="1" x14ac:dyDescent="0.2">
      <c r="A217" s="19"/>
      <c r="B217" s="19"/>
      <c r="C217" s="19"/>
      <c r="D217" s="19"/>
      <c r="E217" s="19"/>
      <c r="F217" s="19"/>
      <c r="G217" s="11"/>
      <c r="H217" s="11"/>
      <c r="I217" s="19"/>
      <c r="J217" s="19"/>
      <c r="K217" s="19"/>
      <c r="L217" s="19"/>
      <c r="M217" s="19"/>
      <c r="N217" s="19"/>
      <c r="O217" s="19"/>
      <c r="P217" s="19"/>
    </row>
    <row r="218" spans="1:16" ht="15.75" customHeight="1" x14ac:dyDescent="0.2">
      <c r="A218" s="19"/>
      <c r="B218" s="19"/>
      <c r="C218" s="19"/>
      <c r="D218" s="19"/>
      <c r="E218" s="19"/>
      <c r="F218" s="19"/>
      <c r="G218" s="11"/>
      <c r="H218" s="11"/>
      <c r="I218" s="19"/>
      <c r="J218" s="19"/>
      <c r="K218" s="19"/>
      <c r="L218" s="19"/>
      <c r="M218" s="19"/>
      <c r="N218" s="19"/>
      <c r="O218" s="19"/>
      <c r="P218" s="19"/>
    </row>
    <row r="219" spans="1:16" ht="15.75" customHeight="1" x14ac:dyDescent="0.2">
      <c r="A219" s="19"/>
      <c r="B219" s="19"/>
      <c r="C219" s="19"/>
      <c r="D219" s="19"/>
      <c r="E219" s="19"/>
      <c r="F219" s="19"/>
      <c r="G219" s="11"/>
      <c r="H219" s="11"/>
      <c r="I219" s="19"/>
      <c r="J219" s="19"/>
      <c r="K219" s="19"/>
      <c r="L219" s="19"/>
      <c r="M219" s="19"/>
      <c r="N219" s="19"/>
      <c r="O219" s="19"/>
      <c r="P219" s="19"/>
    </row>
    <row r="220" spans="1:16" ht="15.75" customHeight="1" x14ac:dyDescent="0.2">
      <c r="A220" s="19"/>
      <c r="B220" s="19"/>
      <c r="C220" s="19"/>
      <c r="D220" s="19"/>
      <c r="E220" s="19"/>
      <c r="F220" s="19"/>
      <c r="G220" s="11"/>
      <c r="H220" s="11"/>
      <c r="I220" s="19"/>
      <c r="J220" s="19"/>
      <c r="K220" s="19"/>
      <c r="L220" s="19"/>
      <c r="M220" s="19"/>
      <c r="N220" s="19"/>
      <c r="O220" s="19"/>
      <c r="P220" s="19"/>
    </row>
    <row r="221" spans="1:16" ht="15.75" customHeight="1" x14ac:dyDescent="0.2">
      <c r="A221" s="19"/>
      <c r="B221" s="19"/>
      <c r="C221" s="19"/>
      <c r="D221" s="19"/>
      <c r="E221" s="19"/>
      <c r="F221" s="19"/>
      <c r="G221" s="11"/>
      <c r="H221" s="11"/>
      <c r="I221" s="19"/>
      <c r="J221" s="19"/>
      <c r="K221" s="19"/>
      <c r="L221" s="19"/>
      <c r="M221" s="19"/>
      <c r="N221" s="19"/>
      <c r="O221" s="19"/>
      <c r="P221" s="19"/>
    </row>
    <row r="222" spans="1:16" ht="15.75" customHeight="1" x14ac:dyDescent="0.2">
      <c r="A222" s="19"/>
      <c r="B222" s="19"/>
      <c r="C222" s="19"/>
      <c r="D222" s="19"/>
      <c r="E222" s="19"/>
      <c r="F222" s="19"/>
      <c r="G222" s="11"/>
      <c r="H222" s="11"/>
      <c r="I222" s="19"/>
      <c r="J222" s="19"/>
      <c r="K222" s="19"/>
      <c r="L222" s="19"/>
      <c r="M222" s="19"/>
      <c r="N222" s="19"/>
      <c r="O222" s="19"/>
      <c r="P222" s="19"/>
    </row>
    <row r="223" spans="1:16" ht="15.75" customHeight="1" x14ac:dyDescent="0.2">
      <c r="A223" s="19"/>
      <c r="B223" s="19"/>
      <c r="C223" s="19"/>
      <c r="D223" s="19"/>
      <c r="E223" s="19"/>
      <c r="F223" s="19"/>
      <c r="G223" s="11"/>
      <c r="H223" s="11"/>
      <c r="I223" s="19"/>
      <c r="J223" s="19"/>
      <c r="K223" s="19"/>
      <c r="L223" s="19"/>
      <c r="M223" s="19"/>
      <c r="N223" s="19"/>
      <c r="O223" s="19"/>
      <c r="P223" s="19"/>
    </row>
    <row r="224" spans="1:16" ht="15.75" customHeight="1" x14ac:dyDescent="0.2">
      <c r="A224" s="19"/>
      <c r="B224" s="19"/>
      <c r="C224" s="19"/>
      <c r="D224" s="19"/>
      <c r="E224" s="19"/>
      <c r="F224" s="19"/>
      <c r="G224" s="11"/>
      <c r="H224" s="11"/>
      <c r="I224" s="19"/>
      <c r="J224" s="19"/>
      <c r="K224" s="19"/>
      <c r="L224" s="19"/>
      <c r="M224" s="19"/>
      <c r="N224" s="19"/>
      <c r="O224" s="19"/>
      <c r="P224" s="19"/>
    </row>
    <row r="225" spans="1:16" ht="15.75" customHeight="1" x14ac:dyDescent="0.2">
      <c r="A225" s="19"/>
      <c r="B225" s="19"/>
      <c r="C225" s="19"/>
      <c r="D225" s="19"/>
      <c r="E225" s="19"/>
      <c r="F225" s="19"/>
      <c r="G225" s="11"/>
      <c r="H225" s="11"/>
      <c r="I225" s="19"/>
      <c r="J225" s="19"/>
      <c r="K225" s="19"/>
      <c r="L225" s="19"/>
      <c r="M225" s="19"/>
      <c r="N225" s="19"/>
      <c r="O225" s="19"/>
      <c r="P225" s="19"/>
    </row>
    <row r="226" spans="1:16" ht="15.75" customHeight="1" x14ac:dyDescent="0.2">
      <c r="A226" s="19"/>
      <c r="B226" s="19"/>
      <c r="C226" s="19"/>
      <c r="D226" s="19"/>
      <c r="E226" s="19"/>
      <c r="F226" s="19"/>
      <c r="G226" s="11"/>
      <c r="H226" s="11"/>
      <c r="I226" s="19"/>
      <c r="J226" s="19"/>
      <c r="K226" s="19"/>
      <c r="L226" s="19"/>
      <c r="M226" s="19"/>
      <c r="N226" s="19"/>
      <c r="O226" s="19"/>
      <c r="P226" s="19"/>
    </row>
    <row r="227" spans="1:16" ht="15.75" customHeight="1" x14ac:dyDescent="0.2">
      <c r="A227" s="19"/>
      <c r="B227" s="19"/>
      <c r="C227" s="19"/>
      <c r="D227" s="19"/>
      <c r="E227" s="19"/>
      <c r="F227" s="19"/>
      <c r="G227" s="11"/>
      <c r="H227" s="11"/>
      <c r="I227" s="19"/>
      <c r="J227" s="19"/>
      <c r="K227" s="19"/>
      <c r="L227" s="19"/>
      <c r="M227" s="19"/>
      <c r="N227" s="19"/>
      <c r="O227" s="19"/>
      <c r="P227" s="19"/>
    </row>
    <row r="228" spans="1:16" ht="15.75" customHeight="1" x14ac:dyDescent="0.2">
      <c r="A228" s="19"/>
      <c r="B228" s="19"/>
      <c r="C228" s="19"/>
      <c r="D228" s="19"/>
      <c r="E228" s="19"/>
      <c r="F228" s="19"/>
      <c r="G228" s="11"/>
      <c r="H228" s="11"/>
      <c r="I228" s="19"/>
      <c r="J228" s="19"/>
      <c r="K228" s="19"/>
      <c r="L228" s="19"/>
      <c r="M228" s="19"/>
      <c r="N228" s="19"/>
      <c r="O228" s="19"/>
      <c r="P228" s="19"/>
    </row>
    <row r="229" spans="1:16" ht="15.75" customHeight="1" x14ac:dyDescent="0.2">
      <c r="A229" s="19"/>
      <c r="B229" s="19"/>
      <c r="C229" s="19"/>
      <c r="D229" s="19"/>
      <c r="E229" s="19"/>
      <c r="F229" s="19"/>
      <c r="G229" s="11"/>
      <c r="H229" s="11"/>
      <c r="I229" s="19"/>
      <c r="J229" s="19"/>
      <c r="K229" s="19"/>
      <c r="L229" s="19"/>
      <c r="M229" s="19"/>
      <c r="N229" s="19"/>
      <c r="O229" s="19"/>
      <c r="P229" s="19"/>
    </row>
    <row r="230" spans="1:16" ht="15.75" customHeight="1" x14ac:dyDescent="0.2">
      <c r="A230" s="19"/>
      <c r="B230" s="19"/>
      <c r="C230" s="19"/>
      <c r="D230" s="19"/>
      <c r="E230" s="19"/>
      <c r="F230" s="19"/>
      <c r="G230" s="11"/>
      <c r="H230" s="11"/>
      <c r="I230" s="19"/>
      <c r="J230" s="19"/>
      <c r="K230" s="19"/>
      <c r="L230" s="19"/>
      <c r="M230" s="19"/>
      <c r="N230" s="19"/>
      <c r="O230" s="19"/>
      <c r="P230" s="19"/>
    </row>
    <row r="231" spans="1:16" ht="15.75" customHeight="1" x14ac:dyDescent="0.2">
      <c r="A231" s="19"/>
      <c r="B231" s="19"/>
      <c r="C231" s="19"/>
      <c r="D231" s="19"/>
      <c r="E231" s="19"/>
      <c r="F231" s="19"/>
      <c r="G231" s="11"/>
      <c r="H231" s="11"/>
      <c r="I231" s="19"/>
      <c r="J231" s="19"/>
      <c r="K231" s="19"/>
      <c r="L231" s="19"/>
      <c r="M231" s="19"/>
      <c r="N231" s="19"/>
      <c r="O231" s="19"/>
      <c r="P231" s="19"/>
    </row>
    <row r="232" spans="1:16" ht="15.75" customHeight="1" x14ac:dyDescent="0.2">
      <c r="A232" s="19"/>
      <c r="B232" s="19"/>
      <c r="C232" s="19"/>
      <c r="D232" s="19"/>
      <c r="E232" s="19"/>
      <c r="F232" s="19"/>
      <c r="G232" s="11"/>
      <c r="H232" s="11"/>
      <c r="I232" s="19"/>
      <c r="J232" s="19"/>
      <c r="K232" s="19"/>
      <c r="L232" s="19"/>
      <c r="M232" s="19"/>
      <c r="N232" s="19"/>
      <c r="O232" s="19"/>
      <c r="P232" s="19"/>
    </row>
    <row r="233" spans="1:16" ht="15.75" customHeight="1" x14ac:dyDescent="0.2">
      <c r="A233" s="19"/>
      <c r="B233" s="19"/>
      <c r="C233" s="19"/>
      <c r="D233" s="19"/>
      <c r="E233" s="19"/>
      <c r="F233" s="19"/>
      <c r="G233" s="11"/>
      <c r="H233" s="11"/>
      <c r="I233" s="19"/>
      <c r="J233" s="19"/>
      <c r="K233" s="19"/>
      <c r="L233" s="19"/>
      <c r="M233" s="19"/>
      <c r="N233" s="19"/>
      <c r="O233" s="19"/>
      <c r="P233" s="19"/>
    </row>
    <row r="234" spans="1:16" ht="15.75" customHeight="1" x14ac:dyDescent="0.2">
      <c r="A234" s="19"/>
      <c r="B234" s="19"/>
      <c r="C234" s="19"/>
      <c r="D234" s="19"/>
      <c r="E234" s="19"/>
      <c r="F234" s="19"/>
      <c r="G234" s="11"/>
      <c r="H234" s="11"/>
      <c r="I234" s="19"/>
      <c r="J234" s="19"/>
      <c r="K234" s="19"/>
      <c r="L234" s="19"/>
      <c r="M234" s="19"/>
      <c r="N234" s="19"/>
      <c r="O234" s="19"/>
      <c r="P234" s="19"/>
    </row>
    <row r="235" spans="1:16" ht="15.75" customHeight="1" x14ac:dyDescent="0.2">
      <c r="A235" s="19"/>
      <c r="B235" s="19"/>
      <c r="C235" s="19"/>
      <c r="D235" s="19"/>
      <c r="E235" s="19"/>
      <c r="F235" s="19"/>
      <c r="G235" s="11"/>
      <c r="H235" s="11"/>
      <c r="I235" s="19"/>
      <c r="J235" s="19"/>
      <c r="K235" s="19"/>
      <c r="L235" s="19"/>
      <c r="M235" s="19"/>
      <c r="N235" s="19"/>
      <c r="O235" s="19"/>
      <c r="P235" s="19"/>
    </row>
    <row r="236" spans="1:16" ht="15.75" customHeight="1" x14ac:dyDescent="0.2">
      <c r="A236" s="19"/>
      <c r="B236" s="19"/>
      <c r="C236" s="19"/>
      <c r="D236" s="19"/>
      <c r="E236" s="19"/>
      <c r="F236" s="19"/>
      <c r="G236" s="11"/>
      <c r="H236" s="11"/>
      <c r="I236" s="19"/>
      <c r="J236" s="19"/>
      <c r="K236" s="19"/>
      <c r="L236" s="19"/>
      <c r="M236" s="19"/>
      <c r="N236" s="19"/>
      <c r="O236" s="19"/>
      <c r="P236" s="19"/>
    </row>
    <row r="237" spans="1:16" ht="15.75" customHeight="1" x14ac:dyDescent="0.2">
      <c r="A237" s="19"/>
      <c r="B237" s="19"/>
      <c r="C237" s="19"/>
      <c r="D237" s="19"/>
      <c r="E237" s="19"/>
      <c r="F237" s="19"/>
      <c r="G237" s="11"/>
      <c r="H237" s="11"/>
      <c r="I237" s="19"/>
      <c r="J237" s="19"/>
      <c r="K237" s="19"/>
      <c r="L237" s="19"/>
      <c r="M237" s="19"/>
      <c r="N237" s="19"/>
      <c r="O237" s="19"/>
      <c r="P237" s="19"/>
    </row>
    <row r="238" spans="1:16" ht="15.75" customHeight="1" x14ac:dyDescent="0.2">
      <c r="A238" s="19"/>
      <c r="B238" s="19"/>
      <c r="C238" s="19"/>
      <c r="D238" s="19"/>
      <c r="E238" s="19"/>
      <c r="F238" s="19"/>
      <c r="G238" s="11"/>
      <c r="H238" s="11"/>
      <c r="I238" s="19"/>
      <c r="J238" s="19"/>
      <c r="K238" s="19"/>
      <c r="L238" s="19"/>
      <c r="M238" s="19"/>
      <c r="N238" s="19"/>
      <c r="O238" s="19"/>
      <c r="P238" s="19"/>
    </row>
    <row r="239" spans="1:16" ht="15.75" customHeight="1" x14ac:dyDescent="0.2">
      <c r="A239" s="19"/>
      <c r="B239" s="19"/>
      <c r="C239" s="19"/>
      <c r="D239" s="19"/>
      <c r="E239" s="19"/>
      <c r="F239" s="19"/>
      <c r="G239" s="11"/>
      <c r="H239" s="11"/>
      <c r="I239" s="19"/>
      <c r="J239" s="19"/>
      <c r="K239" s="19"/>
      <c r="L239" s="19"/>
      <c r="M239" s="19"/>
      <c r="N239" s="19"/>
      <c r="O239" s="19"/>
      <c r="P239" s="19"/>
    </row>
    <row r="240" spans="1:16" ht="15.75" customHeight="1" x14ac:dyDescent="0.2">
      <c r="A240" s="19"/>
      <c r="B240" s="19"/>
      <c r="C240" s="19"/>
      <c r="D240" s="19"/>
      <c r="E240" s="19"/>
      <c r="F240" s="19"/>
      <c r="G240" s="11"/>
      <c r="H240" s="11"/>
      <c r="I240" s="19"/>
      <c r="J240" s="19"/>
      <c r="K240" s="19"/>
      <c r="L240" s="19"/>
      <c r="M240" s="19"/>
      <c r="N240" s="19"/>
      <c r="O240" s="19"/>
      <c r="P240" s="19"/>
    </row>
    <row r="241" spans="1:16" ht="15.75" customHeight="1" x14ac:dyDescent="0.2">
      <c r="A241" s="19"/>
      <c r="B241" s="19"/>
      <c r="C241" s="19"/>
      <c r="D241" s="19"/>
      <c r="E241" s="19"/>
      <c r="F241" s="19"/>
      <c r="G241" s="11"/>
      <c r="H241" s="11"/>
      <c r="I241" s="19"/>
      <c r="J241" s="19"/>
      <c r="K241" s="19"/>
      <c r="L241" s="19"/>
      <c r="M241" s="19"/>
      <c r="N241" s="19"/>
      <c r="O241" s="19"/>
      <c r="P241" s="19"/>
    </row>
    <row r="242" spans="1:16" ht="15.75" customHeight="1" x14ac:dyDescent="0.2">
      <c r="A242" s="19"/>
      <c r="B242" s="19"/>
      <c r="C242" s="19"/>
      <c r="D242" s="19"/>
      <c r="E242" s="19"/>
      <c r="F242" s="19"/>
      <c r="G242" s="11"/>
      <c r="H242" s="11"/>
      <c r="I242" s="19"/>
      <c r="J242" s="19"/>
      <c r="K242" s="19"/>
      <c r="L242" s="19"/>
      <c r="M242" s="19"/>
      <c r="N242" s="19"/>
      <c r="O242" s="19"/>
      <c r="P242" s="19"/>
    </row>
    <row r="243" spans="1:16" ht="15.75" customHeight="1" x14ac:dyDescent="0.2">
      <c r="A243" s="19"/>
      <c r="B243" s="19"/>
      <c r="C243" s="19"/>
      <c r="D243" s="19"/>
      <c r="E243" s="19"/>
      <c r="F243" s="19"/>
      <c r="G243" s="11"/>
      <c r="H243" s="11"/>
      <c r="I243" s="19"/>
      <c r="J243" s="19"/>
      <c r="K243" s="19"/>
      <c r="L243" s="19"/>
      <c r="M243" s="19"/>
      <c r="N243" s="19"/>
      <c r="O243" s="19"/>
      <c r="P243" s="19"/>
    </row>
    <row r="244" spans="1:16" ht="15.75" customHeight="1" x14ac:dyDescent="0.2">
      <c r="A244" s="19"/>
      <c r="B244" s="19"/>
      <c r="C244" s="19"/>
      <c r="D244" s="19"/>
      <c r="E244" s="19"/>
      <c r="F244" s="19"/>
      <c r="G244" s="11"/>
      <c r="H244" s="11"/>
      <c r="I244" s="19"/>
      <c r="J244" s="19"/>
      <c r="K244" s="19"/>
      <c r="L244" s="19"/>
      <c r="M244" s="19"/>
      <c r="N244" s="19"/>
      <c r="O244" s="19"/>
      <c r="P244" s="19"/>
    </row>
    <row r="245" spans="1:16" ht="15.75" customHeight="1" x14ac:dyDescent="0.2">
      <c r="A245" s="19"/>
      <c r="B245" s="19"/>
      <c r="C245" s="19"/>
      <c r="D245" s="19"/>
      <c r="E245" s="19"/>
      <c r="F245" s="19"/>
      <c r="G245" s="11"/>
      <c r="H245" s="11"/>
      <c r="I245" s="19"/>
      <c r="J245" s="19"/>
      <c r="K245" s="19"/>
      <c r="L245" s="19"/>
      <c r="M245" s="19"/>
      <c r="N245" s="19"/>
      <c r="O245" s="19"/>
      <c r="P245" s="19"/>
    </row>
    <row r="246" spans="1:16" ht="15.75" customHeight="1" x14ac:dyDescent="0.2">
      <c r="A246" s="19"/>
      <c r="B246" s="19"/>
      <c r="C246" s="19"/>
      <c r="D246" s="19"/>
      <c r="E246" s="19"/>
      <c r="F246" s="19"/>
      <c r="G246" s="11"/>
      <c r="H246" s="11"/>
      <c r="I246" s="19"/>
      <c r="J246" s="19"/>
      <c r="K246" s="19"/>
      <c r="L246" s="19"/>
      <c r="M246" s="19"/>
      <c r="N246" s="19"/>
      <c r="O246" s="19"/>
      <c r="P246" s="19"/>
    </row>
    <row r="247" spans="1:16" ht="15.75" customHeight="1" x14ac:dyDescent="0.2">
      <c r="A247" s="19"/>
      <c r="B247" s="19"/>
      <c r="C247" s="19"/>
      <c r="D247" s="19"/>
      <c r="E247" s="19"/>
      <c r="F247" s="19"/>
      <c r="G247" s="11"/>
      <c r="H247" s="11"/>
      <c r="I247" s="19"/>
      <c r="J247" s="19"/>
      <c r="K247" s="19"/>
      <c r="L247" s="19"/>
      <c r="M247" s="19"/>
      <c r="N247" s="19"/>
      <c r="O247" s="19"/>
      <c r="P247" s="19"/>
    </row>
    <row r="248" spans="1:16" ht="15.75" customHeight="1" x14ac:dyDescent="0.2">
      <c r="A248" s="19"/>
      <c r="B248" s="19"/>
      <c r="C248" s="19"/>
      <c r="D248" s="19"/>
      <c r="E248" s="19"/>
      <c r="F248" s="19"/>
      <c r="G248" s="11"/>
      <c r="H248" s="11"/>
      <c r="I248" s="19"/>
      <c r="J248" s="19"/>
      <c r="K248" s="19"/>
      <c r="L248" s="19"/>
      <c r="M248" s="19"/>
      <c r="N248" s="19"/>
      <c r="O248" s="19"/>
      <c r="P248" s="19"/>
    </row>
    <row r="249" spans="1:16" ht="15.75" customHeight="1" x14ac:dyDescent="0.2">
      <c r="A249" s="19"/>
      <c r="B249" s="19"/>
      <c r="C249" s="19"/>
      <c r="D249" s="19"/>
      <c r="E249" s="19"/>
      <c r="F249" s="19"/>
      <c r="G249" s="11"/>
      <c r="H249" s="11"/>
      <c r="I249" s="19"/>
      <c r="J249" s="19"/>
      <c r="K249" s="19"/>
      <c r="L249" s="19"/>
      <c r="M249" s="19"/>
      <c r="N249" s="19"/>
      <c r="O249" s="19"/>
      <c r="P249" s="19"/>
    </row>
    <row r="250" spans="1:16" ht="15.75" customHeight="1" x14ac:dyDescent="0.2">
      <c r="A250" s="19"/>
      <c r="B250" s="19"/>
      <c r="C250" s="19"/>
      <c r="D250" s="19"/>
      <c r="E250" s="19"/>
      <c r="F250" s="19"/>
      <c r="G250" s="11"/>
      <c r="H250" s="11"/>
      <c r="I250" s="19"/>
      <c r="J250" s="19"/>
      <c r="K250" s="19"/>
      <c r="L250" s="19"/>
      <c r="M250" s="19"/>
      <c r="N250" s="19"/>
      <c r="O250" s="19"/>
      <c r="P250" s="19"/>
    </row>
    <row r="251" spans="1:16" ht="15.75" customHeight="1" x14ac:dyDescent="0.2">
      <c r="A251" s="19"/>
      <c r="B251" s="19"/>
      <c r="C251" s="19"/>
      <c r="D251" s="19"/>
      <c r="E251" s="19"/>
      <c r="F251" s="19"/>
      <c r="G251" s="11"/>
      <c r="H251" s="11"/>
      <c r="I251" s="19"/>
      <c r="J251" s="19"/>
      <c r="K251" s="19"/>
      <c r="L251" s="19"/>
      <c r="M251" s="19"/>
      <c r="N251" s="19"/>
      <c r="O251" s="19"/>
      <c r="P251" s="19"/>
    </row>
    <row r="252" spans="1:16" ht="15.75" customHeight="1" x14ac:dyDescent="0.2">
      <c r="A252" s="19"/>
      <c r="B252" s="19"/>
      <c r="C252" s="19"/>
      <c r="D252" s="19"/>
      <c r="E252" s="19"/>
      <c r="F252" s="19"/>
      <c r="G252" s="11"/>
      <c r="H252" s="11"/>
      <c r="I252" s="19"/>
      <c r="J252" s="19"/>
      <c r="K252" s="19"/>
      <c r="L252" s="19"/>
      <c r="M252" s="19"/>
      <c r="N252" s="19"/>
      <c r="O252" s="19"/>
      <c r="P252" s="19"/>
    </row>
    <row r="253" spans="1:16" ht="15.75" customHeight="1" x14ac:dyDescent="0.2">
      <c r="A253" s="19"/>
      <c r="B253" s="19"/>
      <c r="C253" s="19"/>
      <c r="D253" s="19"/>
      <c r="E253" s="19"/>
      <c r="F253" s="19"/>
      <c r="G253" s="11"/>
      <c r="H253" s="11"/>
      <c r="I253" s="19"/>
      <c r="J253" s="19"/>
      <c r="K253" s="19"/>
      <c r="L253" s="19"/>
      <c r="M253" s="19"/>
      <c r="N253" s="19"/>
      <c r="O253" s="19"/>
      <c r="P253" s="19"/>
    </row>
    <row r="254" spans="1:16" ht="15.75" customHeight="1" x14ac:dyDescent="0.2">
      <c r="A254" s="19"/>
      <c r="B254" s="19"/>
      <c r="C254" s="19"/>
      <c r="D254" s="19"/>
      <c r="E254" s="19"/>
      <c r="F254" s="19"/>
      <c r="G254" s="11"/>
      <c r="H254" s="11"/>
      <c r="I254" s="19"/>
      <c r="J254" s="19"/>
      <c r="K254" s="19"/>
      <c r="L254" s="19"/>
      <c r="M254" s="19"/>
      <c r="N254" s="19"/>
      <c r="O254" s="19"/>
      <c r="P254" s="19"/>
    </row>
    <row r="255" spans="1:16" ht="15.75" customHeight="1" x14ac:dyDescent="0.2">
      <c r="A255" s="19"/>
      <c r="B255" s="19"/>
      <c r="C255" s="19"/>
      <c r="D255" s="19"/>
      <c r="E255" s="19"/>
      <c r="F255" s="19"/>
      <c r="G255" s="11"/>
      <c r="H255" s="11"/>
      <c r="I255" s="19"/>
      <c r="J255" s="19"/>
      <c r="K255" s="19"/>
      <c r="L255" s="19"/>
      <c r="M255" s="19"/>
      <c r="N255" s="19"/>
      <c r="O255" s="19"/>
      <c r="P255" s="19"/>
    </row>
    <row r="256" spans="1:16" ht="15.75" customHeight="1" x14ac:dyDescent="0.2">
      <c r="A256" s="19"/>
      <c r="B256" s="19"/>
      <c r="C256" s="19"/>
      <c r="D256" s="19"/>
      <c r="E256" s="19"/>
      <c r="F256" s="19"/>
      <c r="G256" s="11"/>
      <c r="H256" s="11"/>
      <c r="I256" s="19"/>
      <c r="J256" s="19"/>
      <c r="K256" s="19"/>
      <c r="L256" s="19"/>
      <c r="M256" s="19"/>
      <c r="N256" s="19"/>
      <c r="O256" s="19"/>
      <c r="P256" s="19"/>
    </row>
    <row r="257" spans="1:16" ht="15.75" customHeight="1" x14ac:dyDescent="0.2">
      <c r="A257" s="19"/>
      <c r="B257" s="19"/>
      <c r="C257" s="19"/>
      <c r="D257" s="19"/>
      <c r="E257" s="19"/>
      <c r="F257" s="19"/>
      <c r="G257" s="11"/>
      <c r="H257" s="11"/>
      <c r="I257" s="19"/>
      <c r="J257" s="19"/>
      <c r="K257" s="19"/>
      <c r="L257" s="19"/>
      <c r="M257" s="19"/>
      <c r="N257" s="19"/>
      <c r="O257" s="19"/>
      <c r="P257" s="19"/>
    </row>
    <row r="258" spans="1:16" ht="15.75" customHeight="1" x14ac:dyDescent="0.2">
      <c r="A258" s="19"/>
      <c r="B258" s="19"/>
      <c r="C258" s="19"/>
      <c r="D258" s="19"/>
      <c r="E258" s="19"/>
      <c r="F258" s="19"/>
      <c r="G258" s="11"/>
      <c r="H258" s="11"/>
      <c r="I258" s="19"/>
      <c r="J258" s="19"/>
      <c r="K258" s="19"/>
      <c r="L258" s="19"/>
      <c r="M258" s="19"/>
      <c r="N258" s="19"/>
      <c r="O258" s="19"/>
      <c r="P258" s="19"/>
    </row>
    <row r="259" spans="1:16" ht="15.75" customHeight="1" x14ac:dyDescent="0.2">
      <c r="A259" s="19"/>
      <c r="B259" s="19"/>
      <c r="C259" s="19"/>
      <c r="D259" s="19"/>
      <c r="E259" s="19"/>
      <c r="F259" s="19"/>
      <c r="G259" s="11"/>
      <c r="H259" s="11"/>
      <c r="I259" s="19"/>
      <c r="J259" s="19"/>
      <c r="K259" s="19"/>
      <c r="L259" s="19"/>
      <c r="M259" s="19"/>
      <c r="N259" s="19"/>
      <c r="O259" s="19"/>
      <c r="P259" s="19"/>
    </row>
    <row r="260" spans="1:16" ht="15.75" customHeight="1" x14ac:dyDescent="0.2">
      <c r="A260" s="19"/>
      <c r="B260" s="19"/>
      <c r="C260" s="19"/>
      <c r="D260" s="19"/>
      <c r="E260" s="19"/>
      <c r="F260" s="19"/>
      <c r="G260" s="11"/>
      <c r="H260" s="11"/>
      <c r="I260" s="19"/>
      <c r="J260" s="19"/>
      <c r="K260" s="19"/>
      <c r="L260" s="19"/>
      <c r="M260" s="19"/>
      <c r="N260" s="19"/>
      <c r="O260" s="19"/>
      <c r="P260" s="19"/>
    </row>
    <row r="261" spans="1:16" ht="15.75" customHeight="1" x14ac:dyDescent="0.2">
      <c r="A261" s="19"/>
      <c r="B261" s="19"/>
      <c r="C261" s="19"/>
      <c r="D261" s="19"/>
      <c r="E261" s="19"/>
      <c r="F261" s="19"/>
      <c r="G261" s="11"/>
      <c r="H261" s="11"/>
      <c r="I261" s="19"/>
      <c r="J261" s="19"/>
      <c r="K261" s="19"/>
      <c r="L261" s="19"/>
      <c r="M261" s="19"/>
      <c r="N261" s="19"/>
      <c r="O261" s="19"/>
      <c r="P261" s="19"/>
    </row>
    <row r="262" spans="1:16" ht="15.75" customHeight="1" x14ac:dyDescent="0.2">
      <c r="A262" s="19"/>
      <c r="B262" s="19"/>
      <c r="C262" s="19"/>
      <c r="D262" s="19"/>
      <c r="E262" s="19"/>
      <c r="F262" s="19"/>
      <c r="G262" s="11"/>
      <c r="H262" s="11"/>
      <c r="I262" s="19"/>
      <c r="J262" s="19"/>
      <c r="K262" s="19"/>
      <c r="L262" s="19"/>
      <c r="M262" s="19"/>
      <c r="N262" s="19"/>
      <c r="O262" s="19"/>
      <c r="P262" s="19"/>
    </row>
    <row r="263" spans="1:16" ht="15.75" customHeight="1" x14ac:dyDescent="0.2">
      <c r="A263" s="19"/>
      <c r="B263" s="19"/>
      <c r="C263" s="19"/>
      <c r="D263" s="19"/>
      <c r="E263" s="19"/>
      <c r="F263" s="19"/>
      <c r="G263" s="11"/>
      <c r="H263" s="11"/>
      <c r="I263" s="19"/>
      <c r="J263" s="19"/>
      <c r="K263" s="19"/>
      <c r="L263" s="19"/>
      <c r="M263" s="19"/>
      <c r="N263" s="19"/>
      <c r="O263" s="19"/>
      <c r="P263" s="19"/>
    </row>
    <row r="264" spans="1:16" ht="15.75" customHeight="1" x14ac:dyDescent="0.2">
      <c r="A264" s="19"/>
      <c r="B264" s="19"/>
      <c r="C264" s="19"/>
      <c r="D264" s="19"/>
      <c r="E264" s="19"/>
      <c r="F264" s="19"/>
      <c r="G264" s="11"/>
      <c r="H264" s="11"/>
      <c r="I264" s="19"/>
      <c r="J264" s="19"/>
      <c r="K264" s="19"/>
      <c r="L264" s="19"/>
      <c r="M264" s="19"/>
      <c r="N264" s="19"/>
      <c r="O264" s="19"/>
      <c r="P264" s="19"/>
    </row>
    <row r="265" spans="1:16" ht="15.75" customHeight="1" x14ac:dyDescent="0.2">
      <c r="A265" s="19"/>
      <c r="B265" s="19"/>
      <c r="C265" s="19"/>
      <c r="D265" s="19"/>
      <c r="E265" s="19"/>
      <c r="F265" s="19"/>
      <c r="G265" s="11"/>
      <c r="H265" s="11"/>
      <c r="I265" s="19"/>
      <c r="J265" s="19"/>
      <c r="K265" s="19"/>
      <c r="L265" s="19"/>
      <c r="M265" s="19"/>
      <c r="N265" s="19"/>
      <c r="O265" s="19"/>
      <c r="P265" s="19"/>
    </row>
    <row r="266" spans="1:16" ht="15.75" customHeight="1" x14ac:dyDescent="0.2">
      <c r="A266" s="19"/>
      <c r="B266" s="19"/>
      <c r="C266" s="19"/>
      <c r="D266" s="19"/>
      <c r="E266" s="19"/>
      <c r="F266" s="19"/>
      <c r="G266" s="11"/>
      <c r="H266" s="11"/>
      <c r="I266" s="19"/>
      <c r="J266" s="19"/>
      <c r="K266" s="19"/>
      <c r="L266" s="19"/>
      <c r="M266" s="19"/>
      <c r="N266" s="19"/>
      <c r="O266" s="19"/>
      <c r="P266" s="19"/>
    </row>
    <row r="267" spans="1:16" ht="15.75" customHeight="1" x14ac:dyDescent="0.2">
      <c r="A267" s="19"/>
      <c r="B267" s="19"/>
      <c r="C267" s="19"/>
      <c r="D267" s="19"/>
      <c r="E267" s="19"/>
      <c r="F267" s="19"/>
      <c r="G267" s="11"/>
      <c r="H267" s="11"/>
      <c r="I267" s="19"/>
      <c r="J267" s="19"/>
      <c r="K267" s="19"/>
      <c r="L267" s="19"/>
      <c r="M267" s="19"/>
      <c r="N267" s="19"/>
      <c r="O267" s="19"/>
      <c r="P267" s="19"/>
    </row>
    <row r="268" spans="1:16" ht="15.75" customHeight="1" x14ac:dyDescent="0.2">
      <c r="A268" s="19"/>
      <c r="B268" s="19"/>
      <c r="C268" s="19"/>
      <c r="D268" s="19"/>
      <c r="E268" s="19"/>
      <c r="F268" s="19"/>
      <c r="G268" s="11"/>
      <c r="H268" s="11"/>
      <c r="I268" s="19"/>
      <c r="J268" s="19"/>
      <c r="K268" s="19"/>
      <c r="L268" s="19"/>
      <c r="M268" s="19"/>
      <c r="N268" s="19"/>
      <c r="O268" s="19"/>
      <c r="P268" s="19"/>
    </row>
    <row r="269" spans="1:16" ht="15.75" customHeight="1" x14ac:dyDescent="0.2">
      <c r="A269" s="19"/>
      <c r="B269" s="19"/>
      <c r="C269" s="19"/>
      <c r="D269" s="19"/>
      <c r="E269" s="19"/>
      <c r="F269" s="19"/>
      <c r="G269" s="11"/>
      <c r="H269" s="11"/>
      <c r="I269" s="19"/>
      <c r="J269" s="19"/>
      <c r="K269" s="19"/>
      <c r="L269" s="19"/>
      <c r="M269" s="19"/>
      <c r="N269" s="19"/>
      <c r="O269" s="19"/>
      <c r="P269" s="19"/>
    </row>
    <row r="270" spans="1:16" ht="15.75" customHeight="1" x14ac:dyDescent="0.2">
      <c r="A270" s="19"/>
      <c r="B270" s="19"/>
      <c r="C270" s="19"/>
      <c r="D270" s="19"/>
      <c r="E270" s="19"/>
      <c r="F270" s="19"/>
      <c r="G270" s="11"/>
      <c r="H270" s="11"/>
      <c r="I270" s="19"/>
      <c r="J270" s="19"/>
      <c r="K270" s="19"/>
      <c r="L270" s="19"/>
      <c r="M270" s="19"/>
      <c r="N270" s="19"/>
      <c r="O270" s="19"/>
      <c r="P270" s="19"/>
    </row>
    <row r="271" spans="1:16" ht="15.75" customHeight="1" x14ac:dyDescent="0.2">
      <c r="A271" s="19"/>
      <c r="B271" s="19"/>
      <c r="C271" s="19"/>
      <c r="D271" s="19"/>
      <c r="E271" s="19"/>
      <c r="F271" s="19"/>
      <c r="G271" s="11"/>
      <c r="H271" s="11"/>
      <c r="I271" s="19"/>
      <c r="J271" s="19"/>
      <c r="K271" s="19"/>
      <c r="L271" s="19"/>
      <c r="M271" s="19"/>
      <c r="N271" s="19"/>
      <c r="O271" s="19"/>
      <c r="P271" s="19"/>
    </row>
    <row r="272" spans="1:16" ht="15.75" customHeight="1" x14ac:dyDescent="0.2">
      <c r="A272" s="19"/>
      <c r="B272" s="19"/>
      <c r="C272" s="19"/>
      <c r="D272" s="19"/>
      <c r="E272" s="19"/>
      <c r="F272" s="19"/>
      <c r="G272" s="11"/>
      <c r="H272" s="11"/>
      <c r="I272" s="19"/>
      <c r="J272" s="19"/>
      <c r="K272" s="19"/>
      <c r="L272" s="19"/>
      <c r="M272" s="19"/>
      <c r="N272" s="19"/>
      <c r="O272" s="19"/>
      <c r="P272" s="19"/>
    </row>
    <row r="273" spans="1:16" ht="15.75" customHeight="1" x14ac:dyDescent="0.2">
      <c r="A273" s="19"/>
      <c r="B273" s="19"/>
      <c r="C273" s="19"/>
      <c r="D273" s="19"/>
      <c r="E273" s="19"/>
      <c r="F273" s="19"/>
      <c r="G273" s="11"/>
      <c r="H273" s="11"/>
      <c r="I273" s="19"/>
      <c r="J273" s="19"/>
      <c r="K273" s="19"/>
      <c r="L273" s="19"/>
      <c r="M273" s="19"/>
      <c r="N273" s="19"/>
      <c r="O273" s="19"/>
      <c r="P273" s="19"/>
    </row>
    <row r="274" spans="1:16" ht="15.75" customHeight="1" x14ac:dyDescent="0.2">
      <c r="A274" s="19"/>
      <c r="B274" s="19"/>
      <c r="C274" s="19"/>
      <c r="D274" s="19"/>
      <c r="E274" s="19"/>
      <c r="F274" s="19"/>
      <c r="G274" s="11"/>
      <c r="H274" s="11"/>
      <c r="I274" s="19"/>
      <c r="J274" s="19"/>
      <c r="K274" s="19"/>
      <c r="L274" s="19"/>
      <c r="M274" s="19"/>
      <c r="N274" s="19"/>
      <c r="O274" s="19"/>
      <c r="P274" s="19"/>
    </row>
    <row r="275" spans="1:16" ht="15.75" customHeight="1" x14ac:dyDescent="0.2">
      <c r="A275" s="19"/>
      <c r="B275" s="19"/>
      <c r="C275" s="19"/>
      <c r="D275" s="19"/>
      <c r="E275" s="19"/>
      <c r="F275" s="19"/>
      <c r="G275" s="11"/>
      <c r="H275" s="11"/>
      <c r="I275" s="19"/>
      <c r="J275" s="19"/>
      <c r="K275" s="19"/>
      <c r="L275" s="19"/>
      <c r="M275" s="19"/>
      <c r="N275" s="19"/>
      <c r="O275" s="19"/>
      <c r="P275" s="19"/>
    </row>
    <row r="276" spans="1:16" ht="15.75" customHeight="1" x14ac:dyDescent="0.2">
      <c r="A276" s="19"/>
      <c r="B276" s="19"/>
      <c r="C276" s="19"/>
      <c r="D276" s="19"/>
      <c r="E276" s="19"/>
      <c r="F276" s="19"/>
      <c r="G276" s="11"/>
      <c r="H276" s="11"/>
      <c r="I276" s="19"/>
      <c r="J276" s="19"/>
      <c r="K276" s="19"/>
      <c r="L276" s="19"/>
      <c r="M276" s="19"/>
      <c r="N276" s="19"/>
      <c r="O276" s="19"/>
      <c r="P276" s="19"/>
    </row>
    <row r="277" spans="1:16" ht="15.75" customHeight="1" x14ac:dyDescent="0.2">
      <c r="A277" s="19"/>
      <c r="B277" s="19"/>
      <c r="C277" s="19"/>
      <c r="D277" s="19"/>
      <c r="E277" s="19"/>
      <c r="F277" s="19"/>
      <c r="G277" s="11"/>
      <c r="H277" s="11"/>
      <c r="I277" s="19"/>
      <c r="J277" s="19"/>
      <c r="K277" s="19"/>
      <c r="L277" s="19"/>
      <c r="M277" s="19"/>
      <c r="N277" s="19"/>
      <c r="O277" s="19"/>
      <c r="P277" s="19"/>
    </row>
    <row r="278" spans="1:16" ht="15.75" customHeight="1" x14ac:dyDescent="0.2">
      <c r="G278" s="11"/>
      <c r="H278" s="11"/>
    </row>
    <row r="279" spans="1:16" ht="15.75" customHeight="1" x14ac:dyDescent="0.2">
      <c r="G279" s="11"/>
      <c r="H279" s="11"/>
    </row>
    <row r="280" spans="1:16" ht="15.75" customHeight="1" x14ac:dyDescent="0.2">
      <c r="G280" s="11"/>
      <c r="H280" s="11"/>
    </row>
    <row r="281" spans="1:16" ht="15.75" customHeight="1" x14ac:dyDescent="0.2">
      <c r="G281" s="11"/>
      <c r="H281" s="11"/>
    </row>
    <row r="282" spans="1:16" ht="15.75" customHeight="1" x14ac:dyDescent="0.2">
      <c r="G282" s="11"/>
      <c r="H282" s="11"/>
    </row>
    <row r="283" spans="1:16" ht="15.75" customHeight="1" x14ac:dyDescent="0.2">
      <c r="G283" s="11"/>
      <c r="H283" s="11"/>
    </row>
    <row r="284" spans="1:16" ht="15.75" customHeight="1" x14ac:dyDescent="0.2">
      <c r="G284" s="11"/>
      <c r="H284" s="11"/>
    </row>
    <row r="285" spans="1:16" ht="15.75" customHeight="1" x14ac:dyDescent="0.2">
      <c r="G285" s="11"/>
      <c r="H285" s="11"/>
    </row>
    <row r="286" spans="1:16" ht="15.75" customHeight="1" x14ac:dyDescent="0.2">
      <c r="G286" s="11"/>
      <c r="H286" s="11"/>
    </row>
    <row r="287" spans="1:16" ht="15.75" customHeight="1" x14ac:dyDescent="0.2">
      <c r="G287" s="11"/>
      <c r="H287" s="11"/>
    </row>
    <row r="288" spans="1:16" ht="15.75" customHeight="1" x14ac:dyDescent="0.2">
      <c r="G288" s="11"/>
      <c r="H288" s="11"/>
    </row>
    <row r="289" spans="7:8" ht="15.75" customHeight="1" x14ac:dyDescent="0.2">
      <c r="G289" s="11"/>
      <c r="H289" s="11"/>
    </row>
    <row r="290" spans="7:8" ht="15.75" customHeight="1" x14ac:dyDescent="0.2">
      <c r="G290" s="11"/>
      <c r="H290" s="11"/>
    </row>
    <row r="291" spans="7:8" ht="15.75" customHeight="1" x14ac:dyDescent="0.2">
      <c r="G291" s="11"/>
      <c r="H291" s="11"/>
    </row>
    <row r="292" spans="7:8" ht="15.75" customHeight="1" x14ac:dyDescent="0.2">
      <c r="G292" s="11"/>
      <c r="H292" s="11"/>
    </row>
    <row r="293" spans="7:8" ht="15.75" customHeight="1" x14ac:dyDescent="0.2">
      <c r="G293" s="11"/>
      <c r="H293" s="11"/>
    </row>
    <row r="294" spans="7:8" ht="15.75" customHeight="1" x14ac:dyDescent="0.2">
      <c r="G294" s="11"/>
      <c r="H294" s="11"/>
    </row>
    <row r="295" spans="7:8" ht="15.75" customHeight="1" x14ac:dyDescent="0.2">
      <c r="G295" s="11"/>
      <c r="H295" s="11"/>
    </row>
    <row r="296" spans="7:8" ht="15.75" customHeight="1" x14ac:dyDescent="0.2">
      <c r="G296" s="11"/>
      <c r="H296" s="11"/>
    </row>
    <row r="297" spans="7:8" ht="15.75" customHeight="1" x14ac:dyDescent="0.2">
      <c r="G297" s="11"/>
      <c r="H297" s="11"/>
    </row>
    <row r="298" spans="7:8" ht="15.75" customHeight="1" x14ac:dyDescent="0.2">
      <c r="G298" s="11"/>
      <c r="H298" s="11"/>
    </row>
    <row r="299" spans="7:8" ht="15.75" customHeight="1" x14ac:dyDescent="0.2">
      <c r="G299" s="11"/>
      <c r="H299" s="11"/>
    </row>
    <row r="300" spans="7:8" ht="15.75" customHeight="1" x14ac:dyDescent="0.2">
      <c r="G300" s="11"/>
      <c r="H300" s="11"/>
    </row>
    <row r="301" spans="7:8" ht="15.75" customHeight="1" x14ac:dyDescent="0.2">
      <c r="G301" s="11"/>
      <c r="H301" s="11"/>
    </row>
    <row r="302" spans="7:8" ht="15.75" customHeight="1" x14ac:dyDescent="0.2">
      <c r="G302" s="11"/>
      <c r="H302" s="11"/>
    </row>
    <row r="303" spans="7:8" ht="15.75" customHeight="1" x14ac:dyDescent="0.2">
      <c r="G303" s="11"/>
      <c r="H303" s="11"/>
    </row>
    <row r="304" spans="7:8" ht="15.75" customHeight="1" x14ac:dyDescent="0.2">
      <c r="G304" s="11"/>
      <c r="H304" s="11"/>
    </row>
    <row r="305" spans="7:8" ht="15.75" customHeight="1" x14ac:dyDescent="0.2">
      <c r="G305" s="11"/>
      <c r="H305" s="11"/>
    </row>
    <row r="306" spans="7:8" ht="15.75" customHeight="1" x14ac:dyDescent="0.2">
      <c r="G306" s="11"/>
      <c r="H306" s="11"/>
    </row>
    <row r="307" spans="7:8" ht="15.75" customHeight="1" x14ac:dyDescent="0.2">
      <c r="G307" s="11"/>
      <c r="H307" s="11"/>
    </row>
    <row r="308" spans="7:8" ht="15.75" customHeight="1" x14ac:dyDescent="0.2">
      <c r="G308" s="11"/>
      <c r="H308" s="11"/>
    </row>
    <row r="309" spans="7:8" ht="15.75" customHeight="1" x14ac:dyDescent="0.2">
      <c r="G309" s="11"/>
      <c r="H309" s="11"/>
    </row>
    <row r="310" spans="7:8" ht="15.75" customHeight="1" x14ac:dyDescent="0.2">
      <c r="G310" s="11"/>
      <c r="H310" s="11"/>
    </row>
    <row r="311" spans="7:8" ht="15.75" customHeight="1" x14ac:dyDescent="0.2">
      <c r="G311" s="11"/>
      <c r="H311" s="11"/>
    </row>
    <row r="312" spans="7:8" ht="15.75" customHeight="1" x14ac:dyDescent="0.2">
      <c r="G312" s="11"/>
      <c r="H312" s="11"/>
    </row>
    <row r="313" spans="7:8" ht="15.75" customHeight="1" x14ac:dyDescent="0.2">
      <c r="G313" s="11"/>
      <c r="H313" s="11"/>
    </row>
    <row r="314" spans="7:8" ht="15.75" customHeight="1" x14ac:dyDescent="0.2">
      <c r="G314" s="11"/>
      <c r="H314" s="11"/>
    </row>
    <row r="315" spans="7:8" ht="15.75" customHeight="1" x14ac:dyDescent="0.2">
      <c r="G315" s="11"/>
      <c r="H315" s="11"/>
    </row>
    <row r="316" spans="7:8" ht="15.75" customHeight="1" x14ac:dyDescent="0.2">
      <c r="G316" s="11"/>
      <c r="H316" s="11"/>
    </row>
    <row r="317" spans="7:8" ht="15.75" customHeight="1" x14ac:dyDescent="0.2">
      <c r="G317" s="11"/>
      <c r="H317" s="11"/>
    </row>
    <row r="318" spans="7:8" ht="15.75" customHeight="1" x14ac:dyDescent="0.2">
      <c r="G318" s="11"/>
      <c r="H318" s="11"/>
    </row>
    <row r="319" spans="7:8" ht="15.75" customHeight="1" x14ac:dyDescent="0.2">
      <c r="G319" s="11"/>
      <c r="H319" s="11"/>
    </row>
    <row r="320" spans="7:8" ht="15.75" customHeight="1" x14ac:dyDescent="0.2">
      <c r="G320" s="11"/>
      <c r="H320" s="11"/>
    </row>
    <row r="321" spans="7:8" ht="15.75" customHeight="1" x14ac:dyDescent="0.2">
      <c r="G321" s="11"/>
      <c r="H321" s="11"/>
    </row>
    <row r="322" spans="7:8" ht="15.75" customHeight="1" x14ac:dyDescent="0.2">
      <c r="G322" s="11"/>
      <c r="H322" s="11"/>
    </row>
    <row r="323" spans="7:8" ht="15.75" customHeight="1" x14ac:dyDescent="0.2">
      <c r="G323" s="11"/>
      <c r="H323" s="11"/>
    </row>
    <row r="324" spans="7:8" ht="15.75" customHeight="1" x14ac:dyDescent="0.2">
      <c r="G324" s="11"/>
      <c r="H324" s="11"/>
    </row>
    <row r="325" spans="7:8" ht="15.75" customHeight="1" x14ac:dyDescent="0.2">
      <c r="G325" s="11"/>
      <c r="H325" s="11"/>
    </row>
    <row r="326" spans="7:8" ht="15.75" customHeight="1" x14ac:dyDescent="0.2">
      <c r="G326" s="11"/>
      <c r="H326" s="11"/>
    </row>
    <row r="327" spans="7:8" ht="15.75" customHeight="1" x14ac:dyDescent="0.2">
      <c r="G327" s="11"/>
      <c r="H327" s="11"/>
    </row>
    <row r="328" spans="7:8" ht="15.75" customHeight="1" x14ac:dyDescent="0.2">
      <c r="G328" s="11"/>
      <c r="H328" s="11"/>
    </row>
    <row r="329" spans="7:8" ht="15.75" customHeight="1" x14ac:dyDescent="0.2">
      <c r="G329" s="11"/>
      <c r="H329" s="11"/>
    </row>
    <row r="330" spans="7:8" ht="15.75" customHeight="1" x14ac:dyDescent="0.2">
      <c r="G330" s="11"/>
      <c r="H330" s="11"/>
    </row>
    <row r="331" spans="7:8" ht="15.75" customHeight="1" x14ac:dyDescent="0.2">
      <c r="G331" s="11"/>
      <c r="H331" s="11"/>
    </row>
    <row r="332" spans="7:8" ht="15.75" customHeight="1" x14ac:dyDescent="0.2">
      <c r="G332" s="11"/>
      <c r="H332" s="11"/>
    </row>
    <row r="333" spans="7:8" ht="15.75" customHeight="1" x14ac:dyDescent="0.2">
      <c r="G333" s="11"/>
      <c r="H333" s="11"/>
    </row>
    <row r="334" spans="7:8" ht="15.75" customHeight="1" x14ac:dyDescent="0.2">
      <c r="G334" s="11"/>
      <c r="H334" s="11"/>
    </row>
    <row r="335" spans="7:8" ht="15.75" customHeight="1" x14ac:dyDescent="0.2">
      <c r="G335" s="11"/>
      <c r="H335" s="11"/>
    </row>
    <row r="336" spans="7:8" ht="15.75" customHeight="1" x14ac:dyDescent="0.2">
      <c r="G336" s="11"/>
      <c r="H336" s="11"/>
    </row>
    <row r="337" spans="7:8" ht="15.75" customHeight="1" x14ac:dyDescent="0.2">
      <c r="G337" s="11"/>
      <c r="H337" s="11"/>
    </row>
    <row r="338" spans="7:8" ht="15.75" customHeight="1" x14ac:dyDescent="0.2">
      <c r="G338" s="11"/>
      <c r="H338" s="11"/>
    </row>
    <row r="339" spans="7:8" ht="15.75" customHeight="1" x14ac:dyDescent="0.2">
      <c r="G339" s="11"/>
      <c r="H339" s="11"/>
    </row>
    <row r="340" spans="7:8" ht="15.75" customHeight="1" x14ac:dyDescent="0.2">
      <c r="G340" s="11"/>
      <c r="H340" s="11"/>
    </row>
    <row r="341" spans="7:8" ht="15.75" customHeight="1" x14ac:dyDescent="0.2">
      <c r="G341" s="11"/>
      <c r="H341" s="11"/>
    </row>
    <row r="342" spans="7:8" ht="15.75" customHeight="1" x14ac:dyDescent="0.2">
      <c r="G342" s="11"/>
      <c r="H342" s="11"/>
    </row>
    <row r="343" spans="7:8" ht="15.75" customHeight="1" x14ac:dyDescent="0.2">
      <c r="G343" s="11"/>
      <c r="H343" s="11"/>
    </row>
    <row r="344" spans="7:8" ht="15.75" customHeight="1" x14ac:dyDescent="0.2">
      <c r="G344" s="11"/>
      <c r="H344" s="11"/>
    </row>
    <row r="345" spans="7:8" ht="15.75" customHeight="1" x14ac:dyDescent="0.2">
      <c r="G345" s="11"/>
      <c r="H345" s="11"/>
    </row>
    <row r="346" spans="7:8" ht="15.75" customHeight="1" x14ac:dyDescent="0.2">
      <c r="G346" s="11"/>
      <c r="H346" s="11"/>
    </row>
    <row r="347" spans="7:8" ht="15.75" customHeight="1" x14ac:dyDescent="0.2">
      <c r="G347" s="11"/>
      <c r="H347" s="11"/>
    </row>
    <row r="348" spans="7:8" ht="15.75" customHeight="1" x14ac:dyDescent="0.2">
      <c r="G348" s="11"/>
      <c r="H348" s="11"/>
    </row>
    <row r="349" spans="7:8" ht="15.75" customHeight="1" x14ac:dyDescent="0.2">
      <c r="G349" s="11"/>
      <c r="H349" s="11"/>
    </row>
    <row r="350" spans="7:8" ht="15.75" customHeight="1" x14ac:dyDescent="0.2">
      <c r="G350" s="11"/>
      <c r="H350" s="11"/>
    </row>
    <row r="351" spans="7:8" ht="15.75" customHeight="1" x14ac:dyDescent="0.2">
      <c r="G351" s="11"/>
      <c r="H351" s="11"/>
    </row>
    <row r="352" spans="7:8" ht="15.75" customHeight="1" x14ac:dyDescent="0.2">
      <c r="G352" s="11"/>
      <c r="H352" s="11"/>
    </row>
    <row r="353" spans="7:8" ht="15.75" customHeight="1" x14ac:dyDescent="0.2">
      <c r="G353" s="11"/>
      <c r="H353" s="11"/>
    </row>
    <row r="354" spans="7:8" ht="15.75" customHeight="1" x14ac:dyDescent="0.2">
      <c r="G354" s="11"/>
      <c r="H354" s="11"/>
    </row>
    <row r="355" spans="7:8" ht="15.75" customHeight="1" x14ac:dyDescent="0.2">
      <c r="G355" s="11"/>
      <c r="H355" s="11"/>
    </row>
    <row r="356" spans="7:8" ht="15.75" customHeight="1" x14ac:dyDescent="0.2">
      <c r="G356" s="11"/>
      <c r="H356" s="11"/>
    </row>
    <row r="357" spans="7:8" ht="15.75" customHeight="1" x14ac:dyDescent="0.2">
      <c r="G357" s="11"/>
      <c r="H357" s="11"/>
    </row>
    <row r="358" spans="7:8" ht="15.75" customHeight="1" x14ac:dyDescent="0.2">
      <c r="G358" s="11"/>
      <c r="H358" s="11"/>
    </row>
    <row r="359" spans="7:8" ht="15.75" customHeight="1" x14ac:dyDescent="0.2">
      <c r="G359" s="11"/>
      <c r="H359" s="11"/>
    </row>
    <row r="360" spans="7:8" ht="15.75" customHeight="1" x14ac:dyDescent="0.2">
      <c r="G360" s="11"/>
      <c r="H360" s="11"/>
    </row>
    <row r="361" spans="7:8" ht="15.75" customHeight="1" x14ac:dyDescent="0.2">
      <c r="G361" s="11"/>
      <c r="H361" s="11"/>
    </row>
    <row r="362" spans="7:8" ht="15.75" customHeight="1" x14ac:dyDescent="0.2">
      <c r="G362" s="11"/>
      <c r="H362" s="11"/>
    </row>
    <row r="363" spans="7:8" ht="15.75" customHeight="1" x14ac:dyDescent="0.2">
      <c r="G363" s="11"/>
      <c r="H363" s="11"/>
    </row>
    <row r="364" spans="7:8" ht="15.75" customHeight="1" x14ac:dyDescent="0.2">
      <c r="G364" s="11"/>
      <c r="H364" s="11"/>
    </row>
    <row r="365" spans="7:8" ht="15.75" customHeight="1" x14ac:dyDescent="0.2">
      <c r="G365" s="11"/>
      <c r="H365" s="11"/>
    </row>
    <row r="366" spans="7:8" ht="15.75" customHeight="1" x14ac:dyDescent="0.2">
      <c r="G366" s="11"/>
      <c r="H366" s="11"/>
    </row>
    <row r="367" spans="7:8" ht="15.75" customHeight="1" x14ac:dyDescent="0.2">
      <c r="G367" s="11"/>
      <c r="H367" s="11"/>
    </row>
    <row r="368" spans="7:8" ht="15.75" customHeight="1" x14ac:dyDescent="0.2">
      <c r="G368" s="11"/>
      <c r="H368" s="11"/>
    </row>
    <row r="369" spans="7:8" ht="15.75" customHeight="1" x14ac:dyDescent="0.2">
      <c r="G369" s="11"/>
      <c r="H369" s="11"/>
    </row>
    <row r="370" spans="7:8" ht="15.75" customHeight="1" x14ac:dyDescent="0.2">
      <c r="G370" s="11"/>
      <c r="H370" s="11"/>
    </row>
    <row r="371" spans="7:8" ht="15.75" customHeight="1" x14ac:dyDescent="0.2">
      <c r="G371" s="11"/>
      <c r="H371" s="11"/>
    </row>
    <row r="372" spans="7:8" ht="15.75" customHeight="1" x14ac:dyDescent="0.2">
      <c r="G372" s="11"/>
      <c r="H372" s="11"/>
    </row>
    <row r="373" spans="7:8" ht="15.75" customHeight="1" x14ac:dyDescent="0.2">
      <c r="G373" s="11"/>
      <c r="H373" s="11"/>
    </row>
    <row r="374" spans="7:8" ht="15.75" customHeight="1" x14ac:dyDescent="0.2">
      <c r="G374" s="11"/>
      <c r="H374" s="11"/>
    </row>
    <row r="375" spans="7:8" ht="15.75" customHeight="1" x14ac:dyDescent="0.2">
      <c r="G375" s="11"/>
      <c r="H375" s="11"/>
    </row>
    <row r="376" spans="7:8" ht="15.75" customHeight="1" x14ac:dyDescent="0.2">
      <c r="G376" s="11"/>
      <c r="H376" s="11"/>
    </row>
    <row r="377" spans="7:8" ht="15.75" customHeight="1" x14ac:dyDescent="0.2">
      <c r="G377" s="11"/>
      <c r="H377" s="11"/>
    </row>
    <row r="378" spans="7:8" ht="15.75" customHeight="1" x14ac:dyDescent="0.2">
      <c r="G378" s="11"/>
      <c r="H378" s="11"/>
    </row>
    <row r="379" spans="7:8" ht="15.75" customHeight="1" x14ac:dyDescent="0.2">
      <c r="G379" s="11"/>
      <c r="H379" s="11"/>
    </row>
    <row r="380" spans="7:8" ht="15.75" customHeight="1" x14ac:dyDescent="0.2">
      <c r="G380" s="11"/>
      <c r="H380" s="11"/>
    </row>
    <row r="381" spans="7:8" ht="15.75" customHeight="1" x14ac:dyDescent="0.2">
      <c r="G381" s="11"/>
      <c r="H381" s="11"/>
    </row>
    <row r="382" spans="7:8" ht="15.75" customHeight="1" x14ac:dyDescent="0.2">
      <c r="G382" s="11"/>
      <c r="H382" s="11"/>
    </row>
    <row r="383" spans="7:8" ht="15.75" customHeight="1" x14ac:dyDescent="0.2">
      <c r="G383" s="11"/>
      <c r="H383" s="11"/>
    </row>
    <row r="384" spans="7:8" ht="15.75" customHeight="1" x14ac:dyDescent="0.2">
      <c r="G384" s="11"/>
      <c r="H384" s="11"/>
    </row>
    <row r="385" spans="7:8" ht="15.75" customHeight="1" x14ac:dyDescent="0.2">
      <c r="G385" s="11"/>
      <c r="H385" s="11"/>
    </row>
    <row r="386" spans="7:8" ht="15.75" customHeight="1" x14ac:dyDescent="0.2">
      <c r="G386" s="11"/>
      <c r="H386" s="11"/>
    </row>
    <row r="387" spans="7:8" ht="15.75" customHeight="1" x14ac:dyDescent="0.2">
      <c r="G387" s="11"/>
      <c r="H387" s="11"/>
    </row>
    <row r="388" spans="7:8" ht="15.75" customHeight="1" x14ac:dyDescent="0.2">
      <c r="G388" s="11"/>
      <c r="H388" s="11"/>
    </row>
    <row r="389" spans="7:8" ht="15.75" customHeight="1" x14ac:dyDescent="0.2">
      <c r="G389" s="11"/>
      <c r="H389" s="11"/>
    </row>
    <row r="390" spans="7:8" ht="15.75" customHeight="1" x14ac:dyDescent="0.2">
      <c r="G390" s="11"/>
      <c r="H390" s="11"/>
    </row>
    <row r="391" spans="7:8" ht="15.75" customHeight="1" x14ac:dyDescent="0.2">
      <c r="G391" s="11"/>
      <c r="H391" s="11"/>
    </row>
    <row r="392" spans="7:8" ht="15.75" customHeight="1" x14ac:dyDescent="0.2">
      <c r="G392" s="11"/>
      <c r="H392" s="11"/>
    </row>
    <row r="393" spans="7:8" ht="15.75" customHeight="1" x14ac:dyDescent="0.2">
      <c r="G393" s="11"/>
      <c r="H393" s="11"/>
    </row>
    <row r="394" spans="7:8" ht="15.75" customHeight="1" x14ac:dyDescent="0.2">
      <c r="G394" s="11"/>
      <c r="H394" s="11"/>
    </row>
    <row r="395" spans="7:8" ht="15.75" customHeight="1" x14ac:dyDescent="0.2">
      <c r="G395" s="11"/>
      <c r="H395" s="11"/>
    </row>
    <row r="396" spans="7:8" ht="15.75" customHeight="1" x14ac:dyDescent="0.2">
      <c r="G396" s="11"/>
      <c r="H396" s="11"/>
    </row>
    <row r="397" spans="7:8" ht="15.75" customHeight="1" x14ac:dyDescent="0.2">
      <c r="G397" s="11"/>
      <c r="H397" s="11"/>
    </row>
    <row r="398" spans="7:8" ht="15.75" customHeight="1" x14ac:dyDescent="0.2">
      <c r="G398" s="11"/>
      <c r="H398" s="11"/>
    </row>
    <row r="399" spans="7:8" ht="15.75" customHeight="1" x14ac:dyDescent="0.2">
      <c r="G399" s="11"/>
      <c r="H399" s="11"/>
    </row>
    <row r="400" spans="7:8" ht="15.75" customHeight="1" x14ac:dyDescent="0.2">
      <c r="G400" s="11"/>
      <c r="H400" s="11"/>
    </row>
    <row r="401" spans="7:8" ht="15.75" customHeight="1" x14ac:dyDescent="0.2">
      <c r="G401" s="11"/>
      <c r="H401" s="11"/>
    </row>
    <row r="402" spans="7:8" ht="15.75" customHeight="1" x14ac:dyDescent="0.2">
      <c r="G402" s="11"/>
      <c r="H402" s="11"/>
    </row>
    <row r="403" spans="7:8" ht="15.75" customHeight="1" x14ac:dyDescent="0.2">
      <c r="G403" s="11"/>
      <c r="H403" s="11"/>
    </row>
    <row r="404" spans="7:8" ht="15.75" customHeight="1" x14ac:dyDescent="0.2">
      <c r="G404" s="11"/>
      <c r="H404" s="11"/>
    </row>
    <row r="405" spans="7:8" ht="15.75" customHeight="1" x14ac:dyDescent="0.2">
      <c r="G405" s="11"/>
      <c r="H405" s="11"/>
    </row>
    <row r="406" spans="7:8" ht="15.75" customHeight="1" x14ac:dyDescent="0.2">
      <c r="G406" s="11"/>
      <c r="H406" s="11"/>
    </row>
    <row r="407" spans="7:8" ht="15.75" customHeight="1" x14ac:dyDescent="0.2">
      <c r="G407" s="11"/>
      <c r="H407" s="11"/>
    </row>
    <row r="408" spans="7:8" ht="15.75" customHeight="1" x14ac:dyDescent="0.2">
      <c r="G408" s="11"/>
      <c r="H408" s="11"/>
    </row>
    <row r="409" spans="7:8" ht="15.75" customHeight="1" x14ac:dyDescent="0.2">
      <c r="G409" s="11"/>
      <c r="H409" s="11"/>
    </row>
    <row r="410" spans="7:8" ht="15.75" customHeight="1" x14ac:dyDescent="0.2">
      <c r="G410" s="11"/>
      <c r="H410" s="11"/>
    </row>
    <row r="411" spans="7:8" ht="15.75" customHeight="1" x14ac:dyDescent="0.2">
      <c r="G411" s="11"/>
      <c r="H411" s="11"/>
    </row>
    <row r="412" spans="7:8" ht="15.75" customHeight="1" x14ac:dyDescent="0.2">
      <c r="G412" s="11"/>
      <c r="H412" s="11"/>
    </row>
    <row r="413" spans="7:8" ht="15.75" customHeight="1" x14ac:dyDescent="0.2">
      <c r="G413" s="11"/>
      <c r="H413" s="11"/>
    </row>
    <row r="414" spans="7:8" ht="15.75" customHeight="1" x14ac:dyDescent="0.2">
      <c r="G414" s="11"/>
      <c r="H414" s="11"/>
    </row>
    <row r="415" spans="7:8" ht="15.75" customHeight="1" x14ac:dyDescent="0.2">
      <c r="G415" s="11"/>
      <c r="H415" s="11"/>
    </row>
    <row r="416" spans="7:8" ht="15.75" customHeight="1" x14ac:dyDescent="0.2">
      <c r="G416" s="11"/>
      <c r="H416" s="11"/>
    </row>
    <row r="417" spans="7:8" ht="15.75" customHeight="1" x14ac:dyDescent="0.2">
      <c r="G417" s="11"/>
      <c r="H417" s="11"/>
    </row>
    <row r="418" spans="7:8" ht="15.75" customHeight="1" x14ac:dyDescent="0.2">
      <c r="G418" s="11"/>
      <c r="H418" s="11"/>
    </row>
    <row r="419" spans="7:8" ht="15.75" customHeight="1" x14ac:dyDescent="0.2">
      <c r="G419" s="11"/>
      <c r="H419" s="11"/>
    </row>
    <row r="420" spans="7:8" ht="15.75" customHeight="1" x14ac:dyDescent="0.2">
      <c r="G420" s="11"/>
      <c r="H420" s="11"/>
    </row>
    <row r="421" spans="7:8" ht="15.75" customHeight="1" x14ac:dyDescent="0.2">
      <c r="G421" s="11"/>
      <c r="H421" s="11"/>
    </row>
    <row r="422" spans="7:8" ht="15.75" customHeight="1" x14ac:dyDescent="0.2">
      <c r="G422" s="11"/>
      <c r="H422" s="11"/>
    </row>
    <row r="423" spans="7:8" ht="15.75" customHeight="1" x14ac:dyDescent="0.2">
      <c r="G423" s="11"/>
      <c r="H423" s="11"/>
    </row>
    <row r="424" spans="7:8" ht="15.75" customHeight="1" x14ac:dyDescent="0.2">
      <c r="G424" s="11"/>
      <c r="H424" s="11"/>
    </row>
    <row r="425" spans="7:8" ht="15.75" customHeight="1" x14ac:dyDescent="0.2">
      <c r="G425" s="11"/>
      <c r="H425" s="11"/>
    </row>
    <row r="426" spans="7:8" ht="15.75" customHeight="1" x14ac:dyDescent="0.2">
      <c r="G426" s="11"/>
      <c r="H426" s="11"/>
    </row>
    <row r="427" spans="7:8" ht="15.75" customHeight="1" x14ac:dyDescent="0.2">
      <c r="G427" s="11"/>
      <c r="H427" s="11"/>
    </row>
    <row r="428" spans="7:8" ht="15.75" customHeight="1" x14ac:dyDescent="0.2">
      <c r="G428" s="11"/>
      <c r="H428" s="11"/>
    </row>
    <row r="429" spans="7:8" ht="15.75" customHeight="1" x14ac:dyDescent="0.2">
      <c r="G429" s="11"/>
      <c r="H429" s="11"/>
    </row>
    <row r="430" spans="7:8" ht="15.75" customHeight="1" x14ac:dyDescent="0.2">
      <c r="G430" s="11"/>
      <c r="H430" s="11"/>
    </row>
    <row r="431" spans="7:8" ht="15.75" customHeight="1" x14ac:dyDescent="0.2">
      <c r="G431" s="11"/>
      <c r="H431" s="11"/>
    </row>
    <row r="432" spans="7:8" ht="15.75" customHeight="1" x14ac:dyDescent="0.2">
      <c r="G432" s="11"/>
      <c r="H432" s="11"/>
    </row>
    <row r="433" spans="7:8" ht="15.75" customHeight="1" x14ac:dyDescent="0.2">
      <c r="G433" s="11"/>
      <c r="H433" s="11"/>
    </row>
    <row r="434" spans="7:8" ht="15.75" customHeight="1" x14ac:dyDescent="0.2">
      <c r="G434" s="11"/>
      <c r="H434" s="11"/>
    </row>
    <row r="435" spans="7:8" ht="15.75" customHeight="1" x14ac:dyDescent="0.2">
      <c r="G435" s="11"/>
      <c r="H435" s="11"/>
    </row>
    <row r="436" spans="7:8" ht="15.75" customHeight="1" x14ac:dyDescent="0.2">
      <c r="G436" s="11"/>
      <c r="H436" s="11"/>
    </row>
    <row r="437" spans="7:8" ht="15.75" customHeight="1" x14ac:dyDescent="0.2">
      <c r="G437" s="11"/>
      <c r="H437" s="11"/>
    </row>
    <row r="438" spans="7:8" ht="15.75" customHeight="1" x14ac:dyDescent="0.2">
      <c r="G438" s="11"/>
      <c r="H438" s="11"/>
    </row>
    <row r="439" spans="7:8" ht="15.75" customHeight="1" x14ac:dyDescent="0.2">
      <c r="G439" s="11"/>
      <c r="H439" s="11"/>
    </row>
    <row r="440" spans="7:8" ht="15.75" customHeight="1" x14ac:dyDescent="0.2">
      <c r="G440" s="11"/>
      <c r="H440" s="11"/>
    </row>
    <row r="441" spans="7:8" ht="15.75" customHeight="1" x14ac:dyDescent="0.2">
      <c r="G441" s="11"/>
      <c r="H441" s="11"/>
    </row>
    <row r="442" spans="7:8" ht="15.75" customHeight="1" x14ac:dyDescent="0.2">
      <c r="G442" s="11"/>
      <c r="H442" s="11"/>
    </row>
    <row r="443" spans="7:8" ht="15.75" customHeight="1" x14ac:dyDescent="0.2">
      <c r="G443" s="11"/>
      <c r="H443" s="11"/>
    </row>
    <row r="444" spans="7:8" ht="15.75" customHeight="1" x14ac:dyDescent="0.2">
      <c r="G444" s="11"/>
      <c r="H444" s="11"/>
    </row>
    <row r="445" spans="7:8" ht="15.75" customHeight="1" x14ac:dyDescent="0.2">
      <c r="G445" s="11"/>
      <c r="H445" s="11"/>
    </row>
    <row r="446" spans="7:8" ht="15.75" customHeight="1" x14ac:dyDescent="0.2">
      <c r="G446" s="11"/>
      <c r="H446" s="11"/>
    </row>
    <row r="447" spans="7:8" ht="15.75" customHeight="1" x14ac:dyDescent="0.2">
      <c r="G447" s="11"/>
      <c r="H447" s="11"/>
    </row>
    <row r="448" spans="7:8" ht="15.75" customHeight="1" x14ac:dyDescent="0.2">
      <c r="G448" s="11"/>
      <c r="H448" s="11"/>
    </row>
    <row r="449" spans="7:8" ht="15.75" customHeight="1" x14ac:dyDescent="0.2">
      <c r="G449" s="11"/>
      <c r="H449" s="11"/>
    </row>
    <row r="450" spans="7:8" ht="15.75" customHeight="1" x14ac:dyDescent="0.2">
      <c r="G450" s="11"/>
      <c r="H450" s="11"/>
    </row>
    <row r="451" spans="7:8" ht="15.75" customHeight="1" x14ac:dyDescent="0.2">
      <c r="G451" s="11"/>
      <c r="H451" s="11"/>
    </row>
    <row r="452" spans="7:8" ht="15.75" customHeight="1" x14ac:dyDescent="0.2">
      <c r="G452" s="11"/>
      <c r="H452" s="11"/>
    </row>
    <row r="453" spans="7:8" ht="15.75" customHeight="1" x14ac:dyDescent="0.2">
      <c r="G453" s="11"/>
      <c r="H453" s="11"/>
    </row>
    <row r="454" spans="7:8" ht="15.75" customHeight="1" x14ac:dyDescent="0.2">
      <c r="G454" s="11"/>
      <c r="H454" s="11"/>
    </row>
    <row r="455" spans="7:8" ht="15.75" customHeight="1" x14ac:dyDescent="0.2">
      <c r="G455" s="11"/>
      <c r="H455" s="11"/>
    </row>
    <row r="456" spans="7:8" ht="15.75" customHeight="1" x14ac:dyDescent="0.2">
      <c r="G456" s="11"/>
      <c r="H456" s="11"/>
    </row>
    <row r="457" spans="7:8" ht="15.75" customHeight="1" x14ac:dyDescent="0.2">
      <c r="G457" s="11"/>
      <c r="H457" s="11"/>
    </row>
    <row r="458" spans="7:8" ht="15.75" customHeight="1" x14ac:dyDescent="0.2">
      <c r="G458" s="11"/>
      <c r="H458" s="11"/>
    </row>
    <row r="459" spans="7:8" ht="15.75" customHeight="1" x14ac:dyDescent="0.2">
      <c r="G459" s="11"/>
      <c r="H459" s="11"/>
    </row>
    <row r="460" spans="7:8" ht="15.75" customHeight="1" x14ac:dyDescent="0.2">
      <c r="G460" s="11"/>
      <c r="H460" s="11"/>
    </row>
    <row r="461" spans="7:8" ht="15.75" customHeight="1" x14ac:dyDescent="0.2">
      <c r="G461" s="11"/>
      <c r="H461" s="11"/>
    </row>
    <row r="462" spans="7:8" ht="15.75" customHeight="1" x14ac:dyDescent="0.2">
      <c r="G462" s="11"/>
      <c r="H462" s="11"/>
    </row>
    <row r="463" spans="7:8" ht="15.75" customHeight="1" x14ac:dyDescent="0.2">
      <c r="G463" s="11"/>
      <c r="H463" s="11"/>
    </row>
    <row r="464" spans="7:8" ht="15.75" customHeight="1" x14ac:dyDescent="0.2">
      <c r="G464" s="11"/>
      <c r="H464" s="11"/>
    </row>
    <row r="465" spans="7:8" ht="15.75" customHeight="1" x14ac:dyDescent="0.2">
      <c r="G465" s="11"/>
      <c r="H465" s="11"/>
    </row>
    <row r="466" spans="7:8" ht="15.75" customHeight="1" x14ac:dyDescent="0.2">
      <c r="G466" s="11"/>
      <c r="H466" s="11"/>
    </row>
    <row r="467" spans="7:8" ht="15.75" customHeight="1" x14ac:dyDescent="0.2">
      <c r="G467" s="11"/>
      <c r="H467" s="11"/>
    </row>
    <row r="468" spans="7:8" ht="15.75" customHeight="1" x14ac:dyDescent="0.2">
      <c r="G468" s="11"/>
      <c r="H468" s="11"/>
    </row>
    <row r="469" spans="7:8" ht="15.75" customHeight="1" x14ac:dyDescent="0.2">
      <c r="G469" s="11"/>
      <c r="H469" s="11"/>
    </row>
    <row r="470" spans="7:8" ht="15.75" customHeight="1" x14ac:dyDescent="0.2">
      <c r="G470" s="11"/>
      <c r="H470" s="11"/>
    </row>
    <row r="471" spans="7:8" ht="15.75" customHeight="1" x14ac:dyDescent="0.2">
      <c r="G471" s="11"/>
      <c r="H471" s="11"/>
    </row>
    <row r="472" spans="7:8" ht="15.75" customHeight="1" x14ac:dyDescent="0.2">
      <c r="G472" s="11"/>
      <c r="H472" s="11"/>
    </row>
    <row r="473" spans="7:8" ht="15.75" customHeight="1" x14ac:dyDescent="0.2">
      <c r="G473" s="11"/>
      <c r="H473" s="11"/>
    </row>
    <row r="474" spans="7:8" ht="15.75" customHeight="1" x14ac:dyDescent="0.2">
      <c r="G474" s="11"/>
      <c r="H474" s="11"/>
    </row>
    <row r="475" spans="7:8" ht="15.75" customHeight="1" x14ac:dyDescent="0.2">
      <c r="G475" s="11"/>
      <c r="H475" s="11"/>
    </row>
    <row r="476" spans="7:8" ht="15.75" customHeight="1" x14ac:dyDescent="0.2">
      <c r="G476" s="11"/>
      <c r="H476" s="11"/>
    </row>
    <row r="477" spans="7:8" ht="15.75" customHeight="1" x14ac:dyDescent="0.2">
      <c r="G477" s="11"/>
      <c r="H477" s="11"/>
    </row>
    <row r="478" spans="7:8" ht="15.75" customHeight="1" x14ac:dyDescent="0.2">
      <c r="G478" s="11"/>
      <c r="H478" s="11"/>
    </row>
    <row r="479" spans="7:8" ht="15.75" customHeight="1" x14ac:dyDescent="0.2">
      <c r="G479" s="11"/>
      <c r="H479" s="11"/>
    </row>
    <row r="480" spans="7:8" ht="15.75" customHeight="1" x14ac:dyDescent="0.2">
      <c r="G480" s="11"/>
      <c r="H480" s="11"/>
    </row>
    <row r="481" spans="7:8" ht="15.75" customHeight="1" x14ac:dyDescent="0.2">
      <c r="G481" s="11"/>
      <c r="H481" s="11"/>
    </row>
    <row r="482" spans="7:8" ht="15.75" customHeight="1" x14ac:dyDescent="0.2">
      <c r="G482" s="11"/>
      <c r="H482" s="11"/>
    </row>
    <row r="483" spans="7:8" ht="15.75" customHeight="1" x14ac:dyDescent="0.2">
      <c r="G483" s="11"/>
      <c r="H483" s="11"/>
    </row>
    <row r="484" spans="7:8" ht="15.75" customHeight="1" x14ac:dyDescent="0.2">
      <c r="G484" s="11"/>
      <c r="H484" s="11"/>
    </row>
    <row r="485" spans="7:8" ht="15.75" customHeight="1" x14ac:dyDescent="0.2">
      <c r="G485" s="11"/>
      <c r="H485" s="11"/>
    </row>
    <row r="486" spans="7:8" ht="15.75" customHeight="1" x14ac:dyDescent="0.2">
      <c r="G486" s="11"/>
      <c r="H486" s="11"/>
    </row>
    <row r="487" spans="7:8" ht="15.75" customHeight="1" x14ac:dyDescent="0.2">
      <c r="G487" s="11"/>
      <c r="H487" s="11"/>
    </row>
    <row r="488" spans="7:8" ht="15.75" customHeight="1" x14ac:dyDescent="0.2">
      <c r="G488" s="11"/>
      <c r="H488" s="11"/>
    </row>
    <row r="489" spans="7:8" ht="15.75" customHeight="1" x14ac:dyDescent="0.2">
      <c r="G489" s="11"/>
      <c r="H489" s="11"/>
    </row>
    <row r="490" spans="7:8" ht="15.75" customHeight="1" x14ac:dyDescent="0.2">
      <c r="G490" s="11"/>
      <c r="H490" s="11"/>
    </row>
    <row r="491" spans="7:8" ht="15.75" customHeight="1" x14ac:dyDescent="0.2">
      <c r="G491" s="11"/>
      <c r="H491" s="11"/>
    </row>
    <row r="492" spans="7:8" ht="15.75" customHeight="1" x14ac:dyDescent="0.2">
      <c r="G492" s="11"/>
      <c r="H492" s="11"/>
    </row>
    <row r="493" spans="7:8" ht="15.75" customHeight="1" x14ac:dyDescent="0.2">
      <c r="G493" s="11"/>
      <c r="H493" s="11"/>
    </row>
    <row r="494" spans="7:8" ht="15.75" customHeight="1" x14ac:dyDescent="0.2">
      <c r="G494" s="11"/>
      <c r="H494" s="11"/>
    </row>
    <row r="495" spans="7:8" ht="15.75" customHeight="1" x14ac:dyDescent="0.2">
      <c r="G495" s="11"/>
      <c r="H495" s="11"/>
    </row>
    <row r="496" spans="7:8" ht="15.75" customHeight="1" x14ac:dyDescent="0.2">
      <c r="G496" s="11"/>
      <c r="H496" s="11"/>
    </row>
    <row r="497" spans="7:8" ht="15.75" customHeight="1" x14ac:dyDescent="0.2">
      <c r="G497" s="11"/>
      <c r="H497" s="11"/>
    </row>
    <row r="498" spans="7:8" ht="15.75" customHeight="1" x14ac:dyDescent="0.2">
      <c r="G498" s="11"/>
      <c r="H498" s="11"/>
    </row>
    <row r="499" spans="7:8" ht="15.75" customHeight="1" x14ac:dyDescent="0.2">
      <c r="G499" s="11"/>
      <c r="H499" s="11"/>
    </row>
    <row r="500" spans="7:8" ht="15.75" customHeight="1" x14ac:dyDescent="0.2">
      <c r="G500" s="11"/>
      <c r="H500" s="11"/>
    </row>
    <row r="501" spans="7:8" ht="15.75" customHeight="1" x14ac:dyDescent="0.2">
      <c r="G501" s="11"/>
      <c r="H501" s="11"/>
    </row>
    <row r="502" spans="7:8" ht="15.75" customHeight="1" x14ac:dyDescent="0.2">
      <c r="G502" s="11"/>
      <c r="H502" s="11"/>
    </row>
    <row r="503" spans="7:8" ht="15.75" customHeight="1" x14ac:dyDescent="0.2">
      <c r="G503" s="11"/>
      <c r="H503" s="11"/>
    </row>
    <row r="504" spans="7:8" ht="15.75" customHeight="1" x14ac:dyDescent="0.2">
      <c r="G504" s="11"/>
      <c r="H504" s="11"/>
    </row>
    <row r="505" spans="7:8" ht="15.75" customHeight="1" x14ac:dyDescent="0.2">
      <c r="G505" s="11"/>
      <c r="H505" s="11"/>
    </row>
    <row r="506" spans="7:8" ht="15.75" customHeight="1" x14ac:dyDescent="0.2">
      <c r="G506" s="11"/>
      <c r="H506" s="11"/>
    </row>
    <row r="507" spans="7:8" ht="15.75" customHeight="1" x14ac:dyDescent="0.2">
      <c r="G507" s="11"/>
      <c r="H507" s="11"/>
    </row>
    <row r="508" spans="7:8" ht="15.75" customHeight="1" x14ac:dyDescent="0.2">
      <c r="G508" s="11"/>
      <c r="H508" s="11"/>
    </row>
    <row r="509" spans="7:8" ht="15.75" customHeight="1" x14ac:dyDescent="0.2">
      <c r="G509" s="11"/>
      <c r="H509" s="11"/>
    </row>
    <row r="510" spans="7:8" ht="15.75" customHeight="1" x14ac:dyDescent="0.2">
      <c r="G510" s="11"/>
      <c r="H510" s="11"/>
    </row>
    <row r="511" spans="7:8" ht="15.75" customHeight="1" x14ac:dyDescent="0.2">
      <c r="G511" s="11"/>
      <c r="H511" s="11"/>
    </row>
    <row r="512" spans="7:8" ht="15.75" customHeight="1" x14ac:dyDescent="0.2">
      <c r="G512" s="11"/>
      <c r="H512" s="11"/>
    </row>
    <row r="513" spans="7:8" ht="15.75" customHeight="1" x14ac:dyDescent="0.2">
      <c r="G513" s="11"/>
      <c r="H513" s="11"/>
    </row>
    <row r="514" spans="7:8" ht="15.75" customHeight="1" x14ac:dyDescent="0.2">
      <c r="G514" s="11"/>
      <c r="H514" s="11"/>
    </row>
    <row r="515" spans="7:8" ht="15.75" customHeight="1" x14ac:dyDescent="0.2">
      <c r="G515" s="11"/>
      <c r="H515" s="11"/>
    </row>
    <row r="516" spans="7:8" ht="15.75" customHeight="1" x14ac:dyDescent="0.2">
      <c r="G516" s="11"/>
      <c r="H516" s="11"/>
    </row>
    <row r="517" spans="7:8" ht="15.75" customHeight="1" x14ac:dyDescent="0.2">
      <c r="G517" s="11"/>
      <c r="H517" s="11"/>
    </row>
    <row r="518" spans="7:8" ht="15.75" customHeight="1" x14ac:dyDescent="0.2">
      <c r="G518" s="11"/>
      <c r="H518" s="11"/>
    </row>
    <row r="519" spans="7:8" ht="15.75" customHeight="1" x14ac:dyDescent="0.2">
      <c r="G519" s="11"/>
      <c r="H519" s="11"/>
    </row>
    <row r="520" spans="7:8" ht="15.75" customHeight="1" x14ac:dyDescent="0.2">
      <c r="G520" s="11"/>
      <c r="H520" s="11"/>
    </row>
    <row r="521" spans="7:8" ht="15.75" customHeight="1" x14ac:dyDescent="0.2">
      <c r="G521" s="11"/>
      <c r="H521" s="11"/>
    </row>
    <row r="522" spans="7:8" ht="15.75" customHeight="1" x14ac:dyDescent="0.2">
      <c r="G522" s="11"/>
      <c r="H522" s="11"/>
    </row>
    <row r="523" spans="7:8" ht="15.75" customHeight="1" x14ac:dyDescent="0.2">
      <c r="G523" s="11"/>
      <c r="H523" s="11"/>
    </row>
    <row r="524" spans="7:8" ht="15.75" customHeight="1" x14ac:dyDescent="0.2">
      <c r="G524" s="11"/>
      <c r="H524" s="11"/>
    </row>
    <row r="525" spans="7:8" ht="15.75" customHeight="1" x14ac:dyDescent="0.2">
      <c r="G525" s="11"/>
      <c r="H525" s="11"/>
    </row>
    <row r="526" spans="7:8" ht="15.75" customHeight="1" x14ac:dyDescent="0.2">
      <c r="G526" s="11"/>
      <c r="H526" s="11"/>
    </row>
    <row r="527" spans="7:8" ht="15.75" customHeight="1" x14ac:dyDescent="0.2">
      <c r="G527" s="11"/>
      <c r="H527" s="11"/>
    </row>
    <row r="528" spans="7:8" ht="15.75" customHeight="1" x14ac:dyDescent="0.2">
      <c r="G528" s="11"/>
      <c r="H528" s="11"/>
    </row>
    <row r="529" spans="7:8" ht="15.75" customHeight="1" x14ac:dyDescent="0.2">
      <c r="G529" s="11"/>
      <c r="H529" s="11"/>
    </row>
    <row r="530" spans="7:8" ht="15.75" customHeight="1" x14ac:dyDescent="0.2">
      <c r="G530" s="11"/>
      <c r="H530" s="11"/>
    </row>
    <row r="531" spans="7:8" ht="15.75" customHeight="1" x14ac:dyDescent="0.2">
      <c r="G531" s="11"/>
      <c r="H531" s="11"/>
    </row>
    <row r="532" spans="7:8" ht="15.75" customHeight="1" x14ac:dyDescent="0.2">
      <c r="G532" s="11"/>
      <c r="H532" s="11"/>
    </row>
    <row r="533" spans="7:8" ht="15.75" customHeight="1" x14ac:dyDescent="0.2">
      <c r="G533" s="11"/>
      <c r="H533" s="11"/>
    </row>
    <row r="534" spans="7:8" ht="15.75" customHeight="1" x14ac:dyDescent="0.2">
      <c r="G534" s="11"/>
      <c r="H534" s="11"/>
    </row>
    <row r="535" spans="7:8" ht="15.75" customHeight="1" x14ac:dyDescent="0.2">
      <c r="G535" s="11"/>
      <c r="H535" s="11"/>
    </row>
    <row r="536" spans="7:8" ht="15.75" customHeight="1" x14ac:dyDescent="0.2">
      <c r="G536" s="11"/>
      <c r="H536" s="11"/>
    </row>
    <row r="537" spans="7:8" ht="15.75" customHeight="1" x14ac:dyDescent="0.2">
      <c r="G537" s="11"/>
      <c r="H537" s="11"/>
    </row>
    <row r="538" spans="7:8" ht="15.75" customHeight="1" x14ac:dyDescent="0.2">
      <c r="G538" s="11"/>
      <c r="H538" s="11"/>
    </row>
    <row r="539" spans="7:8" ht="15.75" customHeight="1" x14ac:dyDescent="0.2">
      <c r="G539" s="11"/>
      <c r="H539" s="11"/>
    </row>
    <row r="540" spans="7:8" ht="15.75" customHeight="1" x14ac:dyDescent="0.2">
      <c r="G540" s="11"/>
      <c r="H540" s="11"/>
    </row>
    <row r="541" spans="7:8" ht="15.75" customHeight="1" x14ac:dyDescent="0.2">
      <c r="G541" s="11"/>
      <c r="H541" s="11"/>
    </row>
    <row r="542" spans="7:8" ht="15.75" customHeight="1" x14ac:dyDescent="0.2">
      <c r="G542" s="11"/>
      <c r="H542" s="11"/>
    </row>
    <row r="543" spans="7:8" ht="15.75" customHeight="1" x14ac:dyDescent="0.2">
      <c r="G543" s="11"/>
      <c r="H543" s="11"/>
    </row>
    <row r="544" spans="7:8" ht="15.75" customHeight="1" x14ac:dyDescent="0.2">
      <c r="G544" s="11"/>
      <c r="H544" s="11"/>
    </row>
    <row r="545" spans="7:8" ht="15.75" customHeight="1" x14ac:dyDescent="0.2">
      <c r="G545" s="11"/>
      <c r="H545" s="11"/>
    </row>
    <row r="546" spans="7:8" ht="15.75" customHeight="1" x14ac:dyDescent="0.2">
      <c r="G546" s="11"/>
      <c r="H546" s="11"/>
    </row>
    <row r="547" spans="7:8" ht="15.75" customHeight="1" x14ac:dyDescent="0.2">
      <c r="G547" s="11"/>
      <c r="H547" s="11"/>
    </row>
    <row r="548" spans="7:8" ht="15.75" customHeight="1" x14ac:dyDescent="0.2">
      <c r="G548" s="11"/>
      <c r="H548" s="11"/>
    </row>
    <row r="549" spans="7:8" ht="15.75" customHeight="1" x14ac:dyDescent="0.2">
      <c r="G549" s="11"/>
      <c r="H549" s="11"/>
    </row>
    <row r="550" spans="7:8" ht="15.75" customHeight="1" x14ac:dyDescent="0.2">
      <c r="G550" s="11"/>
      <c r="H550" s="11"/>
    </row>
    <row r="551" spans="7:8" ht="15.75" customHeight="1" x14ac:dyDescent="0.2">
      <c r="G551" s="11"/>
      <c r="H551" s="11"/>
    </row>
    <row r="552" spans="7:8" ht="15.75" customHeight="1" x14ac:dyDescent="0.2">
      <c r="G552" s="11"/>
      <c r="H552" s="11"/>
    </row>
    <row r="553" spans="7:8" ht="15.75" customHeight="1" x14ac:dyDescent="0.2">
      <c r="G553" s="11"/>
      <c r="H553" s="11"/>
    </row>
    <row r="554" spans="7:8" ht="15.75" customHeight="1" x14ac:dyDescent="0.2">
      <c r="G554" s="11"/>
      <c r="H554" s="11"/>
    </row>
    <row r="555" spans="7:8" ht="15.75" customHeight="1" x14ac:dyDescent="0.2">
      <c r="G555" s="11"/>
      <c r="H555" s="11"/>
    </row>
    <row r="556" spans="7:8" ht="15.75" customHeight="1" x14ac:dyDescent="0.2">
      <c r="G556" s="11"/>
      <c r="H556" s="11"/>
    </row>
    <row r="557" spans="7:8" ht="15.75" customHeight="1" x14ac:dyDescent="0.2">
      <c r="G557" s="11"/>
      <c r="H557" s="11"/>
    </row>
    <row r="558" spans="7:8" ht="15.75" customHeight="1" x14ac:dyDescent="0.2">
      <c r="G558" s="11"/>
      <c r="H558" s="11"/>
    </row>
    <row r="559" spans="7:8" ht="15.75" customHeight="1" x14ac:dyDescent="0.2">
      <c r="G559" s="11"/>
      <c r="H559" s="11"/>
    </row>
    <row r="560" spans="7:8" ht="15.75" customHeight="1" x14ac:dyDescent="0.2">
      <c r="G560" s="11"/>
      <c r="H560" s="11"/>
    </row>
    <row r="561" spans="7:8" ht="15.75" customHeight="1" x14ac:dyDescent="0.2">
      <c r="G561" s="11"/>
      <c r="H561" s="11"/>
    </row>
    <row r="562" spans="7:8" ht="15.75" customHeight="1" x14ac:dyDescent="0.2">
      <c r="G562" s="11"/>
      <c r="H562" s="11"/>
    </row>
    <row r="563" spans="7:8" ht="15.75" customHeight="1" x14ac:dyDescent="0.2">
      <c r="G563" s="11"/>
      <c r="H563" s="11"/>
    </row>
    <row r="564" spans="7:8" ht="15.75" customHeight="1" x14ac:dyDescent="0.2">
      <c r="G564" s="11"/>
      <c r="H564" s="11"/>
    </row>
    <row r="565" spans="7:8" ht="15.75" customHeight="1" x14ac:dyDescent="0.2">
      <c r="G565" s="11"/>
      <c r="H565" s="11"/>
    </row>
    <row r="566" spans="7:8" ht="15.75" customHeight="1" x14ac:dyDescent="0.2">
      <c r="G566" s="11"/>
      <c r="H566" s="11"/>
    </row>
    <row r="567" spans="7:8" ht="15.75" customHeight="1" x14ac:dyDescent="0.2">
      <c r="G567" s="11"/>
      <c r="H567" s="11"/>
    </row>
    <row r="568" spans="7:8" ht="15.75" customHeight="1" x14ac:dyDescent="0.2">
      <c r="G568" s="11"/>
      <c r="H568" s="11"/>
    </row>
    <row r="569" spans="7:8" ht="15.75" customHeight="1" x14ac:dyDescent="0.2">
      <c r="G569" s="11"/>
      <c r="H569" s="11"/>
    </row>
    <row r="570" spans="7:8" ht="15.75" customHeight="1" x14ac:dyDescent="0.2">
      <c r="G570" s="11"/>
      <c r="H570" s="11"/>
    </row>
    <row r="571" spans="7:8" ht="15.75" customHeight="1" x14ac:dyDescent="0.2">
      <c r="G571" s="11"/>
      <c r="H571" s="11"/>
    </row>
    <row r="572" spans="7:8" ht="15.75" customHeight="1" x14ac:dyDescent="0.2">
      <c r="G572" s="11"/>
      <c r="H572" s="11"/>
    </row>
    <row r="573" spans="7:8" ht="15.75" customHeight="1" x14ac:dyDescent="0.2">
      <c r="G573" s="11"/>
      <c r="H573" s="11"/>
    </row>
    <row r="574" spans="7:8" ht="15.75" customHeight="1" x14ac:dyDescent="0.2">
      <c r="G574" s="11"/>
      <c r="H574" s="11"/>
    </row>
    <row r="575" spans="7:8" ht="15.75" customHeight="1" x14ac:dyDescent="0.2">
      <c r="G575" s="11"/>
      <c r="H575" s="11"/>
    </row>
    <row r="576" spans="7:8" ht="15.75" customHeight="1" x14ac:dyDescent="0.2">
      <c r="G576" s="11"/>
      <c r="H576" s="11"/>
    </row>
    <row r="577" spans="7:8" ht="15.75" customHeight="1" x14ac:dyDescent="0.2">
      <c r="G577" s="11"/>
      <c r="H577" s="11"/>
    </row>
    <row r="578" spans="7:8" ht="15.75" customHeight="1" x14ac:dyDescent="0.2">
      <c r="G578" s="11"/>
      <c r="H578" s="11"/>
    </row>
    <row r="579" spans="7:8" ht="15.75" customHeight="1" x14ac:dyDescent="0.2">
      <c r="G579" s="11"/>
      <c r="H579" s="11"/>
    </row>
    <row r="580" spans="7:8" ht="15.75" customHeight="1" x14ac:dyDescent="0.2">
      <c r="G580" s="11"/>
      <c r="H580" s="11"/>
    </row>
    <row r="581" spans="7:8" ht="15.75" customHeight="1" x14ac:dyDescent="0.2">
      <c r="G581" s="11"/>
      <c r="H581" s="11"/>
    </row>
    <row r="582" spans="7:8" ht="15.75" customHeight="1" x14ac:dyDescent="0.2">
      <c r="G582" s="11"/>
      <c r="H582" s="11"/>
    </row>
    <row r="583" spans="7:8" ht="15.75" customHeight="1" x14ac:dyDescent="0.2">
      <c r="G583" s="11"/>
      <c r="H583" s="11"/>
    </row>
    <row r="584" spans="7:8" ht="15.75" customHeight="1" x14ac:dyDescent="0.2">
      <c r="G584" s="11"/>
      <c r="H584" s="11"/>
    </row>
    <row r="585" spans="7:8" ht="15.75" customHeight="1" x14ac:dyDescent="0.2">
      <c r="G585" s="11"/>
      <c r="H585" s="11"/>
    </row>
    <row r="586" spans="7:8" ht="15.75" customHeight="1" x14ac:dyDescent="0.2">
      <c r="G586" s="11"/>
      <c r="H586" s="11"/>
    </row>
    <row r="587" spans="7:8" ht="15.75" customHeight="1" x14ac:dyDescent="0.2">
      <c r="G587" s="11"/>
      <c r="H587" s="11"/>
    </row>
    <row r="588" spans="7:8" ht="15.75" customHeight="1" x14ac:dyDescent="0.2">
      <c r="G588" s="11"/>
      <c r="H588" s="11"/>
    </row>
    <row r="589" spans="7:8" ht="15.75" customHeight="1" x14ac:dyDescent="0.2">
      <c r="G589" s="11"/>
      <c r="H589" s="11"/>
    </row>
    <row r="590" spans="7:8" ht="15.75" customHeight="1" x14ac:dyDescent="0.2">
      <c r="G590" s="11"/>
      <c r="H590" s="11"/>
    </row>
    <row r="591" spans="7:8" ht="15.75" customHeight="1" x14ac:dyDescent="0.2">
      <c r="G591" s="11"/>
      <c r="H591" s="11"/>
    </row>
    <row r="592" spans="7:8" ht="15.75" customHeight="1" x14ac:dyDescent="0.2">
      <c r="G592" s="11"/>
      <c r="H592" s="11"/>
    </row>
    <row r="593" spans="7:8" ht="15.75" customHeight="1" x14ac:dyDescent="0.2">
      <c r="G593" s="11"/>
      <c r="H593" s="11"/>
    </row>
    <row r="594" spans="7:8" ht="15.75" customHeight="1" x14ac:dyDescent="0.2">
      <c r="G594" s="11"/>
      <c r="H594" s="11"/>
    </row>
    <row r="595" spans="7:8" ht="15.75" customHeight="1" x14ac:dyDescent="0.2">
      <c r="G595" s="11"/>
      <c r="H595" s="11"/>
    </row>
    <row r="596" spans="7:8" ht="15.75" customHeight="1" x14ac:dyDescent="0.2">
      <c r="G596" s="11"/>
      <c r="H596" s="11"/>
    </row>
    <row r="597" spans="7:8" ht="15.75" customHeight="1" x14ac:dyDescent="0.2">
      <c r="G597" s="11"/>
      <c r="H597" s="11"/>
    </row>
    <row r="598" spans="7:8" ht="15.75" customHeight="1" x14ac:dyDescent="0.2">
      <c r="G598" s="11"/>
      <c r="H598" s="11"/>
    </row>
    <row r="599" spans="7:8" ht="15.75" customHeight="1" x14ac:dyDescent="0.2">
      <c r="G599" s="11"/>
      <c r="H599" s="11"/>
    </row>
    <row r="600" spans="7:8" ht="15.75" customHeight="1" x14ac:dyDescent="0.2">
      <c r="G600" s="11"/>
      <c r="H600" s="11"/>
    </row>
    <row r="601" spans="7:8" ht="15.75" customHeight="1" x14ac:dyDescent="0.2">
      <c r="G601" s="11"/>
      <c r="H601" s="11"/>
    </row>
    <row r="602" spans="7:8" ht="15.75" customHeight="1" x14ac:dyDescent="0.2">
      <c r="G602" s="11"/>
      <c r="H602" s="11"/>
    </row>
    <row r="603" spans="7:8" ht="15.75" customHeight="1" x14ac:dyDescent="0.2">
      <c r="G603" s="11"/>
      <c r="H603" s="11"/>
    </row>
    <row r="604" spans="7:8" ht="15.75" customHeight="1" x14ac:dyDescent="0.2">
      <c r="G604" s="11"/>
      <c r="H604" s="11"/>
    </row>
    <row r="605" spans="7:8" ht="15.75" customHeight="1" x14ac:dyDescent="0.2">
      <c r="G605" s="11"/>
      <c r="H605" s="11"/>
    </row>
    <row r="606" spans="7:8" ht="15.75" customHeight="1" x14ac:dyDescent="0.2">
      <c r="G606" s="11"/>
      <c r="H606" s="11"/>
    </row>
    <row r="607" spans="7:8" ht="15.75" customHeight="1" x14ac:dyDescent="0.2">
      <c r="G607" s="11"/>
      <c r="H607" s="11"/>
    </row>
    <row r="608" spans="7:8" ht="15.75" customHeight="1" x14ac:dyDescent="0.2">
      <c r="G608" s="11"/>
      <c r="H608" s="11"/>
    </row>
    <row r="609" spans="7:8" ht="15.75" customHeight="1" x14ac:dyDescent="0.2">
      <c r="G609" s="11"/>
      <c r="H609" s="11"/>
    </row>
    <row r="610" spans="7:8" ht="15.75" customHeight="1" x14ac:dyDescent="0.2">
      <c r="G610" s="11"/>
      <c r="H610" s="11"/>
    </row>
    <row r="611" spans="7:8" ht="15.75" customHeight="1" x14ac:dyDescent="0.2">
      <c r="G611" s="11"/>
      <c r="H611" s="11"/>
    </row>
    <row r="612" spans="7:8" ht="15.75" customHeight="1" x14ac:dyDescent="0.2">
      <c r="G612" s="11"/>
      <c r="H612" s="11"/>
    </row>
    <row r="613" spans="7:8" ht="15.75" customHeight="1" x14ac:dyDescent="0.2">
      <c r="G613" s="11"/>
      <c r="H613" s="11"/>
    </row>
    <row r="614" spans="7:8" ht="15.75" customHeight="1" x14ac:dyDescent="0.2">
      <c r="G614" s="11"/>
      <c r="H614" s="11"/>
    </row>
    <row r="615" spans="7:8" ht="15.75" customHeight="1" x14ac:dyDescent="0.2">
      <c r="G615" s="11"/>
      <c r="H615" s="11"/>
    </row>
    <row r="616" spans="7:8" ht="15.75" customHeight="1" x14ac:dyDescent="0.2">
      <c r="G616" s="11"/>
      <c r="H616" s="11"/>
    </row>
    <row r="617" spans="7:8" ht="15.75" customHeight="1" x14ac:dyDescent="0.2">
      <c r="G617" s="11"/>
      <c r="H617" s="11"/>
    </row>
    <row r="618" spans="7:8" ht="15.75" customHeight="1" x14ac:dyDescent="0.2">
      <c r="G618" s="11"/>
      <c r="H618" s="11"/>
    </row>
    <row r="619" spans="7:8" ht="15.75" customHeight="1" x14ac:dyDescent="0.2">
      <c r="G619" s="11"/>
      <c r="H619" s="11"/>
    </row>
    <row r="620" spans="7:8" ht="15.75" customHeight="1" x14ac:dyDescent="0.2">
      <c r="G620" s="11"/>
      <c r="H620" s="11"/>
    </row>
    <row r="621" spans="7:8" ht="15.75" customHeight="1" x14ac:dyDescent="0.2">
      <c r="G621" s="11"/>
      <c r="H621" s="11"/>
    </row>
    <row r="622" spans="7:8" ht="15.75" customHeight="1" x14ac:dyDescent="0.2">
      <c r="G622" s="11"/>
      <c r="H622" s="11"/>
    </row>
    <row r="623" spans="7:8" ht="15.75" customHeight="1" x14ac:dyDescent="0.2">
      <c r="G623" s="11"/>
      <c r="H623" s="11"/>
    </row>
    <row r="624" spans="7:8" ht="15.75" customHeight="1" x14ac:dyDescent="0.2">
      <c r="G624" s="11"/>
      <c r="H624" s="11"/>
    </row>
    <row r="625" spans="7:8" ht="15.75" customHeight="1" x14ac:dyDescent="0.2">
      <c r="G625" s="11"/>
      <c r="H625" s="11"/>
    </row>
    <row r="626" spans="7:8" ht="15.75" customHeight="1" x14ac:dyDescent="0.2">
      <c r="G626" s="11"/>
      <c r="H626" s="11"/>
    </row>
    <row r="627" spans="7:8" ht="15.75" customHeight="1" x14ac:dyDescent="0.2">
      <c r="G627" s="11"/>
      <c r="H627" s="11"/>
    </row>
    <row r="628" spans="7:8" ht="15.75" customHeight="1" x14ac:dyDescent="0.2">
      <c r="G628" s="11"/>
      <c r="H628" s="11"/>
    </row>
    <row r="629" spans="7:8" ht="15.75" customHeight="1" x14ac:dyDescent="0.2">
      <c r="G629" s="11"/>
      <c r="H629" s="11"/>
    </row>
    <row r="630" spans="7:8" ht="15.75" customHeight="1" x14ac:dyDescent="0.2">
      <c r="G630" s="11"/>
      <c r="H630" s="11"/>
    </row>
    <row r="631" spans="7:8" ht="15.75" customHeight="1" x14ac:dyDescent="0.2">
      <c r="G631" s="11"/>
      <c r="H631" s="11"/>
    </row>
    <row r="632" spans="7:8" ht="15.75" customHeight="1" x14ac:dyDescent="0.2">
      <c r="G632" s="11"/>
      <c r="H632" s="11"/>
    </row>
    <row r="633" spans="7:8" ht="15.75" customHeight="1" x14ac:dyDescent="0.2">
      <c r="G633" s="11"/>
      <c r="H633" s="11"/>
    </row>
    <row r="634" spans="7:8" ht="15.75" customHeight="1" x14ac:dyDescent="0.2">
      <c r="G634" s="11"/>
      <c r="H634" s="11"/>
    </row>
    <row r="635" spans="7:8" ht="15.75" customHeight="1" x14ac:dyDescent="0.2">
      <c r="G635" s="11"/>
      <c r="H635" s="11"/>
    </row>
    <row r="636" spans="7:8" ht="15.75" customHeight="1" x14ac:dyDescent="0.2">
      <c r="G636" s="11"/>
      <c r="H636" s="11"/>
    </row>
    <row r="637" spans="7:8" ht="15.75" customHeight="1" x14ac:dyDescent="0.2">
      <c r="G637" s="11"/>
      <c r="H637" s="11"/>
    </row>
    <row r="638" spans="7:8" ht="15.75" customHeight="1" x14ac:dyDescent="0.2">
      <c r="G638" s="11"/>
      <c r="H638" s="11"/>
    </row>
    <row r="639" spans="7:8" ht="15.75" customHeight="1" x14ac:dyDescent="0.2">
      <c r="G639" s="11"/>
      <c r="H639" s="11"/>
    </row>
    <row r="640" spans="7:8" ht="15.75" customHeight="1" x14ac:dyDescent="0.2">
      <c r="G640" s="11"/>
      <c r="H640" s="11"/>
    </row>
    <row r="641" spans="7:8" ht="15.75" customHeight="1" x14ac:dyDescent="0.2">
      <c r="G641" s="11"/>
      <c r="H641" s="11"/>
    </row>
    <row r="642" spans="7:8" ht="15.75" customHeight="1" x14ac:dyDescent="0.2">
      <c r="G642" s="11"/>
      <c r="H642" s="11"/>
    </row>
    <row r="643" spans="7:8" ht="15.75" customHeight="1" x14ac:dyDescent="0.2">
      <c r="G643" s="11"/>
      <c r="H643" s="11"/>
    </row>
    <row r="644" spans="7:8" ht="15.75" customHeight="1" x14ac:dyDescent="0.2">
      <c r="G644" s="11"/>
      <c r="H644" s="11"/>
    </row>
    <row r="645" spans="7:8" ht="15.75" customHeight="1" x14ac:dyDescent="0.2">
      <c r="G645" s="11"/>
      <c r="H645" s="11"/>
    </row>
    <row r="646" spans="7:8" ht="15.75" customHeight="1" x14ac:dyDescent="0.2">
      <c r="G646" s="11"/>
      <c r="H646" s="11"/>
    </row>
    <row r="647" spans="7:8" ht="15.75" customHeight="1" x14ac:dyDescent="0.2">
      <c r="G647" s="11"/>
      <c r="H647" s="11"/>
    </row>
    <row r="648" spans="7:8" ht="15.75" customHeight="1" x14ac:dyDescent="0.2">
      <c r="G648" s="11"/>
      <c r="H648" s="11"/>
    </row>
    <row r="649" spans="7:8" ht="15.75" customHeight="1" x14ac:dyDescent="0.2">
      <c r="G649" s="11"/>
      <c r="H649" s="11"/>
    </row>
    <row r="650" spans="7:8" ht="15.75" customHeight="1" x14ac:dyDescent="0.2">
      <c r="G650" s="11"/>
      <c r="H650" s="11"/>
    </row>
    <row r="651" spans="7:8" ht="15.75" customHeight="1" x14ac:dyDescent="0.2">
      <c r="G651" s="11"/>
      <c r="H651" s="11"/>
    </row>
    <row r="652" spans="7:8" ht="15.75" customHeight="1" x14ac:dyDescent="0.2">
      <c r="G652" s="11"/>
      <c r="H652" s="11"/>
    </row>
    <row r="653" spans="7:8" ht="15.75" customHeight="1" x14ac:dyDescent="0.2">
      <c r="G653" s="11"/>
      <c r="H653" s="11"/>
    </row>
    <row r="654" spans="7:8" ht="15.75" customHeight="1" x14ac:dyDescent="0.2">
      <c r="G654" s="11"/>
      <c r="H654" s="11"/>
    </row>
    <row r="655" spans="7:8" ht="15.75" customHeight="1" x14ac:dyDescent="0.2">
      <c r="G655" s="11"/>
      <c r="H655" s="11"/>
    </row>
    <row r="656" spans="7:8" ht="15.75" customHeight="1" x14ac:dyDescent="0.2">
      <c r="G656" s="11"/>
      <c r="H656" s="11"/>
    </row>
    <row r="657" spans="7:8" ht="15.75" customHeight="1" x14ac:dyDescent="0.2">
      <c r="G657" s="11"/>
      <c r="H657" s="11"/>
    </row>
    <row r="658" spans="7:8" ht="15.75" customHeight="1" x14ac:dyDescent="0.2">
      <c r="G658" s="11"/>
      <c r="H658" s="11"/>
    </row>
    <row r="659" spans="7:8" ht="15.75" customHeight="1" x14ac:dyDescent="0.2">
      <c r="G659" s="11"/>
      <c r="H659" s="11"/>
    </row>
    <row r="660" spans="7:8" ht="15.75" customHeight="1" x14ac:dyDescent="0.2">
      <c r="G660" s="11"/>
      <c r="H660" s="11"/>
    </row>
    <row r="661" spans="7:8" ht="15.75" customHeight="1" x14ac:dyDescent="0.2">
      <c r="G661" s="11"/>
      <c r="H661" s="11"/>
    </row>
    <row r="662" spans="7:8" ht="15.75" customHeight="1" x14ac:dyDescent="0.2">
      <c r="G662" s="11"/>
      <c r="H662" s="11"/>
    </row>
    <row r="663" spans="7:8" ht="15.75" customHeight="1" x14ac:dyDescent="0.2">
      <c r="G663" s="11"/>
      <c r="H663" s="11"/>
    </row>
    <row r="664" spans="7:8" ht="15.75" customHeight="1" x14ac:dyDescent="0.2">
      <c r="G664" s="11"/>
      <c r="H664" s="11"/>
    </row>
    <row r="665" spans="7:8" ht="15.75" customHeight="1" x14ac:dyDescent="0.2">
      <c r="G665" s="11"/>
      <c r="H665" s="11"/>
    </row>
    <row r="666" spans="7:8" ht="15.75" customHeight="1" x14ac:dyDescent="0.2">
      <c r="G666" s="11"/>
      <c r="H666" s="11"/>
    </row>
    <row r="667" spans="7:8" ht="15.75" customHeight="1" x14ac:dyDescent="0.2">
      <c r="G667" s="11"/>
      <c r="H667" s="11"/>
    </row>
    <row r="668" spans="7:8" ht="15.75" customHeight="1" x14ac:dyDescent="0.2">
      <c r="G668" s="11"/>
      <c r="H668" s="11"/>
    </row>
    <row r="669" spans="7:8" ht="15.75" customHeight="1" x14ac:dyDescent="0.2">
      <c r="G669" s="11"/>
      <c r="H669" s="11"/>
    </row>
    <row r="670" spans="7:8" ht="15.75" customHeight="1" x14ac:dyDescent="0.2">
      <c r="G670" s="11"/>
      <c r="H670" s="11"/>
    </row>
    <row r="671" spans="7:8" ht="15.75" customHeight="1" x14ac:dyDescent="0.2">
      <c r="G671" s="11"/>
      <c r="H671" s="11"/>
    </row>
    <row r="672" spans="7:8" ht="15.75" customHeight="1" x14ac:dyDescent="0.2">
      <c r="G672" s="11"/>
      <c r="H672" s="11"/>
    </row>
    <row r="673" spans="7:8" ht="15.75" customHeight="1" x14ac:dyDescent="0.2">
      <c r="G673" s="11"/>
      <c r="H673" s="11"/>
    </row>
    <row r="674" spans="7:8" ht="15.75" customHeight="1" x14ac:dyDescent="0.2">
      <c r="G674" s="11"/>
      <c r="H674" s="11"/>
    </row>
    <row r="675" spans="7:8" ht="15.75" customHeight="1" x14ac:dyDescent="0.2">
      <c r="G675" s="11"/>
      <c r="H675" s="11"/>
    </row>
    <row r="676" spans="7:8" ht="15.75" customHeight="1" x14ac:dyDescent="0.2">
      <c r="G676" s="11"/>
      <c r="H676" s="11"/>
    </row>
    <row r="677" spans="7:8" ht="15.75" customHeight="1" x14ac:dyDescent="0.2">
      <c r="G677" s="11"/>
      <c r="H677" s="11"/>
    </row>
    <row r="678" spans="7:8" ht="15.75" customHeight="1" x14ac:dyDescent="0.2">
      <c r="G678" s="11"/>
      <c r="H678" s="11"/>
    </row>
    <row r="679" spans="7:8" ht="15.75" customHeight="1" x14ac:dyDescent="0.2">
      <c r="G679" s="11"/>
      <c r="H679" s="11"/>
    </row>
    <row r="680" spans="7:8" ht="15.75" customHeight="1" x14ac:dyDescent="0.2">
      <c r="G680" s="11"/>
      <c r="H680" s="11"/>
    </row>
    <row r="681" spans="7:8" ht="15.75" customHeight="1" x14ac:dyDescent="0.2">
      <c r="G681" s="11"/>
      <c r="H681" s="11"/>
    </row>
    <row r="682" spans="7:8" ht="15.75" customHeight="1" x14ac:dyDescent="0.2">
      <c r="G682" s="11"/>
      <c r="H682" s="11"/>
    </row>
    <row r="683" spans="7:8" ht="15.75" customHeight="1" x14ac:dyDescent="0.2">
      <c r="G683" s="11"/>
      <c r="H683" s="11"/>
    </row>
    <row r="684" spans="7:8" ht="15.75" customHeight="1" x14ac:dyDescent="0.2">
      <c r="G684" s="11"/>
      <c r="H684" s="11"/>
    </row>
    <row r="685" spans="7:8" ht="15.75" customHeight="1" x14ac:dyDescent="0.2">
      <c r="G685" s="11"/>
      <c r="H685" s="11"/>
    </row>
    <row r="686" spans="7:8" ht="15.75" customHeight="1" x14ac:dyDescent="0.2">
      <c r="G686" s="11"/>
      <c r="H686" s="11"/>
    </row>
    <row r="687" spans="7:8" ht="15.75" customHeight="1" x14ac:dyDescent="0.2">
      <c r="G687" s="11"/>
      <c r="H687" s="11"/>
    </row>
    <row r="688" spans="7:8" ht="15.75" customHeight="1" x14ac:dyDescent="0.2">
      <c r="G688" s="11"/>
      <c r="H688" s="11"/>
    </row>
    <row r="689" spans="7:8" ht="15.75" customHeight="1" x14ac:dyDescent="0.2">
      <c r="G689" s="11"/>
      <c r="H689" s="11"/>
    </row>
    <row r="690" spans="7:8" ht="15.75" customHeight="1" x14ac:dyDescent="0.2">
      <c r="G690" s="11"/>
      <c r="H690" s="11"/>
    </row>
    <row r="691" spans="7:8" ht="15.75" customHeight="1" x14ac:dyDescent="0.2">
      <c r="G691" s="11"/>
      <c r="H691" s="11"/>
    </row>
    <row r="692" spans="7:8" ht="15.75" customHeight="1" x14ac:dyDescent="0.2">
      <c r="G692" s="11"/>
      <c r="H692" s="11"/>
    </row>
    <row r="693" spans="7:8" ht="15.75" customHeight="1" x14ac:dyDescent="0.2">
      <c r="G693" s="11"/>
      <c r="H693" s="11"/>
    </row>
    <row r="694" spans="7:8" ht="15.75" customHeight="1" x14ac:dyDescent="0.2">
      <c r="G694" s="11"/>
      <c r="H694" s="11"/>
    </row>
    <row r="695" spans="7:8" ht="15.75" customHeight="1" x14ac:dyDescent="0.2">
      <c r="G695" s="11"/>
      <c r="H695" s="11"/>
    </row>
    <row r="696" spans="7:8" ht="15.75" customHeight="1" x14ac:dyDescent="0.2">
      <c r="G696" s="11"/>
      <c r="H696" s="11"/>
    </row>
    <row r="697" spans="7:8" ht="15.75" customHeight="1" x14ac:dyDescent="0.2">
      <c r="G697" s="11"/>
      <c r="H697" s="11"/>
    </row>
    <row r="698" spans="7:8" ht="15.75" customHeight="1" x14ac:dyDescent="0.2">
      <c r="G698" s="11"/>
      <c r="H698" s="11"/>
    </row>
    <row r="699" spans="7:8" ht="15.75" customHeight="1" x14ac:dyDescent="0.2">
      <c r="G699" s="11"/>
      <c r="H699" s="11"/>
    </row>
    <row r="700" spans="7:8" ht="15.75" customHeight="1" x14ac:dyDescent="0.2">
      <c r="G700" s="11"/>
      <c r="H700" s="11"/>
    </row>
    <row r="701" spans="7:8" ht="15.75" customHeight="1" x14ac:dyDescent="0.2">
      <c r="G701" s="11"/>
      <c r="H701" s="11"/>
    </row>
    <row r="702" spans="7:8" ht="15.75" customHeight="1" x14ac:dyDescent="0.2">
      <c r="G702" s="11"/>
      <c r="H702" s="11"/>
    </row>
    <row r="703" spans="7:8" ht="15.75" customHeight="1" x14ac:dyDescent="0.2">
      <c r="G703" s="11"/>
      <c r="H703" s="11"/>
    </row>
    <row r="704" spans="7:8" ht="15.75" customHeight="1" x14ac:dyDescent="0.2">
      <c r="G704" s="11"/>
      <c r="H704" s="11"/>
    </row>
    <row r="705" spans="7:8" ht="15.75" customHeight="1" x14ac:dyDescent="0.2">
      <c r="G705" s="11"/>
      <c r="H705" s="11"/>
    </row>
    <row r="706" spans="7:8" ht="15.75" customHeight="1" x14ac:dyDescent="0.2">
      <c r="G706" s="11"/>
      <c r="H706" s="11"/>
    </row>
    <row r="707" spans="7:8" ht="15.75" customHeight="1" x14ac:dyDescent="0.2">
      <c r="G707" s="11"/>
      <c r="H707" s="11"/>
    </row>
    <row r="708" spans="7:8" ht="15.75" customHeight="1" x14ac:dyDescent="0.2">
      <c r="G708" s="11"/>
      <c r="H708" s="11"/>
    </row>
    <row r="709" spans="7:8" ht="15.75" customHeight="1" x14ac:dyDescent="0.2">
      <c r="G709" s="11"/>
      <c r="H709" s="11"/>
    </row>
    <row r="710" spans="7:8" ht="15.75" customHeight="1" x14ac:dyDescent="0.2">
      <c r="G710" s="11"/>
      <c r="H710" s="11"/>
    </row>
    <row r="711" spans="7:8" ht="15.75" customHeight="1" x14ac:dyDescent="0.2">
      <c r="G711" s="11"/>
      <c r="H711" s="11"/>
    </row>
    <row r="712" spans="7:8" ht="15.75" customHeight="1" x14ac:dyDescent="0.2">
      <c r="G712" s="11"/>
      <c r="H712" s="11"/>
    </row>
    <row r="713" spans="7:8" ht="15.75" customHeight="1" x14ac:dyDescent="0.2">
      <c r="G713" s="11"/>
      <c r="H713" s="11"/>
    </row>
    <row r="714" spans="7:8" ht="15.75" customHeight="1" x14ac:dyDescent="0.2">
      <c r="G714" s="11"/>
      <c r="H714" s="11"/>
    </row>
    <row r="715" spans="7:8" ht="15.75" customHeight="1" x14ac:dyDescent="0.2">
      <c r="G715" s="11"/>
      <c r="H715" s="11"/>
    </row>
    <row r="716" spans="7:8" ht="15.75" customHeight="1" x14ac:dyDescent="0.2">
      <c r="G716" s="11"/>
      <c r="H716" s="11"/>
    </row>
    <row r="717" spans="7:8" ht="15.75" customHeight="1" x14ac:dyDescent="0.2">
      <c r="G717" s="11"/>
      <c r="H717" s="11"/>
    </row>
    <row r="718" spans="7:8" ht="15.75" customHeight="1" x14ac:dyDescent="0.2">
      <c r="G718" s="11"/>
      <c r="H718" s="11"/>
    </row>
    <row r="719" spans="7:8" ht="15.75" customHeight="1" x14ac:dyDescent="0.2">
      <c r="G719" s="11"/>
      <c r="H719" s="11"/>
    </row>
    <row r="720" spans="7:8" ht="15.75" customHeight="1" x14ac:dyDescent="0.2">
      <c r="G720" s="11"/>
      <c r="H720" s="11"/>
    </row>
    <row r="721" spans="7:8" ht="15.75" customHeight="1" x14ac:dyDescent="0.2">
      <c r="G721" s="11"/>
      <c r="H721" s="11"/>
    </row>
    <row r="722" spans="7:8" ht="15.75" customHeight="1" x14ac:dyDescent="0.2">
      <c r="G722" s="11"/>
      <c r="H722" s="11"/>
    </row>
    <row r="723" spans="7:8" ht="15.75" customHeight="1" x14ac:dyDescent="0.2">
      <c r="G723" s="11"/>
      <c r="H723" s="11"/>
    </row>
    <row r="724" spans="7:8" ht="15.75" customHeight="1" x14ac:dyDescent="0.2">
      <c r="G724" s="11"/>
      <c r="H724" s="11"/>
    </row>
    <row r="725" spans="7:8" ht="15.75" customHeight="1" x14ac:dyDescent="0.2">
      <c r="G725" s="11"/>
      <c r="H725" s="11"/>
    </row>
    <row r="726" spans="7:8" ht="15.75" customHeight="1" x14ac:dyDescent="0.2">
      <c r="G726" s="11"/>
      <c r="H726" s="11"/>
    </row>
    <row r="727" spans="7:8" ht="15.75" customHeight="1" x14ac:dyDescent="0.2">
      <c r="G727" s="11"/>
      <c r="H727" s="11"/>
    </row>
    <row r="728" spans="7:8" ht="15.75" customHeight="1" x14ac:dyDescent="0.2">
      <c r="G728" s="11"/>
      <c r="H728" s="11"/>
    </row>
    <row r="729" spans="7:8" ht="15.75" customHeight="1" x14ac:dyDescent="0.2">
      <c r="G729" s="11"/>
      <c r="H729" s="11"/>
    </row>
    <row r="730" spans="7:8" ht="15.75" customHeight="1" x14ac:dyDescent="0.2">
      <c r="G730" s="11"/>
      <c r="H730" s="11"/>
    </row>
    <row r="731" spans="7:8" ht="15.75" customHeight="1" x14ac:dyDescent="0.2">
      <c r="G731" s="11"/>
      <c r="H731" s="11"/>
    </row>
    <row r="732" spans="7:8" ht="15.75" customHeight="1" x14ac:dyDescent="0.2">
      <c r="G732" s="11"/>
      <c r="H732" s="11"/>
    </row>
    <row r="733" spans="7:8" ht="15.75" customHeight="1" x14ac:dyDescent="0.2">
      <c r="G733" s="11"/>
      <c r="H733" s="11"/>
    </row>
    <row r="734" spans="7:8" ht="15.75" customHeight="1" x14ac:dyDescent="0.2">
      <c r="G734" s="11"/>
      <c r="H734" s="11"/>
    </row>
    <row r="735" spans="7:8" ht="15.75" customHeight="1" x14ac:dyDescent="0.2">
      <c r="G735" s="11"/>
      <c r="H735" s="11"/>
    </row>
    <row r="736" spans="7:8" ht="15.75" customHeight="1" x14ac:dyDescent="0.2">
      <c r="G736" s="11"/>
      <c r="H736" s="11"/>
    </row>
    <row r="737" spans="7:8" ht="15.75" customHeight="1" x14ac:dyDescent="0.2">
      <c r="G737" s="11"/>
      <c r="H737" s="11"/>
    </row>
    <row r="738" spans="7:8" ht="15.75" customHeight="1" x14ac:dyDescent="0.2">
      <c r="G738" s="11"/>
      <c r="H738" s="11"/>
    </row>
    <row r="739" spans="7:8" ht="15.75" customHeight="1" x14ac:dyDescent="0.2">
      <c r="G739" s="11"/>
      <c r="H739" s="11"/>
    </row>
    <row r="740" spans="7:8" ht="15.75" customHeight="1" x14ac:dyDescent="0.2">
      <c r="G740" s="11"/>
      <c r="H740" s="11"/>
    </row>
    <row r="741" spans="7:8" ht="15.75" customHeight="1" x14ac:dyDescent="0.2">
      <c r="G741" s="11"/>
      <c r="H741" s="11"/>
    </row>
    <row r="742" spans="7:8" ht="15.75" customHeight="1" x14ac:dyDescent="0.2">
      <c r="G742" s="11"/>
      <c r="H742" s="11"/>
    </row>
    <row r="743" spans="7:8" ht="15.75" customHeight="1" x14ac:dyDescent="0.2">
      <c r="G743" s="11"/>
      <c r="H743" s="11"/>
    </row>
    <row r="744" spans="7:8" ht="15.75" customHeight="1" x14ac:dyDescent="0.2">
      <c r="G744" s="11"/>
      <c r="H744" s="11"/>
    </row>
    <row r="745" spans="7:8" ht="15.75" customHeight="1" x14ac:dyDescent="0.2">
      <c r="G745" s="11"/>
      <c r="H745" s="11"/>
    </row>
    <row r="746" spans="7:8" ht="15.75" customHeight="1" x14ac:dyDescent="0.2">
      <c r="G746" s="11"/>
      <c r="H746" s="11"/>
    </row>
    <row r="747" spans="7:8" ht="15.75" customHeight="1" x14ac:dyDescent="0.2">
      <c r="G747" s="11"/>
      <c r="H747" s="11"/>
    </row>
    <row r="748" spans="7:8" ht="15.75" customHeight="1" x14ac:dyDescent="0.2">
      <c r="G748" s="11"/>
      <c r="H748" s="11"/>
    </row>
    <row r="749" spans="7:8" ht="15.75" customHeight="1" x14ac:dyDescent="0.2">
      <c r="G749" s="11"/>
      <c r="H749" s="11"/>
    </row>
    <row r="750" spans="7:8" ht="15.75" customHeight="1" x14ac:dyDescent="0.2">
      <c r="G750" s="11"/>
      <c r="H750" s="11"/>
    </row>
    <row r="751" spans="7:8" ht="15.75" customHeight="1" x14ac:dyDescent="0.2">
      <c r="G751" s="11"/>
      <c r="H751" s="11"/>
    </row>
    <row r="752" spans="7:8" ht="15.75" customHeight="1" x14ac:dyDescent="0.2">
      <c r="G752" s="11"/>
      <c r="H752" s="11"/>
    </row>
    <row r="753" spans="7:8" ht="15.75" customHeight="1" x14ac:dyDescent="0.2">
      <c r="G753" s="11"/>
      <c r="H753" s="11"/>
    </row>
    <row r="754" spans="7:8" ht="15.75" customHeight="1" x14ac:dyDescent="0.2">
      <c r="G754" s="11"/>
      <c r="H754" s="11"/>
    </row>
    <row r="755" spans="7:8" ht="15.75" customHeight="1" x14ac:dyDescent="0.2">
      <c r="G755" s="11"/>
      <c r="H755" s="11"/>
    </row>
    <row r="756" spans="7:8" ht="15.75" customHeight="1" x14ac:dyDescent="0.2">
      <c r="G756" s="11"/>
      <c r="H756" s="11"/>
    </row>
    <row r="757" spans="7:8" ht="15.75" customHeight="1" x14ac:dyDescent="0.2">
      <c r="G757" s="11"/>
      <c r="H757" s="11"/>
    </row>
    <row r="758" spans="7:8" ht="15.75" customHeight="1" x14ac:dyDescent="0.2">
      <c r="G758" s="11"/>
      <c r="H758" s="11"/>
    </row>
    <row r="759" spans="7:8" ht="15.75" customHeight="1" x14ac:dyDescent="0.2">
      <c r="G759" s="11"/>
      <c r="H759" s="11"/>
    </row>
    <row r="760" spans="7:8" ht="15.75" customHeight="1" x14ac:dyDescent="0.2">
      <c r="G760" s="11"/>
      <c r="H760" s="11"/>
    </row>
    <row r="761" spans="7:8" ht="15.75" customHeight="1" x14ac:dyDescent="0.2">
      <c r="G761" s="11"/>
      <c r="H761" s="11"/>
    </row>
    <row r="762" spans="7:8" ht="15.75" customHeight="1" x14ac:dyDescent="0.2">
      <c r="G762" s="11"/>
      <c r="H762" s="11"/>
    </row>
    <row r="763" spans="7:8" ht="15.75" customHeight="1" x14ac:dyDescent="0.2">
      <c r="G763" s="11"/>
      <c r="H763" s="11"/>
    </row>
    <row r="764" spans="7:8" ht="15.75" customHeight="1" x14ac:dyDescent="0.2">
      <c r="G764" s="11"/>
      <c r="H764" s="11"/>
    </row>
    <row r="765" spans="7:8" ht="15.75" customHeight="1" x14ac:dyDescent="0.2">
      <c r="G765" s="11"/>
      <c r="H765" s="11"/>
    </row>
    <row r="766" spans="7:8" ht="15.75" customHeight="1" x14ac:dyDescent="0.2">
      <c r="G766" s="11"/>
      <c r="H766" s="11"/>
    </row>
    <row r="767" spans="7:8" ht="15.75" customHeight="1" x14ac:dyDescent="0.2">
      <c r="G767" s="11"/>
      <c r="H767" s="11"/>
    </row>
    <row r="768" spans="7:8" ht="15.75" customHeight="1" x14ac:dyDescent="0.2">
      <c r="G768" s="11"/>
      <c r="H768" s="11"/>
    </row>
    <row r="769" spans="7:8" ht="15.75" customHeight="1" x14ac:dyDescent="0.2">
      <c r="G769" s="11"/>
      <c r="H769" s="11"/>
    </row>
    <row r="770" spans="7:8" ht="15.75" customHeight="1" x14ac:dyDescent="0.2">
      <c r="G770" s="11"/>
      <c r="H770" s="11"/>
    </row>
    <row r="771" spans="7:8" ht="15.75" customHeight="1" x14ac:dyDescent="0.2">
      <c r="G771" s="11"/>
      <c r="H771" s="11"/>
    </row>
    <row r="772" spans="7:8" ht="15.75" customHeight="1" x14ac:dyDescent="0.2">
      <c r="G772" s="11"/>
      <c r="H772" s="11"/>
    </row>
    <row r="773" spans="7:8" ht="15.75" customHeight="1" x14ac:dyDescent="0.2">
      <c r="G773" s="11"/>
      <c r="H773" s="11"/>
    </row>
    <row r="774" spans="7:8" ht="15.75" customHeight="1" x14ac:dyDescent="0.2">
      <c r="G774" s="11"/>
      <c r="H774" s="11"/>
    </row>
    <row r="775" spans="7:8" ht="15.75" customHeight="1" x14ac:dyDescent="0.2">
      <c r="G775" s="11"/>
      <c r="H775" s="11"/>
    </row>
    <row r="776" spans="7:8" ht="15.75" customHeight="1" x14ac:dyDescent="0.2">
      <c r="G776" s="11"/>
      <c r="H776" s="11"/>
    </row>
    <row r="777" spans="7:8" ht="15.75" customHeight="1" x14ac:dyDescent="0.2">
      <c r="G777" s="11"/>
      <c r="H777" s="11"/>
    </row>
    <row r="778" spans="7:8" ht="15.75" customHeight="1" x14ac:dyDescent="0.2">
      <c r="G778" s="11"/>
      <c r="H778" s="11"/>
    </row>
    <row r="779" spans="7:8" ht="15.75" customHeight="1" x14ac:dyDescent="0.2">
      <c r="G779" s="11"/>
      <c r="H779" s="11"/>
    </row>
    <row r="780" spans="7:8" ht="15.75" customHeight="1" x14ac:dyDescent="0.2">
      <c r="G780" s="11"/>
      <c r="H780" s="11"/>
    </row>
    <row r="781" spans="7:8" ht="15.75" customHeight="1" x14ac:dyDescent="0.2">
      <c r="G781" s="11"/>
      <c r="H781" s="11"/>
    </row>
    <row r="782" spans="7:8" ht="15.75" customHeight="1" x14ac:dyDescent="0.2">
      <c r="G782" s="11"/>
      <c r="H782" s="11"/>
    </row>
    <row r="783" spans="7:8" ht="15.75" customHeight="1" x14ac:dyDescent="0.2">
      <c r="G783" s="11"/>
      <c r="H783" s="11"/>
    </row>
    <row r="784" spans="7:8" ht="15.75" customHeight="1" x14ac:dyDescent="0.2">
      <c r="G784" s="11"/>
      <c r="H784" s="11"/>
    </row>
    <row r="785" spans="7:8" ht="15.75" customHeight="1" x14ac:dyDescent="0.2">
      <c r="G785" s="11"/>
      <c r="H785" s="11"/>
    </row>
    <row r="786" spans="7:8" ht="15.75" customHeight="1" x14ac:dyDescent="0.2">
      <c r="G786" s="11"/>
      <c r="H786" s="11"/>
    </row>
    <row r="787" spans="7:8" ht="15.75" customHeight="1" x14ac:dyDescent="0.2">
      <c r="G787" s="11"/>
      <c r="H787" s="11"/>
    </row>
    <row r="788" spans="7:8" ht="15.75" customHeight="1" x14ac:dyDescent="0.2">
      <c r="G788" s="11"/>
      <c r="H788" s="11"/>
    </row>
    <row r="789" spans="7:8" ht="15.75" customHeight="1" x14ac:dyDescent="0.2">
      <c r="G789" s="11"/>
      <c r="H789" s="11"/>
    </row>
    <row r="790" spans="7:8" ht="15.75" customHeight="1" x14ac:dyDescent="0.2">
      <c r="G790" s="11"/>
      <c r="H790" s="11"/>
    </row>
    <row r="791" spans="7:8" ht="15.75" customHeight="1" x14ac:dyDescent="0.2">
      <c r="G791" s="11"/>
      <c r="H791" s="11"/>
    </row>
    <row r="792" spans="7:8" ht="15.75" customHeight="1" x14ac:dyDescent="0.2">
      <c r="G792" s="11"/>
      <c r="H792" s="11"/>
    </row>
    <row r="793" spans="7:8" ht="15.75" customHeight="1" x14ac:dyDescent="0.2">
      <c r="G793" s="11"/>
      <c r="H793" s="11"/>
    </row>
    <row r="794" spans="7:8" ht="15.75" customHeight="1" x14ac:dyDescent="0.2">
      <c r="G794" s="11"/>
      <c r="H794" s="11"/>
    </row>
    <row r="795" spans="7:8" ht="15.75" customHeight="1" x14ac:dyDescent="0.2">
      <c r="G795" s="11"/>
      <c r="H795" s="11"/>
    </row>
    <row r="796" spans="7:8" ht="15.75" customHeight="1" x14ac:dyDescent="0.2">
      <c r="G796" s="11"/>
      <c r="H796" s="11"/>
    </row>
    <row r="797" spans="7:8" ht="15.75" customHeight="1" x14ac:dyDescent="0.2">
      <c r="G797" s="11"/>
      <c r="H797" s="11"/>
    </row>
    <row r="798" spans="7:8" ht="15.75" customHeight="1" x14ac:dyDescent="0.2">
      <c r="G798" s="11"/>
      <c r="H798" s="11"/>
    </row>
    <row r="799" spans="7:8" ht="15.75" customHeight="1" x14ac:dyDescent="0.2">
      <c r="G799" s="11"/>
      <c r="H799" s="11"/>
    </row>
    <row r="800" spans="7:8" ht="15.75" customHeight="1" x14ac:dyDescent="0.2">
      <c r="G800" s="11"/>
      <c r="H800" s="11"/>
    </row>
    <row r="801" spans="7:8" ht="15.75" customHeight="1" x14ac:dyDescent="0.2">
      <c r="G801" s="11"/>
      <c r="H801" s="11"/>
    </row>
    <row r="802" spans="7:8" ht="15.75" customHeight="1" x14ac:dyDescent="0.2">
      <c r="G802" s="11"/>
      <c r="H802" s="11"/>
    </row>
    <row r="803" spans="7:8" ht="15.75" customHeight="1" x14ac:dyDescent="0.2">
      <c r="G803" s="11"/>
      <c r="H803" s="11"/>
    </row>
    <row r="804" spans="7:8" ht="15.75" customHeight="1" x14ac:dyDescent="0.2">
      <c r="G804" s="11"/>
      <c r="H804" s="11"/>
    </row>
    <row r="805" spans="7:8" ht="15.75" customHeight="1" x14ac:dyDescent="0.2">
      <c r="G805" s="11"/>
      <c r="H805" s="11"/>
    </row>
    <row r="806" spans="7:8" ht="15.75" customHeight="1" x14ac:dyDescent="0.2">
      <c r="G806" s="11"/>
      <c r="H806" s="11"/>
    </row>
    <row r="807" spans="7:8" ht="15.75" customHeight="1" x14ac:dyDescent="0.2">
      <c r="G807" s="11"/>
      <c r="H807" s="11"/>
    </row>
    <row r="808" spans="7:8" ht="15.75" customHeight="1" x14ac:dyDescent="0.2">
      <c r="G808" s="11"/>
      <c r="H808" s="11"/>
    </row>
    <row r="809" spans="7:8" ht="15.75" customHeight="1" x14ac:dyDescent="0.2">
      <c r="G809" s="11"/>
      <c r="H809" s="11"/>
    </row>
    <row r="810" spans="7:8" ht="15.75" customHeight="1" x14ac:dyDescent="0.2">
      <c r="G810" s="11"/>
      <c r="H810" s="11"/>
    </row>
    <row r="811" spans="7:8" ht="15.75" customHeight="1" x14ac:dyDescent="0.2">
      <c r="G811" s="11"/>
      <c r="H811" s="11"/>
    </row>
    <row r="812" spans="7:8" ht="15.75" customHeight="1" x14ac:dyDescent="0.2">
      <c r="G812" s="11"/>
      <c r="H812" s="11"/>
    </row>
    <row r="813" spans="7:8" ht="15.75" customHeight="1" x14ac:dyDescent="0.2">
      <c r="G813" s="11"/>
      <c r="H813" s="11"/>
    </row>
    <row r="814" spans="7:8" ht="15.75" customHeight="1" x14ac:dyDescent="0.2">
      <c r="G814" s="11"/>
      <c r="H814" s="11"/>
    </row>
    <row r="815" spans="7:8" ht="15.75" customHeight="1" x14ac:dyDescent="0.2">
      <c r="G815" s="11"/>
      <c r="H815" s="11"/>
    </row>
    <row r="816" spans="7:8" ht="15.75" customHeight="1" x14ac:dyDescent="0.2">
      <c r="G816" s="11"/>
      <c r="H816" s="11"/>
    </row>
    <row r="817" spans="7:8" ht="15.75" customHeight="1" x14ac:dyDescent="0.2">
      <c r="G817" s="11"/>
      <c r="H817" s="11"/>
    </row>
    <row r="818" spans="7:8" ht="15.75" customHeight="1" x14ac:dyDescent="0.2">
      <c r="G818" s="11"/>
      <c r="H818" s="11"/>
    </row>
    <row r="819" spans="7:8" ht="15.75" customHeight="1" x14ac:dyDescent="0.2">
      <c r="G819" s="11"/>
      <c r="H819" s="11"/>
    </row>
    <row r="820" spans="7:8" ht="15.75" customHeight="1" x14ac:dyDescent="0.2">
      <c r="G820" s="11"/>
      <c r="H820" s="11"/>
    </row>
    <row r="821" spans="7:8" ht="15.75" customHeight="1" x14ac:dyDescent="0.2">
      <c r="G821" s="11"/>
      <c r="H821" s="11"/>
    </row>
    <row r="822" spans="7:8" ht="15.75" customHeight="1" x14ac:dyDescent="0.2">
      <c r="G822" s="11"/>
      <c r="H822" s="11"/>
    </row>
    <row r="823" spans="7:8" ht="15.75" customHeight="1" x14ac:dyDescent="0.2">
      <c r="G823" s="11"/>
      <c r="H823" s="11"/>
    </row>
    <row r="824" spans="7:8" ht="15.75" customHeight="1" x14ac:dyDescent="0.2">
      <c r="G824" s="11"/>
      <c r="H824" s="11"/>
    </row>
    <row r="825" spans="7:8" ht="15.75" customHeight="1" x14ac:dyDescent="0.2">
      <c r="G825" s="11"/>
      <c r="H825" s="11"/>
    </row>
    <row r="826" spans="7:8" ht="15.75" customHeight="1" x14ac:dyDescent="0.2">
      <c r="G826" s="11"/>
      <c r="H826" s="11"/>
    </row>
    <row r="827" spans="7:8" ht="15.75" customHeight="1" x14ac:dyDescent="0.2">
      <c r="G827" s="11"/>
      <c r="H827" s="11"/>
    </row>
    <row r="828" spans="7:8" ht="15.75" customHeight="1" x14ac:dyDescent="0.2">
      <c r="G828" s="11"/>
      <c r="H828" s="11"/>
    </row>
    <row r="829" spans="7:8" ht="15.75" customHeight="1" x14ac:dyDescent="0.2">
      <c r="G829" s="11"/>
      <c r="H829" s="11"/>
    </row>
    <row r="830" spans="7:8" ht="15.75" customHeight="1" x14ac:dyDescent="0.2">
      <c r="G830" s="11"/>
      <c r="H830" s="11"/>
    </row>
    <row r="831" spans="7:8" ht="15.75" customHeight="1" x14ac:dyDescent="0.2">
      <c r="G831" s="11"/>
      <c r="H831" s="11"/>
    </row>
    <row r="832" spans="7:8" ht="15.75" customHeight="1" x14ac:dyDescent="0.2">
      <c r="G832" s="11"/>
      <c r="H832" s="11"/>
    </row>
    <row r="833" spans="7:8" ht="15.75" customHeight="1" x14ac:dyDescent="0.2">
      <c r="G833" s="11"/>
      <c r="H833" s="11"/>
    </row>
    <row r="834" spans="7:8" ht="15.75" customHeight="1" x14ac:dyDescent="0.2">
      <c r="G834" s="11"/>
      <c r="H834" s="11"/>
    </row>
    <row r="835" spans="7:8" ht="15.75" customHeight="1" x14ac:dyDescent="0.2">
      <c r="G835" s="11"/>
      <c r="H835" s="11"/>
    </row>
    <row r="836" spans="7:8" ht="15.75" customHeight="1" x14ac:dyDescent="0.2">
      <c r="G836" s="11"/>
      <c r="H836" s="11"/>
    </row>
    <row r="837" spans="7:8" ht="15.75" customHeight="1" x14ac:dyDescent="0.2">
      <c r="G837" s="11"/>
      <c r="H837" s="11"/>
    </row>
    <row r="838" spans="7:8" ht="15.75" customHeight="1" x14ac:dyDescent="0.2">
      <c r="G838" s="11"/>
      <c r="H838" s="11"/>
    </row>
    <row r="839" spans="7:8" ht="15.75" customHeight="1" x14ac:dyDescent="0.2">
      <c r="G839" s="11"/>
      <c r="H839" s="11"/>
    </row>
    <row r="840" spans="7:8" ht="15.75" customHeight="1" x14ac:dyDescent="0.2">
      <c r="G840" s="11"/>
      <c r="H840" s="11"/>
    </row>
    <row r="841" spans="7:8" ht="15.75" customHeight="1" x14ac:dyDescent="0.2">
      <c r="G841" s="11"/>
      <c r="H841" s="11"/>
    </row>
    <row r="842" spans="7:8" ht="15.75" customHeight="1" x14ac:dyDescent="0.2">
      <c r="G842" s="11"/>
      <c r="H842" s="11"/>
    </row>
    <row r="843" spans="7:8" ht="15.75" customHeight="1" x14ac:dyDescent="0.2">
      <c r="G843" s="11"/>
      <c r="H843" s="11"/>
    </row>
    <row r="844" spans="7:8" ht="15.75" customHeight="1" x14ac:dyDescent="0.2">
      <c r="G844" s="11"/>
      <c r="H844" s="11"/>
    </row>
    <row r="845" spans="7:8" ht="15.75" customHeight="1" x14ac:dyDescent="0.2">
      <c r="G845" s="11"/>
      <c r="H845" s="11"/>
    </row>
    <row r="846" spans="7:8" ht="15.75" customHeight="1" x14ac:dyDescent="0.2">
      <c r="G846" s="11"/>
      <c r="H846" s="11"/>
    </row>
    <row r="847" spans="7:8" ht="15.75" customHeight="1" x14ac:dyDescent="0.2">
      <c r="G847" s="11"/>
      <c r="H847" s="11"/>
    </row>
    <row r="848" spans="7:8" ht="15.75" customHeight="1" x14ac:dyDescent="0.2">
      <c r="G848" s="11"/>
      <c r="H848" s="11"/>
    </row>
    <row r="849" spans="7:8" ht="15.75" customHeight="1" x14ac:dyDescent="0.2">
      <c r="G849" s="11"/>
      <c r="H849" s="11"/>
    </row>
    <row r="850" spans="7:8" ht="15.75" customHeight="1" x14ac:dyDescent="0.2">
      <c r="G850" s="11"/>
      <c r="H850" s="11"/>
    </row>
    <row r="851" spans="7:8" ht="15.75" customHeight="1" x14ac:dyDescent="0.2">
      <c r="G851" s="11"/>
      <c r="H851" s="11"/>
    </row>
    <row r="852" spans="7:8" ht="15.75" customHeight="1" x14ac:dyDescent="0.2">
      <c r="G852" s="11"/>
      <c r="H852" s="11"/>
    </row>
    <row r="853" spans="7:8" ht="15.75" customHeight="1" x14ac:dyDescent="0.2">
      <c r="G853" s="11"/>
      <c r="H853" s="11"/>
    </row>
    <row r="854" spans="7:8" ht="15.75" customHeight="1" x14ac:dyDescent="0.2">
      <c r="G854" s="11"/>
      <c r="H854" s="11"/>
    </row>
    <row r="855" spans="7:8" ht="15.75" customHeight="1" x14ac:dyDescent="0.2">
      <c r="G855" s="11"/>
      <c r="H855" s="11"/>
    </row>
    <row r="856" spans="7:8" ht="15.75" customHeight="1" x14ac:dyDescent="0.2">
      <c r="G856" s="11"/>
      <c r="H856" s="11"/>
    </row>
    <row r="857" spans="7:8" ht="15.75" customHeight="1" x14ac:dyDescent="0.2">
      <c r="G857" s="11"/>
      <c r="H857" s="11"/>
    </row>
    <row r="858" spans="7:8" ht="15.75" customHeight="1" x14ac:dyDescent="0.2">
      <c r="G858" s="11"/>
      <c r="H858" s="11"/>
    </row>
    <row r="859" spans="7:8" ht="15.75" customHeight="1" x14ac:dyDescent="0.2">
      <c r="G859" s="11"/>
      <c r="H859" s="11"/>
    </row>
    <row r="860" spans="7:8" ht="15.75" customHeight="1" x14ac:dyDescent="0.2">
      <c r="G860" s="11"/>
      <c r="H860" s="11"/>
    </row>
    <row r="861" spans="7:8" ht="15.75" customHeight="1" x14ac:dyDescent="0.2">
      <c r="G861" s="11"/>
      <c r="H861" s="11"/>
    </row>
    <row r="862" spans="7:8" ht="15.75" customHeight="1" x14ac:dyDescent="0.2">
      <c r="G862" s="11"/>
      <c r="H862" s="11"/>
    </row>
    <row r="863" spans="7:8" ht="15.75" customHeight="1" x14ac:dyDescent="0.2">
      <c r="G863" s="11"/>
      <c r="H863" s="11"/>
    </row>
    <row r="864" spans="7:8" ht="15.75" customHeight="1" x14ac:dyDescent="0.2">
      <c r="G864" s="11"/>
      <c r="H864" s="11"/>
    </row>
    <row r="865" spans="7:8" ht="15.75" customHeight="1" x14ac:dyDescent="0.2">
      <c r="G865" s="11"/>
      <c r="H865" s="11"/>
    </row>
    <row r="866" spans="7:8" ht="15.75" customHeight="1" x14ac:dyDescent="0.2">
      <c r="G866" s="11"/>
      <c r="H866" s="11"/>
    </row>
    <row r="867" spans="7:8" ht="15.75" customHeight="1" x14ac:dyDescent="0.2">
      <c r="G867" s="11"/>
      <c r="H867" s="11"/>
    </row>
    <row r="868" spans="7:8" ht="15.75" customHeight="1" x14ac:dyDescent="0.2">
      <c r="G868" s="11"/>
      <c r="H868" s="11"/>
    </row>
    <row r="869" spans="7:8" ht="15.75" customHeight="1" x14ac:dyDescent="0.2">
      <c r="G869" s="11"/>
      <c r="H869" s="11"/>
    </row>
    <row r="870" spans="7:8" ht="15.75" customHeight="1" x14ac:dyDescent="0.2">
      <c r="G870" s="11"/>
      <c r="H870" s="11"/>
    </row>
    <row r="871" spans="7:8" ht="15.75" customHeight="1" x14ac:dyDescent="0.2">
      <c r="G871" s="11"/>
      <c r="H871" s="11"/>
    </row>
    <row r="872" spans="7:8" ht="15.75" customHeight="1" x14ac:dyDescent="0.2">
      <c r="G872" s="11"/>
      <c r="H872" s="11"/>
    </row>
    <row r="873" spans="7:8" ht="15.75" customHeight="1" x14ac:dyDescent="0.2">
      <c r="G873" s="11"/>
      <c r="H873" s="11"/>
    </row>
    <row r="874" spans="7:8" ht="15.75" customHeight="1" x14ac:dyDescent="0.2">
      <c r="G874" s="11"/>
      <c r="H874" s="11"/>
    </row>
    <row r="875" spans="7:8" ht="15.75" customHeight="1" x14ac:dyDescent="0.2">
      <c r="G875" s="11"/>
      <c r="H875" s="11"/>
    </row>
    <row r="876" spans="7:8" ht="15.75" customHeight="1" x14ac:dyDescent="0.2">
      <c r="G876" s="11"/>
      <c r="H876" s="11"/>
    </row>
    <row r="877" spans="7:8" ht="15.75" customHeight="1" x14ac:dyDescent="0.2">
      <c r="G877" s="11"/>
      <c r="H877" s="11"/>
    </row>
    <row r="878" spans="7:8" ht="15.75" customHeight="1" x14ac:dyDescent="0.2">
      <c r="G878" s="11"/>
      <c r="H878" s="11"/>
    </row>
    <row r="879" spans="7:8" ht="15.75" customHeight="1" x14ac:dyDescent="0.2">
      <c r="G879" s="11"/>
      <c r="H879" s="11"/>
    </row>
    <row r="880" spans="7:8" ht="15.75" customHeight="1" x14ac:dyDescent="0.2">
      <c r="G880" s="11"/>
      <c r="H880" s="11"/>
    </row>
    <row r="881" spans="7:8" ht="15.75" customHeight="1" x14ac:dyDescent="0.2">
      <c r="G881" s="11"/>
      <c r="H881" s="11"/>
    </row>
    <row r="882" spans="7:8" ht="15.75" customHeight="1" x14ac:dyDescent="0.2">
      <c r="G882" s="11"/>
      <c r="H882" s="11"/>
    </row>
    <row r="883" spans="7:8" ht="15.75" customHeight="1" x14ac:dyDescent="0.2">
      <c r="G883" s="11"/>
      <c r="H883" s="11"/>
    </row>
    <row r="884" spans="7:8" ht="15.75" customHeight="1" x14ac:dyDescent="0.2">
      <c r="G884" s="11"/>
      <c r="H884" s="11"/>
    </row>
    <row r="885" spans="7:8" ht="15.75" customHeight="1" x14ac:dyDescent="0.2">
      <c r="G885" s="11"/>
      <c r="H885" s="11"/>
    </row>
    <row r="886" spans="7:8" ht="15.75" customHeight="1" x14ac:dyDescent="0.2">
      <c r="G886" s="11"/>
      <c r="H886" s="11"/>
    </row>
    <row r="887" spans="7:8" ht="15.75" customHeight="1" x14ac:dyDescent="0.2">
      <c r="G887" s="11"/>
      <c r="H887" s="11"/>
    </row>
    <row r="888" spans="7:8" ht="15.75" customHeight="1" x14ac:dyDescent="0.2">
      <c r="G888" s="11"/>
      <c r="H888" s="11"/>
    </row>
    <row r="889" spans="7:8" ht="15.75" customHeight="1" x14ac:dyDescent="0.2">
      <c r="G889" s="11"/>
      <c r="H889" s="11"/>
    </row>
    <row r="890" spans="7:8" ht="15.75" customHeight="1" x14ac:dyDescent="0.2">
      <c r="G890" s="11"/>
      <c r="H890" s="11"/>
    </row>
    <row r="891" spans="7:8" ht="15.75" customHeight="1" x14ac:dyDescent="0.2">
      <c r="G891" s="11"/>
      <c r="H891" s="11"/>
    </row>
    <row r="892" spans="7:8" ht="15.75" customHeight="1" x14ac:dyDescent="0.2">
      <c r="G892" s="11"/>
      <c r="H892" s="11"/>
    </row>
    <row r="893" spans="7:8" ht="15.75" customHeight="1" x14ac:dyDescent="0.2">
      <c r="G893" s="11"/>
      <c r="H893" s="11"/>
    </row>
    <row r="894" spans="7:8" ht="15.75" customHeight="1" x14ac:dyDescent="0.2">
      <c r="G894" s="11"/>
      <c r="H894" s="11"/>
    </row>
    <row r="895" spans="7:8" ht="15.75" customHeight="1" x14ac:dyDescent="0.2">
      <c r="G895" s="11"/>
      <c r="H895" s="11"/>
    </row>
    <row r="896" spans="7:8" ht="15.75" customHeight="1" x14ac:dyDescent="0.2">
      <c r="G896" s="11"/>
      <c r="H896" s="11"/>
    </row>
    <row r="897" spans="7:8" ht="15.75" customHeight="1" x14ac:dyDescent="0.2">
      <c r="G897" s="11"/>
      <c r="H897" s="11"/>
    </row>
    <row r="898" spans="7:8" ht="15.75" customHeight="1" x14ac:dyDescent="0.2">
      <c r="G898" s="11"/>
      <c r="H898" s="11"/>
    </row>
    <row r="899" spans="7:8" ht="15.75" customHeight="1" x14ac:dyDescent="0.2">
      <c r="G899" s="11"/>
      <c r="H899" s="11"/>
    </row>
    <row r="900" spans="7:8" ht="15.75" customHeight="1" x14ac:dyDescent="0.2">
      <c r="G900" s="11"/>
      <c r="H900" s="11"/>
    </row>
    <row r="901" spans="7:8" ht="15.75" customHeight="1" x14ac:dyDescent="0.2">
      <c r="G901" s="11"/>
      <c r="H901" s="11"/>
    </row>
    <row r="902" spans="7:8" ht="15.75" customHeight="1" x14ac:dyDescent="0.2">
      <c r="G902" s="11"/>
      <c r="H902" s="11"/>
    </row>
    <row r="903" spans="7:8" ht="15.75" customHeight="1" x14ac:dyDescent="0.2">
      <c r="G903" s="11"/>
      <c r="H903" s="11"/>
    </row>
    <row r="904" spans="7:8" ht="15.75" customHeight="1" x14ac:dyDescent="0.2">
      <c r="G904" s="11"/>
      <c r="H904" s="11"/>
    </row>
    <row r="905" spans="7:8" ht="15.75" customHeight="1" x14ac:dyDescent="0.2">
      <c r="G905" s="11"/>
      <c r="H905" s="11"/>
    </row>
    <row r="906" spans="7:8" ht="15.75" customHeight="1" x14ac:dyDescent="0.2">
      <c r="G906" s="11"/>
      <c r="H906" s="11"/>
    </row>
    <row r="907" spans="7:8" ht="15.75" customHeight="1" x14ac:dyDescent="0.2">
      <c r="G907" s="11"/>
      <c r="H907" s="11"/>
    </row>
    <row r="908" spans="7:8" ht="15.75" customHeight="1" x14ac:dyDescent="0.2">
      <c r="G908" s="11"/>
      <c r="H908" s="11"/>
    </row>
    <row r="909" spans="7:8" ht="15.75" customHeight="1" x14ac:dyDescent="0.2">
      <c r="G909" s="11"/>
      <c r="H909" s="11"/>
    </row>
    <row r="910" spans="7:8" ht="15.75" customHeight="1" x14ac:dyDescent="0.2">
      <c r="G910" s="11"/>
      <c r="H910" s="11"/>
    </row>
    <row r="911" spans="7:8" ht="15.75" customHeight="1" x14ac:dyDescent="0.2">
      <c r="G911" s="11"/>
      <c r="H911" s="11"/>
    </row>
    <row r="912" spans="7:8" ht="15.75" customHeight="1" x14ac:dyDescent="0.2">
      <c r="G912" s="11"/>
      <c r="H912" s="11"/>
    </row>
    <row r="913" spans="7:8" ht="15.75" customHeight="1" x14ac:dyDescent="0.2">
      <c r="G913" s="11"/>
      <c r="H913" s="11"/>
    </row>
    <row r="914" spans="7:8" ht="15.75" customHeight="1" x14ac:dyDescent="0.2">
      <c r="G914" s="11"/>
      <c r="H914" s="11"/>
    </row>
    <row r="915" spans="7:8" ht="15.75" customHeight="1" x14ac:dyDescent="0.2">
      <c r="G915" s="11"/>
      <c r="H915" s="11"/>
    </row>
    <row r="916" spans="7:8" ht="15.75" customHeight="1" x14ac:dyDescent="0.2">
      <c r="G916" s="11"/>
      <c r="H916" s="11"/>
    </row>
    <row r="917" spans="7:8" ht="15.75" customHeight="1" x14ac:dyDescent="0.2">
      <c r="G917" s="11"/>
      <c r="H917" s="11"/>
    </row>
    <row r="918" spans="7:8" ht="15.75" customHeight="1" x14ac:dyDescent="0.2">
      <c r="G918" s="11"/>
      <c r="H918" s="11"/>
    </row>
    <row r="919" spans="7:8" ht="15.75" customHeight="1" x14ac:dyDescent="0.2">
      <c r="G919" s="11"/>
      <c r="H919" s="11"/>
    </row>
    <row r="920" spans="7:8" ht="15.75" customHeight="1" x14ac:dyDescent="0.2">
      <c r="G920" s="11"/>
      <c r="H920" s="11"/>
    </row>
    <row r="921" spans="7:8" ht="15.75" customHeight="1" x14ac:dyDescent="0.2">
      <c r="G921" s="11"/>
      <c r="H921" s="11"/>
    </row>
    <row r="922" spans="7:8" ht="15.75" customHeight="1" x14ac:dyDescent="0.2">
      <c r="G922" s="11"/>
      <c r="H922" s="11"/>
    </row>
    <row r="923" spans="7:8" ht="15.75" customHeight="1" x14ac:dyDescent="0.2">
      <c r="G923" s="11"/>
      <c r="H923" s="11"/>
    </row>
    <row r="924" spans="7:8" ht="15.75" customHeight="1" x14ac:dyDescent="0.2">
      <c r="G924" s="11"/>
      <c r="H924" s="11"/>
    </row>
    <row r="925" spans="7:8" ht="15.75" customHeight="1" x14ac:dyDescent="0.2">
      <c r="G925" s="11"/>
      <c r="H925" s="11"/>
    </row>
    <row r="926" spans="7:8" ht="15.75" customHeight="1" x14ac:dyDescent="0.2">
      <c r="G926" s="11"/>
      <c r="H926" s="11"/>
    </row>
    <row r="927" spans="7:8" ht="15.75" customHeight="1" x14ac:dyDescent="0.2">
      <c r="G927" s="11"/>
      <c r="H927" s="11"/>
    </row>
    <row r="928" spans="7:8" ht="15.75" customHeight="1" x14ac:dyDescent="0.2">
      <c r="G928" s="11"/>
      <c r="H928" s="11"/>
    </row>
    <row r="929" spans="7:8" ht="15.75" customHeight="1" x14ac:dyDescent="0.2">
      <c r="G929" s="11"/>
      <c r="H929" s="11"/>
    </row>
    <row r="930" spans="7:8" ht="15.75" customHeight="1" x14ac:dyDescent="0.2">
      <c r="G930" s="11"/>
      <c r="H930" s="11"/>
    </row>
    <row r="931" spans="7:8" ht="15.75" customHeight="1" x14ac:dyDescent="0.2">
      <c r="G931" s="11"/>
      <c r="H931" s="11"/>
    </row>
    <row r="932" spans="7:8" ht="15.75" customHeight="1" x14ac:dyDescent="0.2">
      <c r="G932" s="11"/>
      <c r="H932" s="11"/>
    </row>
    <row r="933" spans="7:8" ht="15.75" customHeight="1" x14ac:dyDescent="0.2">
      <c r="G933" s="11"/>
      <c r="H933" s="11"/>
    </row>
    <row r="934" spans="7:8" ht="15.75" customHeight="1" x14ac:dyDescent="0.2">
      <c r="G934" s="11"/>
      <c r="H934" s="11"/>
    </row>
    <row r="935" spans="7:8" ht="15.75" customHeight="1" x14ac:dyDescent="0.2">
      <c r="G935" s="11"/>
      <c r="H935" s="11"/>
    </row>
    <row r="936" spans="7:8" ht="15.75" customHeight="1" x14ac:dyDescent="0.2">
      <c r="G936" s="11"/>
      <c r="H936" s="11"/>
    </row>
    <row r="937" spans="7:8" ht="15.75" customHeight="1" x14ac:dyDescent="0.2">
      <c r="G937" s="11"/>
      <c r="H937" s="11"/>
    </row>
    <row r="938" spans="7:8" ht="15.75" customHeight="1" x14ac:dyDescent="0.2">
      <c r="G938" s="11"/>
      <c r="H938" s="11"/>
    </row>
    <row r="939" spans="7:8" ht="15.75" customHeight="1" x14ac:dyDescent="0.2">
      <c r="G939" s="11"/>
      <c r="H939" s="11"/>
    </row>
    <row r="940" spans="7:8" ht="15.75" customHeight="1" x14ac:dyDescent="0.2">
      <c r="G940" s="11"/>
      <c r="H940" s="11"/>
    </row>
    <row r="941" spans="7:8" ht="15.75" customHeight="1" x14ac:dyDescent="0.2">
      <c r="G941" s="11"/>
      <c r="H941" s="11"/>
    </row>
    <row r="942" spans="7:8" ht="15.75" customHeight="1" x14ac:dyDescent="0.2">
      <c r="G942" s="11"/>
      <c r="H942" s="11"/>
    </row>
    <row r="943" spans="7:8" ht="15.75" customHeight="1" x14ac:dyDescent="0.2">
      <c r="G943" s="11"/>
      <c r="H943" s="11"/>
    </row>
    <row r="944" spans="7:8" ht="15.75" customHeight="1" x14ac:dyDescent="0.2">
      <c r="G944" s="11"/>
      <c r="H944" s="11"/>
    </row>
    <row r="945" spans="7:8" ht="15.75" customHeight="1" x14ac:dyDescent="0.2">
      <c r="G945" s="11"/>
      <c r="H945" s="11"/>
    </row>
    <row r="946" spans="7:8" ht="15.75" customHeight="1" x14ac:dyDescent="0.2">
      <c r="G946" s="11"/>
      <c r="H946" s="11"/>
    </row>
    <row r="947" spans="7:8" ht="15.75" customHeight="1" x14ac:dyDescent="0.2">
      <c r="G947" s="11"/>
      <c r="H947" s="11"/>
    </row>
    <row r="948" spans="7:8" ht="15.75" customHeight="1" x14ac:dyDescent="0.2">
      <c r="G948" s="11"/>
      <c r="H948" s="11"/>
    </row>
    <row r="949" spans="7:8" ht="15.75" customHeight="1" x14ac:dyDescent="0.2">
      <c r="G949" s="11"/>
      <c r="H949" s="11"/>
    </row>
    <row r="950" spans="7:8" ht="15.75" customHeight="1" x14ac:dyDescent="0.2">
      <c r="G950" s="11"/>
      <c r="H950" s="11"/>
    </row>
    <row r="951" spans="7:8" ht="15.75" customHeight="1" x14ac:dyDescent="0.2">
      <c r="G951" s="11"/>
      <c r="H951" s="11"/>
    </row>
    <row r="952" spans="7:8" ht="15.75" customHeight="1" x14ac:dyDescent="0.2">
      <c r="G952" s="11"/>
      <c r="H952" s="11"/>
    </row>
    <row r="953" spans="7:8" ht="15.75" customHeight="1" x14ac:dyDescent="0.2">
      <c r="G953" s="11"/>
      <c r="H953" s="11"/>
    </row>
    <row r="954" spans="7:8" ht="15.75" customHeight="1" x14ac:dyDescent="0.2">
      <c r="G954" s="11"/>
      <c r="H954" s="11"/>
    </row>
    <row r="955" spans="7:8" ht="15.75" customHeight="1" x14ac:dyDescent="0.2">
      <c r="G955" s="11"/>
      <c r="H955" s="11"/>
    </row>
    <row r="956" spans="7:8" ht="15.75" customHeight="1" x14ac:dyDescent="0.2">
      <c r="G956" s="11"/>
      <c r="H956" s="11"/>
    </row>
    <row r="957" spans="7:8" ht="15.75" customHeight="1" x14ac:dyDescent="0.2">
      <c r="G957" s="11"/>
      <c r="H957" s="11"/>
    </row>
    <row r="958" spans="7:8" ht="15.75" customHeight="1" x14ac:dyDescent="0.2">
      <c r="G958" s="11"/>
      <c r="H958" s="11"/>
    </row>
    <row r="959" spans="7:8" ht="15.75" customHeight="1" x14ac:dyDescent="0.2">
      <c r="G959" s="11"/>
      <c r="H959" s="11"/>
    </row>
    <row r="960" spans="7:8" ht="15.75" customHeight="1" x14ac:dyDescent="0.2">
      <c r="G960" s="11"/>
      <c r="H960" s="11"/>
    </row>
    <row r="961" spans="7:8" ht="15.75" customHeight="1" x14ac:dyDescent="0.2">
      <c r="G961" s="11"/>
      <c r="H961" s="11"/>
    </row>
    <row r="962" spans="7:8" ht="15.75" customHeight="1" x14ac:dyDescent="0.2">
      <c r="G962" s="11"/>
      <c r="H962" s="11"/>
    </row>
    <row r="963" spans="7:8" ht="15.75" customHeight="1" x14ac:dyDescent="0.2">
      <c r="G963" s="11"/>
      <c r="H963" s="11"/>
    </row>
    <row r="964" spans="7:8" ht="15.75" customHeight="1" x14ac:dyDescent="0.2">
      <c r="G964" s="11"/>
      <c r="H964" s="11"/>
    </row>
    <row r="965" spans="7:8" ht="15.75" customHeight="1" x14ac:dyDescent="0.2">
      <c r="G965" s="11"/>
      <c r="H965" s="11"/>
    </row>
    <row r="966" spans="7:8" ht="15.75" customHeight="1" x14ac:dyDescent="0.2">
      <c r="G966" s="11"/>
      <c r="H966" s="11"/>
    </row>
    <row r="967" spans="7:8" ht="15.75" customHeight="1" x14ac:dyDescent="0.2">
      <c r="G967" s="11"/>
      <c r="H967" s="11"/>
    </row>
    <row r="968" spans="7:8" ht="15.75" customHeight="1" x14ac:dyDescent="0.2">
      <c r="G968" s="11"/>
      <c r="H968" s="11"/>
    </row>
    <row r="969" spans="7:8" ht="15.75" customHeight="1" x14ac:dyDescent="0.2">
      <c r="G969" s="11"/>
      <c r="H969" s="11"/>
    </row>
    <row r="970" spans="7:8" ht="15.75" customHeight="1" x14ac:dyDescent="0.2">
      <c r="G970" s="11"/>
      <c r="H970" s="11"/>
    </row>
    <row r="971" spans="7:8" ht="15.75" customHeight="1" x14ac:dyDescent="0.2">
      <c r="G971" s="11"/>
      <c r="H971" s="11"/>
    </row>
    <row r="972" spans="7:8" ht="15.75" customHeight="1" x14ac:dyDescent="0.2">
      <c r="G972" s="11"/>
      <c r="H972" s="11"/>
    </row>
    <row r="973" spans="7:8" ht="15.75" customHeight="1" x14ac:dyDescent="0.2">
      <c r="G973" s="11"/>
      <c r="H973" s="11"/>
    </row>
    <row r="974" spans="7:8" ht="15.75" customHeight="1" x14ac:dyDescent="0.2">
      <c r="G974" s="11"/>
      <c r="H974" s="11"/>
    </row>
    <row r="975" spans="7:8" ht="15.75" customHeight="1" x14ac:dyDescent="0.2">
      <c r="G975" s="11"/>
      <c r="H975" s="11"/>
    </row>
    <row r="976" spans="7:8" ht="15.75" customHeight="1" x14ac:dyDescent="0.2">
      <c r="G976" s="11"/>
      <c r="H976" s="11"/>
    </row>
    <row r="977" spans="7:8" ht="15.75" customHeight="1" x14ac:dyDescent="0.2">
      <c r="G977" s="11"/>
      <c r="H977" s="11"/>
    </row>
    <row r="978" spans="7:8" ht="15.75" customHeight="1" x14ac:dyDescent="0.2">
      <c r="G978" s="11"/>
      <c r="H978" s="11"/>
    </row>
    <row r="979" spans="7:8" ht="15.75" customHeight="1" x14ac:dyDescent="0.2">
      <c r="G979" s="11"/>
      <c r="H979" s="11"/>
    </row>
    <row r="980" spans="7:8" ht="15.75" customHeight="1" x14ac:dyDescent="0.2">
      <c r="G980" s="11"/>
      <c r="H980" s="11"/>
    </row>
    <row r="981" spans="7:8" ht="15.75" customHeight="1" x14ac:dyDescent="0.2">
      <c r="G981" s="11"/>
      <c r="H981" s="11"/>
    </row>
    <row r="982" spans="7:8" ht="15.75" customHeight="1" x14ac:dyDescent="0.2">
      <c r="G982" s="11"/>
      <c r="H982" s="11"/>
    </row>
    <row r="983" spans="7:8" ht="15.75" customHeight="1" x14ac:dyDescent="0.2">
      <c r="G983" s="11"/>
      <c r="H983" s="11"/>
    </row>
    <row r="984" spans="7:8" ht="15.75" customHeight="1" x14ac:dyDescent="0.2">
      <c r="G984" s="11"/>
      <c r="H984" s="11"/>
    </row>
    <row r="985" spans="7:8" ht="15.75" customHeight="1" x14ac:dyDescent="0.2">
      <c r="G985" s="11"/>
      <c r="H985" s="11"/>
    </row>
    <row r="986" spans="7:8" ht="15.75" customHeight="1" x14ac:dyDescent="0.2">
      <c r="G986" s="11"/>
      <c r="H986" s="11"/>
    </row>
    <row r="987" spans="7:8" ht="15.75" customHeight="1" x14ac:dyDescent="0.2">
      <c r="G987" s="11"/>
      <c r="H987" s="11"/>
    </row>
    <row r="988" spans="7:8" ht="15.75" customHeight="1" x14ac:dyDescent="0.2">
      <c r="G988" s="11"/>
      <c r="H988" s="11"/>
    </row>
    <row r="989" spans="7:8" ht="15.75" customHeight="1" x14ac:dyDescent="0.2">
      <c r="G989" s="11"/>
      <c r="H989" s="11"/>
    </row>
    <row r="990" spans="7:8" ht="15.75" customHeight="1" x14ac:dyDescent="0.2">
      <c r="G990" s="11"/>
      <c r="H990" s="11"/>
    </row>
    <row r="991" spans="7:8" ht="15.75" customHeight="1" x14ac:dyDescent="0.2">
      <c r="G991" s="11"/>
      <c r="H991" s="11"/>
    </row>
    <row r="992" spans="7:8" ht="15.75" customHeight="1" x14ac:dyDescent="0.2">
      <c r="G992" s="11"/>
      <c r="H992" s="11"/>
    </row>
    <row r="993" spans="7:8" ht="15.75" customHeight="1" x14ac:dyDescent="0.2">
      <c r="G993" s="11"/>
      <c r="H993" s="11"/>
    </row>
    <row r="994" spans="7:8" ht="15.75" customHeight="1" x14ac:dyDescent="0.2">
      <c r="G994" s="11"/>
      <c r="H994" s="11"/>
    </row>
    <row r="995" spans="7:8" ht="15.75" customHeight="1" x14ac:dyDescent="0.2">
      <c r="G995" s="11"/>
      <c r="H995" s="11"/>
    </row>
    <row r="996" spans="7:8" ht="15.75" customHeight="1" x14ac:dyDescent="0.2">
      <c r="G996" s="11"/>
      <c r="H996" s="11"/>
    </row>
    <row r="997" spans="7:8" ht="15.75" customHeight="1" x14ac:dyDescent="0.2">
      <c r="G997" s="11"/>
      <c r="H997" s="11"/>
    </row>
    <row r="998" spans="7:8" ht="15.75" customHeight="1" x14ac:dyDescent="0.2">
      <c r="G998" s="11"/>
      <c r="H998" s="11"/>
    </row>
    <row r="999" spans="7:8" ht="15.75" customHeight="1" x14ac:dyDescent="0.2">
      <c r="G999" s="11"/>
      <c r="H999" s="11"/>
    </row>
    <row r="1000" spans="7:8" ht="15.75" customHeight="1" x14ac:dyDescent="0.2">
      <c r="G1000" s="11"/>
      <c r="H1000" s="11"/>
    </row>
  </sheetData>
  <autoFilter ref="A1:H1000" xr:uid="{00000000-0001-0000-0300-000000000000}"/>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73"/>
  <sheetViews>
    <sheetView topLeftCell="C1" workbookViewId="0">
      <selection activeCell="E1" sqref="E1"/>
    </sheetView>
  </sheetViews>
  <sheetFormatPr baseColWidth="10" defaultColWidth="12.5" defaultRowHeight="15" customHeight="1" x14ac:dyDescent="0.15"/>
  <cols>
    <col min="1" max="1" width="26" customWidth="1"/>
    <col min="2" max="2" width="20.83203125" customWidth="1"/>
    <col min="5" max="5" width="29.33203125" customWidth="1"/>
    <col min="6" max="8" width="27.1640625" customWidth="1"/>
  </cols>
  <sheetData>
    <row r="1" spans="1:27" x14ac:dyDescent="0.2">
      <c r="A1" s="14" t="s">
        <v>0</v>
      </c>
      <c r="B1" s="14" t="s">
        <v>1</v>
      </c>
      <c r="C1" s="14" t="s">
        <v>206</v>
      </c>
      <c r="D1" s="14" t="s">
        <v>79</v>
      </c>
      <c r="E1" s="14" t="s">
        <v>207</v>
      </c>
      <c r="F1" s="14" t="s">
        <v>418</v>
      </c>
      <c r="G1" s="14" t="s">
        <v>1317</v>
      </c>
      <c r="H1" s="14" t="s">
        <v>1318</v>
      </c>
      <c r="I1" s="14" t="s">
        <v>206</v>
      </c>
      <c r="J1" s="14" t="s">
        <v>79</v>
      </c>
      <c r="K1" s="14" t="s">
        <v>207</v>
      </c>
      <c r="L1" s="14" t="s">
        <v>208</v>
      </c>
    </row>
    <row r="2" spans="1:27" ht="15" customHeight="1" x14ac:dyDescent="0.2">
      <c r="A2" s="15" t="s">
        <v>219</v>
      </c>
      <c r="B2" s="15" t="s">
        <v>210</v>
      </c>
      <c r="C2" s="11" t="s">
        <v>4</v>
      </c>
      <c r="D2" s="11" t="s">
        <v>4</v>
      </c>
      <c r="E2" s="11" t="s">
        <v>4</v>
      </c>
      <c r="F2" s="11" t="s">
        <v>4</v>
      </c>
      <c r="G2" s="93" t="s">
        <v>710</v>
      </c>
      <c r="H2" s="93" t="s">
        <v>709</v>
      </c>
      <c r="I2" s="11">
        <f>COUNTIF(C2:C19,"Y")</f>
        <v>11</v>
      </c>
      <c r="J2" s="11">
        <f>COUNTIF(D2:D19,"Y")</f>
        <v>11</v>
      </c>
      <c r="K2" s="11">
        <f>COUNTIF(E2:E19,"Y")</f>
        <v>11</v>
      </c>
      <c r="L2" s="11">
        <f>COUNTIF(F2:F19,"Y")</f>
        <v>8</v>
      </c>
      <c r="M2" s="10"/>
      <c r="N2" s="10"/>
      <c r="O2" s="10"/>
      <c r="P2" s="10"/>
      <c r="Q2" s="10"/>
      <c r="R2" s="10"/>
      <c r="S2" s="10"/>
      <c r="T2" s="10"/>
      <c r="U2" s="10"/>
      <c r="V2" s="10"/>
      <c r="W2" s="10"/>
      <c r="X2" s="10"/>
      <c r="Y2" s="10"/>
      <c r="Z2" s="10"/>
      <c r="AA2" s="10"/>
    </row>
    <row r="3" spans="1:27" ht="15" customHeight="1" x14ac:dyDescent="0.2">
      <c r="A3" s="15" t="s">
        <v>216</v>
      </c>
      <c r="B3" s="15" t="s">
        <v>210</v>
      </c>
      <c r="C3" s="11" t="s">
        <v>6</v>
      </c>
      <c r="D3" s="11" t="s">
        <v>6</v>
      </c>
      <c r="E3" s="11" t="s">
        <v>6</v>
      </c>
      <c r="F3" s="11" t="s">
        <v>6</v>
      </c>
      <c r="G3" s="93" t="s">
        <v>712</v>
      </c>
      <c r="H3" s="93" t="s">
        <v>711</v>
      </c>
      <c r="I3" s="11"/>
      <c r="J3" s="11"/>
      <c r="K3" s="11"/>
      <c r="L3" s="11"/>
      <c r="M3" s="10"/>
      <c r="N3" s="10"/>
      <c r="O3" s="10"/>
      <c r="P3" s="10"/>
      <c r="Q3" s="10"/>
      <c r="R3" s="10"/>
      <c r="S3" s="10"/>
      <c r="T3" s="10"/>
      <c r="U3" s="10"/>
      <c r="V3" s="10"/>
      <c r="W3" s="10"/>
      <c r="X3" s="10"/>
      <c r="Y3" s="10"/>
      <c r="Z3" s="10"/>
      <c r="AA3" s="10"/>
    </row>
    <row r="4" spans="1:27" ht="15" customHeight="1" x14ac:dyDescent="0.2">
      <c r="A4" s="69" t="s">
        <v>222</v>
      </c>
      <c r="B4" s="15" t="s">
        <v>210</v>
      </c>
      <c r="C4" s="11" t="s">
        <v>6</v>
      </c>
      <c r="D4" s="11" t="s">
        <v>6</v>
      </c>
      <c r="E4" s="11" t="s">
        <v>6</v>
      </c>
      <c r="F4" s="11" t="s">
        <v>4</v>
      </c>
      <c r="G4" s="93" t="s">
        <v>762</v>
      </c>
      <c r="H4" s="93" t="s">
        <v>761</v>
      </c>
      <c r="I4" s="11"/>
      <c r="J4" s="11"/>
      <c r="K4" s="11"/>
      <c r="L4" s="11"/>
      <c r="M4" s="10"/>
      <c r="N4" s="10"/>
      <c r="O4" s="10"/>
      <c r="P4" s="10"/>
      <c r="Q4" s="10"/>
      <c r="R4" s="10"/>
      <c r="S4" s="10"/>
      <c r="T4" s="10"/>
      <c r="U4" s="10"/>
      <c r="V4" s="10"/>
      <c r="W4" s="10"/>
      <c r="X4" s="10"/>
      <c r="Y4" s="10"/>
      <c r="Z4" s="10"/>
      <c r="AA4" s="10"/>
    </row>
    <row r="5" spans="1:27" ht="15" customHeight="1" x14ac:dyDescent="0.2">
      <c r="A5" s="15" t="s">
        <v>221</v>
      </c>
      <c r="B5" s="15" t="s">
        <v>210</v>
      </c>
      <c r="C5" s="11" t="s">
        <v>6</v>
      </c>
      <c r="D5" s="11" t="s">
        <v>6</v>
      </c>
      <c r="E5" s="11" t="s">
        <v>6</v>
      </c>
      <c r="F5" s="11" t="s">
        <v>4</v>
      </c>
      <c r="G5" s="93" t="s">
        <v>764</v>
      </c>
      <c r="H5" s="93" t="s">
        <v>763</v>
      </c>
      <c r="I5" s="11"/>
      <c r="J5" s="11"/>
      <c r="K5" s="11"/>
      <c r="L5" s="11"/>
      <c r="M5" s="10"/>
      <c r="N5" s="10"/>
      <c r="O5" s="10"/>
      <c r="P5" s="10"/>
      <c r="Q5" s="10"/>
      <c r="R5" s="10"/>
      <c r="S5" s="10"/>
      <c r="T5" s="10"/>
      <c r="U5" s="10"/>
      <c r="V5" s="10"/>
      <c r="W5" s="10"/>
      <c r="X5" s="10"/>
      <c r="Y5" s="10"/>
      <c r="Z5" s="10"/>
      <c r="AA5" s="10"/>
    </row>
    <row r="6" spans="1:27" ht="15" customHeight="1" x14ac:dyDescent="0.2">
      <c r="A6" s="15" t="s">
        <v>225</v>
      </c>
      <c r="B6" s="15" t="s">
        <v>210</v>
      </c>
      <c r="C6" s="11" t="s">
        <v>4</v>
      </c>
      <c r="D6" s="11" t="s">
        <v>4</v>
      </c>
      <c r="E6" s="11" t="s">
        <v>4</v>
      </c>
      <c r="F6" s="11" t="s">
        <v>4</v>
      </c>
      <c r="G6" s="93" t="s">
        <v>766</v>
      </c>
      <c r="H6" s="93" t="s">
        <v>765</v>
      </c>
      <c r="I6" s="11"/>
      <c r="J6" s="11"/>
      <c r="K6" s="11"/>
      <c r="L6" s="11"/>
      <c r="M6" s="10"/>
      <c r="N6" s="10"/>
      <c r="O6" s="10"/>
      <c r="P6" s="10"/>
      <c r="Q6" s="10"/>
      <c r="R6" s="10"/>
      <c r="S6" s="10"/>
      <c r="T6" s="10"/>
      <c r="U6" s="10"/>
      <c r="V6" s="10"/>
      <c r="W6" s="10"/>
      <c r="X6" s="10"/>
      <c r="Y6" s="10"/>
      <c r="Z6" s="10"/>
      <c r="AA6" s="10"/>
    </row>
    <row r="7" spans="1:27" ht="15" customHeight="1" x14ac:dyDescent="0.2">
      <c r="A7" s="15" t="s">
        <v>218</v>
      </c>
      <c r="B7" s="15" t="s">
        <v>210</v>
      </c>
      <c r="C7" s="11" t="s">
        <v>4</v>
      </c>
      <c r="D7" s="11" t="s">
        <v>4</v>
      </c>
      <c r="E7" s="11" t="s">
        <v>4</v>
      </c>
      <c r="F7" s="11" t="s">
        <v>4</v>
      </c>
      <c r="G7" s="93" t="s">
        <v>790</v>
      </c>
      <c r="H7" s="93" t="s">
        <v>789</v>
      </c>
      <c r="I7" s="11"/>
      <c r="J7" s="11"/>
      <c r="K7" s="11"/>
      <c r="L7" s="11"/>
      <c r="M7" s="10"/>
      <c r="N7" s="10"/>
      <c r="O7" s="10"/>
      <c r="P7" s="10"/>
      <c r="Q7" s="10"/>
      <c r="R7" s="10"/>
      <c r="S7" s="10"/>
      <c r="T7" s="10"/>
      <c r="U7" s="10"/>
      <c r="V7" s="10"/>
      <c r="W7" s="10"/>
      <c r="X7" s="10"/>
      <c r="Y7" s="10"/>
      <c r="Z7" s="10"/>
      <c r="AA7" s="10"/>
    </row>
    <row r="8" spans="1:27" ht="15" customHeight="1" x14ac:dyDescent="0.2">
      <c r="A8" s="15" t="s">
        <v>209</v>
      </c>
      <c r="B8" s="15" t="s">
        <v>210</v>
      </c>
      <c r="C8" s="11" t="s">
        <v>6</v>
      </c>
      <c r="D8" s="11" t="s">
        <v>6</v>
      </c>
      <c r="E8" s="11" t="s">
        <v>6</v>
      </c>
      <c r="F8" s="11" t="s">
        <v>6</v>
      </c>
      <c r="G8" s="93" t="s">
        <v>792</v>
      </c>
      <c r="H8" s="93" t="s">
        <v>791</v>
      </c>
      <c r="I8" s="11"/>
      <c r="J8" s="11"/>
      <c r="K8" s="11"/>
      <c r="L8" s="11"/>
      <c r="M8" s="10"/>
      <c r="N8" s="10"/>
      <c r="O8" s="10"/>
      <c r="P8" s="10"/>
      <c r="Q8" s="10"/>
      <c r="R8" s="10"/>
      <c r="S8" s="10"/>
      <c r="T8" s="10"/>
      <c r="U8" s="10"/>
      <c r="V8" s="10"/>
      <c r="W8" s="10"/>
      <c r="X8" s="10"/>
      <c r="Y8" s="10"/>
      <c r="Z8" s="10"/>
      <c r="AA8" s="10"/>
    </row>
    <row r="9" spans="1:27" ht="15" customHeight="1" x14ac:dyDescent="0.2">
      <c r="A9" s="15" t="s">
        <v>217</v>
      </c>
      <c r="B9" s="15" t="s">
        <v>210</v>
      </c>
      <c r="C9" s="11" t="s">
        <v>6</v>
      </c>
      <c r="D9" s="11" t="s">
        <v>6</v>
      </c>
      <c r="E9" s="11" t="s">
        <v>6</v>
      </c>
      <c r="F9" s="11" t="s">
        <v>6</v>
      </c>
      <c r="G9" s="93" t="s">
        <v>794</v>
      </c>
      <c r="H9" s="93" t="s">
        <v>793</v>
      </c>
      <c r="I9" s="11"/>
      <c r="J9" s="11"/>
      <c r="K9" s="11"/>
      <c r="L9" s="11"/>
      <c r="M9" s="10"/>
      <c r="N9" s="10"/>
      <c r="O9" s="10"/>
      <c r="P9" s="10"/>
      <c r="Q9" s="10"/>
      <c r="R9" s="10"/>
      <c r="S9" s="10"/>
      <c r="T9" s="10"/>
      <c r="U9" s="10"/>
      <c r="V9" s="10"/>
      <c r="W9" s="10"/>
      <c r="X9" s="10"/>
      <c r="Y9" s="10"/>
      <c r="Z9" s="10"/>
      <c r="AA9" s="10"/>
    </row>
    <row r="10" spans="1:27" ht="15" customHeight="1" x14ac:dyDescent="0.2">
      <c r="A10" s="15" t="s">
        <v>224</v>
      </c>
      <c r="B10" s="15" t="s">
        <v>210</v>
      </c>
      <c r="C10" s="11" t="s">
        <v>4</v>
      </c>
      <c r="D10" s="11" t="s">
        <v>4</v>
      </c>
      <c r="E10" s="11" t="s">
        <v>4</v>
      </c>
      <c r="F10" s="11" t="s">
        <v>4</v>
      </c>
      <c r="G10" s="93" t="s">
        <v>826</v>
      </c>
      <c r="H10" s="93" t="s">
        <v>825</v>
      </c>
      <c r="I10" s="11"/>
      <c r="J10" s="11"/>
      <c r="K10" s="11"/>
      <c r="L10" s="11"/>
      <c r="M10" s="10"/>
      <c r="N10" s="10"/>
      <c r="O10" s="10"/>
      <c r="P10" s="10"/>
      <c r="Q10" s="10"/>
      <c r="R10" s="10"/>
      <c r="S10" s="10"/>
      <c r="T10" s="10"/>
      <c r="U10" s="10"/>
      <c r="V10" s="10"/>
      <c r="W10" s="10"/>
      <c r="X10" s="10"/>
      <c r="Y10" s="10"/>
      <c r="Z10" s="10"/>
      <c r="AA10" s="10"/>
    </row>
    <row r="11" spans="1:27" ht="15" customHeight="1" x14ac:dyDescent="0.2">
      <c r="A11" s="15" t="s">
        <v>211</v>
      </c>
      <c r="B11" s="15" t="s">
        <v>210</v>
      </c>
      <c r="C11" s="11" t="s">
        <v>6</v>
      </c>
      <c r="D11" s="11" t="s">
        <v>6</v>
      </c>
      <c r="E11" s="11" t="s">
        <v>6</v>
      </c>
      <c r="F11" s="11" t="s">
        <v>6</v>
      </c>
      <c r="G11" s="93" t="s">
        <v>838</v>
      </c>
      <c r="H11" s="93" t="s">
        <v>837</v>
      </c>
      <c r="I11" s="11"/>
      <c r="J11" s="11"/>
      <c r="K11" s="11"/>
      <c r="L11" s="11"/>
      <c r="M11" s="10"/>
      <c r="N11" s="10"/>
      <c r="O11" s="10"/>
      <c r="P11" s="10"/>
      <c r="Q11" s="10"/>
      <c r="R11" s="10"/>
      <c r="S11" s="10"/>
      <c r="T11" s="10"/>
      <c r="U11" s="10"/>
      <c r="V11" s="10"/>
      <c r="W11" s="10"/>
      <c r="X11" s="10"/>
      <c r="Y11" s="10"/>
      <c r="Z11" s="10"/>
      <c r="AA11" s="10"/>
    </row>
    <row r="12" spans="1:27" ht="15" customHeight="1" x14ac:dyDescent="0.2">
      <c r="A12" s="15" t="s">
        <v>215</v>
      </c>
      <c r="B12" s="15" t="s">
        <v>210</v>
      </c>
      <c r="C12" s="11" t="s">
        <v>4</v>
      </c>
      <c r="D12" s="11" t="s">
        <v>4</v>
      </c>
      <c r="E12" s="11" t="s">
        <v>4</v>
      </c>
      <c r="F12" s="11" t="s">
        <v>4</v>
      </c>
      <c r="G12" s="93" t="s">
        <v>840</v>
      </c>
      <c r="H12" s="93" t="s">
        <v>839</v>
      </c>
      <c r="I12" s="11"/>
      <c r="J12" s="11"/>
      <c r="K12" s="11"/>
      <c r="L12" s="11"/>
      <c r="M12" s="10"/>
      <c r="N12" s="10"/>
      <c r="O12" s="10"/>
      <c r="P12" s="10"/>
      <c r="Q12" s="10"/>
      <c r="R12" s="10"/>
      <c r="S12" s="10"/>
      <c r="T12" s="10"/>
      <c r="U12" s="10"/>
      <c r="V12" s="10"/>
      <c r="W12" s="10"/>
      <c r="X12" s="10"/>
      <c r="Y12" s="10"/>
      <c r="Z12" s="10"/>
      <c r="AA12" s="10"/>
    </row>
    <row r="13" spans="1:27" ht="15" customHeight="1" x14ac:dyDescent="0.2">
      <c r="A13" s="15" t="s">
        <v>213</v>
      </c>
      <c r="B13" s="15" t="s">
        <v>210</v>
      </c>
      <c r="C13" s="11" t="s">
        <v>4</v>
      </c>
      <c r="D13" s="11" t="s">
        <v>4</v>
      </c>
      <c r="E13" s="11" t="s">
        <v>4</v>
      </c>
      <c r="F13" s="11" t="s">
        <v>4</v>
      </c>
      <c r="G13" s="93" t="s">
        <v>846</v>
      </c>
      <c r="H13" s="93" t="s">
        <v>845</v>
      </c>
      <c r="I13" s="11"/>
      <c r="J13" s="11"/>
      <c r="K13" s="11"/>
      <c r="L13" s="11"/>
      <c r="M13" s="10"/>
      <c r="N13" s="10"/>
      <c r="O13" s="10"/>
      <c r="P13" s="10"/>
      <c r="Q13" s="10"/>
      <c r="R13" s="10"/>
      <c r="S13" s="10"/>
      <c r="T13" s="10"/>
      <c r="U13" s="10"/>
      <c r="V13" s="10"/>
      <c r="W13" s="10"/>
      <c r="X13" s="10"/>
      <c r="Y13" s="10"/>
      <c r="Z13" s="10"/>
      <c r="AA13" s="10"/>
    </row>
    <row r="14" spans="1:27" ht="15" customHeight="1" x14ac:dyDescent="0.2">
      <c r="A14" s="15" t="s">
        <v>214</v>
      </c>
      <c r="B14" s="15" t="s">
        <v>210</v>
      </c>
      <c r="C14" s="11" t="s">
        <v>6</v>
      </c>
      <c r="D14" s="11" t="s">
        <v>6</v>
      </c>
      <c r="E14" s="11" t="s">
        <v>6</v>
      </c>
      <c r="F14" s="11" t="s">
        <v>6</v>
      </c>
      <c r="G14" s="93" t="s">
        <v>848</v>
      </c>
      <c r="H14" s="93" t="s">
        <v>847</v>
      </c>
      <c r="I14" s="11"/>
      <c r="J14" s="11"/>
      <c r="K14" s="11"/>
      <c r="L14" s="11"/>
      <c r="M14" s="10"/>
      <c r="N14" s="10"/>
      <c r="O14" s="10"/>
      <c r="P14" s="10"/>
      <c r="Q14" s="10"/>
      <c r="R14" s="10"/>
      <c r="S14" s="10"/>
      <c r="T14" s="10"/>
      <c r="U14" s="10"/>
      <c r="V14" s="10"/>
      <c r="W14" s="10"/>
      <c r="X14" s="10"/>
      <c r="Y14" s="10"/>
      <c r="Z14" s="10"/>
      <c r="AA14" s="10"/>
    </row>
    <row r="15" spans="1:27" ht="15" customHeight="1" x14ac:dyDescent="0.2">
      <c r="A15" s="15" t="s">
        <v>227</v>
      </c>
      <c r="B15" s="15" t="s">
        <v>210</v>
      </c>
      <c r="C15" s="11" t="s">
        <v>6</v>
      </c>
      <c r="D15" s="11" t="s">
        <v>6</v>
      </c>
      <c r="E15" s="11" t="s">
        <v>6</v>
      </c>
      <c r="F15" s="11" t="s">
        <v>6</v>
      </c>
      <c r="G15" s="94" t="s">
        <v>1319</v>
      </c>
      <c r="H15" s="94" t="s">
        <v>1320</v>
      </c>
      <c r="I15" s="11"/>
      <c r="J15" s="11"/>
      <c r="K15" s="11"/>
      <c r="L15" s="11"/>
      <c r="M15" s="10"/>
      <c r="N15" s="10"/>
      <c r="O15" s="10"/>
      <c r="P15" s="10"/>
      <c r="Q15" s="10"/>
      <c r="R15" s="10"/>
      <c r="S15" s="10"/>
      <c r="T15" s="10"/>
      <c r="U15" s="10"/>
      <c r="V15" s="10"/>
      <c r="W15" s="10"/>
      <c r="X15" s="10"/>
      <c r="Y15" s="10"/>
      <c r="Z15" s="10"/>
      <c r="AA15" s="10"/>
    </row>
    <row r="16" spans="1:27" ht="15" customHeight="1" x14ac:dyDescent="0.2">
      <c r="A16" s="15" t="s">
        <v>226</v>
      </c>
      <c r="B16" s="15" t="s">
        <v>210</v>
      </c>
      <c r="C16" s="11" t="s">
        <v>6</v>
      </c>
      <c r="D16" s="11" t="s">
        <v>6</v>
      </c>
      <c r="E16" s="11" t="s">
        <v>6</v>
      </c>
      <c r="F16" s="11" t="s">
        <v>4</v>
      </c>
      <c r="G16" s="93" t="s">
        <v>850</v>
      </c>
      <c r="H16" s="93" t="s">
        <v>849</v>
      </c>
      <c r="I16" s="11"/>
      <c r="J16" s="11"/>
      <c r="K16" s="11"/>
      <c r="L16" s="11"/>
      <c r="M16" s="10"/>
      <c r="N16" s="10"/>
      <c r="O16" s="10"/>
      <c r="P16" s="10"/>
      <c r="Q16" s="10"/>
      <c r="R16" s="10"/>
      <c r="S16" s="10"/>
      <c r="T16" s="10"/>
      <c r="U16" s="10"/>
      <c r="V16" s="10"/>
      <c r="W16" s="10"/>
      <c r="X16" s="10"/>
      <c r="Y16" s="10"/>
      <c r="Z16" s="10"/>
      <c r="AA16" s="10"/>
    </row>
    <row r="17" spans="1:27" ht="15" customHeight="1" x14ac:dyDescent="0.2">
      <c r="A17" s="15" t="s">
        <v>212</v>
      </c>
      <c r="B17" s="15" t="s">
        <v>210</v>
      </c>
      <c r="C17" s="11" t="s">
        <v>6</v>
      </c>
      <c r="D17" s="11" t="s">
        <v>6</v>
      </c>
      <c r="E17" s="11" t="s">
        <v>6</v>
      </c>
      <c r="F17" s="11" t="s">
        <v>6</v>
      </c>
      <c r="G17" s="93" t="s">
        <v>854</v>
      </c>
      <c r="H17" s="93" t="s">
        <v>853</v>
      </c>
      <c r="I17" s="11"/>
      <c r="J17" s="11"/>
      <c r="K17" s="11"/>
      <c r="L17" s="11"/>
      <c r="M17" s="10"/>
      <c r="N17" s="10"/>
      <c r="O17" s="10"/>
      <c r="P17" s="10"/>
      <c r="Q17" s="10"/>
      <c r="R17" s="10"/>
      <c r="S17" s="10"/>
      <c r="T17" s="10"/>
      <c r="U17" s="10"/>
      <c r="V17" s="10"/>
      <c r="W17" s="10"/>
      <c r="X17" s="10"/>
      <c r="Y17" s="10"/>
      <c r="Z17" s="10"/>
      <c r="AA17" s="10"/>
    </row>
    <row r="18" spans="1:27" ht="15" customHeight="1" x14ac:dyDescent="0.2">
      <c r="A18" s="15" t="s">
        <v>220</v>
      </c>
      <c r="B18" s="15" t="s">
        <v>210</v>
      </c>
      <c r="C18" s="11" t="s">
        <v>6</v>
      </c>
      <c r="D18" s="11" t="s">
        <v>6</v>
      </c>
      <c r="E18" s="11" t="s">
        <v>6</v>
      </c>
      <c r="F18" s="11" t="s">
        <v>6</v>
      </c>
      <c r="G18" s="93" t="s">
        <v>868</v>
      </c>
      <c r="H18" s="93" t="s">
        <v>867</v>
      </c>
      <c r="I18" s="11"/>
      <c r="J18" s="11"/>
      <c r="K18" s="11"/>
      <c r="L18" s="11"/>
      <c r="M18" s="10"/>
      <c r="N18" s="10"/>
      <c r="O18" s="10"/>
      <c r="P18" s="10"/>
      <c r="Q18" s="10"/>
      <c r="R18" s="10"/>
      <c r="S18" s="10"/>
      <c r="T18" s="10"/>
      <c r="U18" s="10"/>
      <c r="V18" s="10"/>
      <c r="W18" s="10"/>
      <c r="X18" s="10"/>
      <c r="Y18" s="10"/>
      <c r="Z18" s="10"/>
      <c r="AA18" s="10"/>
    </row>
    <row r="19" spans="1:27" ht="15" customHeight="1" x14ac:dyDescent="0.2">
      <c r="A19" s="17" t="s">
        <v>223</v>
      </c>
      <c r="B19" s="17" t="s">
        <v>210</v>
      </c>
      <c r="C19" s="12" t="s">
        <v>4</v>
      </c>
      <c r="D19" s="12" t="s">
        <v>4</v>
      </c>
      <c r="E19" s="12" t="s">
        <v>4</v>
      </c>
      <c r="F19" s="12" t="s">
        <v>4</v>
      </c>
      <c r="G19" s="93" t="s">
        <v>870</v>
      </c>
      <c r="H19" s="93" t="s">
        <v>869</v>
      </c>
      <c r="I19" s="12"/>
      <c r="J19" s="12"/>
      <c r="K19" s="12"/>
      <c r="L19" s="12"/>
      <c r="M19" s="10"/>
      <c r="N19" s="10"/>
      <c r="O19" s="10"/>
      <c r="P19" s="10"/>
      <c r="Q19" s="10"/>
      <c r="R19" s="10"/>
      <c r="S19" s="10"/>
      <c r="T19" s="10"/>
      <c r="U19" s="10"/>
      <c r="V19" s="10"/>
      <c r="W19" s="10"/>
      <c r="X19" s="10"/>
      <c r="Y19" s="10"/>
      <c r="Z19" s="10"/>
      <c r="AA19" s="10"/>
    </row>
    <row r="20" spans="1:27" ht="15" customHeight="1" x14ac:dyDescent="0.2">
      <c r="A20" s="18" t="s">
        <v>228</v>
      </c>
      <c r="B20" s="13" t="s">
        <v>229</v>
      </c>
      <c r="C20" s="13" t="s">
        <v>6</v>
      </c>
      <c r="D20" s="13" t="s">
        <v>6</v>
      </c>
      <c r="E20" s="13" t="s">
        <v>6</v>
      </c>
      <c r="F20" s="13" t="s">
        <v>6</v>
      </c>
      <c r="G20" s="93" t="s">
        <v>670</v>
      </c>
      <c r="H20" s="93" t="s">
        <v>669</v>
      </c>
      <c r="I20" s="13">
        <f t="shared" ref="I20:K20" si="0">COUNTIF(C20:C37,"Y")</f>
        <v>18</v>
      </c>
      <c r="J20" s="13">
        <f t="shared" si="0"/>
        <v>18</v>
      </c>
      <c r="K20" s="13">
        <f t="shared" si="0"/>
        <v>17</v>
      </c>
      <c r="L20" s="13">
        <f>COUNTIF(F20:F37,"Y")</f>
        <v>17</v>
      </c>
      <c r="M20" s="10"/>
      <c r="N20" s="10"/>
      <c r="O20" s="10"/>
      <c r="P20" s="10"/>
      <c r="Q20" s="10"/>
      <c r="R20" s="10"/>
      <c r="S20" s="10"/>
      <c r="T20" s="10"/>
      <c r="U20" s="10"/>
      <c r="V20" s="10"/>
      <c r="W20" s="10"/>
      <c r="X20" s="10"/>
      <c r="Y20" s="10"/>
      <c r="Z20" s="10"/>
      <c r="AA20" s="10"/>
    </row>
    <row r="21" spans="1:27" ht="15" customHeight="1" x14ac:dyDescent="0.2">
      <c r="A21" s="15" t="s">
        <v>230</v>
      </c>
      <c r="B21" s="11" t="s">
        <v>229</v>
      </c>
      <c r="C21" s="11" t="s">
        <v>6</v>
      </c>
      <c r="D21" s="11" t="s">
        <v>6</v>
      </c>
      <c r="E21" s="11" t="s">
        <v>6</v>
      </c>
      <c r="F21" s="11" t="s">
        <v>6</v>
      </c>
      <c r="G21" s="93" t="s">
        <v>680</v>
      </c>
      <c r="H21" s="93" t="s">
        <v>679</v>
      </c>
      <c r="I21" s="11"/>
      <c r="J21" s="11"/>
      <c r="K21" s="11"/>
      <c r="L21" s="11"/>
      <c r="M21" s="10"/>
      <c r="N21" s="10"/>
      <c r="O21" s="10"/>
      <c r="P21" s="10"/>
      <c r="Q21" s="10"/>
      <c r="R21" s="10"/>
      <c r="S21" s="10"/>
      <c r="T21" s="10"/>
      <c r="U21" s="10"/>
      <c r="V21" s="10"/>
      <c r="W21" s="10"/>
      <c r="X21" s="10"/>
      <c r="Y21" s="10"/>
      <c r="Z21" s="10"/>
      <c r="AA21" s="10"/>
    </row>
    <row r="22" spans="1:27" ht="15" customHeight="1" x14ac:dyDescent="0.2">
      <c r="A22" s="15" t="s">
        <v>234</v>
      </c>
      <c r="B22" s="11" t="s">
        <v>229</v>
      </c>
      <c r="C22" s="11" t="s">
        <v>6</v>
      </c>
      <c r="D22" s="11" t="s">
        <v>6</v>
      </c>
      <c r="E22" s="11" t="s">
        <v>6</v>
      </c>
      <c r="F22" s="11" t="s">
        <v>6</v>
      </c>
      <c r="G22" s="93" t="s">
        <v>706</v>
      </c>
      <c r="H22" s="93" t="s">
        <v>705</v>
      </c>
      <c r="I22" s="11"/>
      <c r="J22" s="11"/>
      <c r="K22" s="11"/>
      <c r="L22" s="11"/>
      <c r="M22" s="10"/>
      <c r="N22" s="10"/>
      <c r="O22" s="10"/>
      <c r="P22" s="10"/>
      <c r="Q22" s="10"/>
      <c r="R22" s="10"/>
      <c r="S22" s="10"/>
      <c r="T22" s="10"/>
      <c r="U22" s="10"/>
      <c r="V22" s="10"/>
      <c r="W22" s="10"/>
      <c r="X22" s="10"/>
      <c r="Y22" s="10"/>
      <c r="Z22" s="10"/>
      <c r="AA22" s="10"/>
    </row>
    <row r="23" spans="1:27" ht="15" customHeight="1" x14ac:dyDescent="0.2">
      <c r="A23" s="15" t="s">
        <v>233</v>
      </c>
      <c r="B23" s="11" t="s">
        <v>229</v>
      </c>
      <c r="C23" s="11" t="s">
        <v>6</v>
      </c>
      <c r="D23" s="11" t="s">
        <v>6</v>
      </c>
      <c r="E23" s="11" t="s">
        <v>6</v>
      </c>
      <c r="F23" s="11" t="s">
        <v>6</v>
      </c>
      <c r="G23" s="93" t="s">
        <v>708</v>
      </c>
      <c r="H23" s="93" t="s">
        <v>707</v>
      </c>
      <c r="I23" s="11"/>
      <c r="J23" s="11"/>
      <c r="K23" s="11"/>
      <c r="L23" s="11"/>
      <c r="M23" s="10"/>
      <c r="N23" s="10"/>
      <c r="O23" s="10"/>
      <c r="P23" s="10"/>
      <c r="Q23" s="10"/>
      <c r="R23" s="10"/>
      <c r="S23" s="10"/>
      <c r="T23" s="10"/>
      <c r="U23" s="10"/>
      <c r="V23" s="10"/>
      <c r="W23" s="10"/>
      <c r="X23" s="10"/>
      <c r="Y23" s="10"/>
      <c r="Z23" s="10"/>
      <c r="AA23" s="10"/>
    </row>
    <row r="24" spans="1:27" ht="15" customHeight="1" x14ac:dyDescent="0.2">
      <c r="A24" s="15" t="s">
        <v>245</v>
      </c>
      <c r="B24" s="11" t="s">
        <v>229</v>
      </c>
      <c r="C24" s="11" t="s">
        <v>6</v>
      </c>
      <c r="D24" s="11" t="s">
        <v>6</v>
      </c>
      <c r="E24" s="11" t="s">
        <v>6</v>
      </c>
      <c r="F24" s="11" t="s">
        <v>6</v>
      </c>
      <c r="G24" s="93" t="s">
        <v>768</v>
      </c>
      <c r="H24" s="93" t="s">
        <v>767</v>
      </c>
      <c r="I24" s="11"/>
      <c r="J24" s="11"/>
      <c r="K24" s="11"/>
      <c r="L24" s="11"/>
      <c r="M24" s="10"/>
      <c r="N24" s="10"/>
      <c r="O24" s="10"/>
      <c r="P24" s="10"/>
      <c r="Q24" s="10"/>
      <c r="R24" s="10"/>
      <c r="S24" s="10"/>
      <c r="T24" s="10"/>
      <c r="U24" s="10"/>
      <c r="V24" s="10"/>
      <c r="W24" s="10"/>
      <c r="X24" s="10"/>
      <c r="Y24" s="10"/>
      <c r="Z24" s="10"/>
      <c r="AA24" s="10"/>
    </row>
    <row r="25" spans="1:27" ht="15" customHeight="1" x14ac:dyDescent="0.2">
      <c r="A25" s="15" t="s">
        <v>236</v>
      </c>
      <c r="B25" s="11" t="s">
        <v>229</v>
      </c>
      <c r="C25" s="11" t="s">
        <v>6</v>
      </c>
      <c r="D25" s="11" t="s">
        <v>6</v>
      </c>
      <c r="E25" s="11" t="s">
        <v>6</v>
      </c>
      <c r="F25" s="11" t="s">
        <v>6</v>
      </c>
      <c r="G25" s="93" t="s">
        <v>770</v>
      </c>
      <c r="H25" s="93" t="s">
        <v>769</v>
      </c>
      <c r="I25" s="11"/>
      <c r="J25" s="11"/>
      <c r="K25" s="11"/>
      <c r="L25" s="11"/>
      <c r="M25" s="10"/>
      <c r="N25" s="10"/>
      <c r="O25" s="10"/>
      <c r="P25" s="10"/>
      <c r="Q25" s="10"/>
      <c r="R25" s="10"/>
      <c r="S25" s="10"/>
      <c r="T25" s="10"/>
      <c r="U25" s="10"/>
      <c r="V25" s="10"/>
      <c r="W25" s="10"/>
      <c r="X25" s="10"/>
      <c r="Y25" s="10"/>
      <c r="Z25" s="10"/>
      <c r="AA25" s="10"/>
    </row>
    <row r="26" spans="1:27" ht="15" customHeight="1" x14ac:dyDescent="0.2">
      <c r="A26" s="15" t="s">
        <v>242</v>
      </c>
      <c r="B26" s="11" t="s">
        <v>229</v>
      </c>
      <c r="C26" s="11" t="s">
        <v>6</v>
      </c>
      <c r="D26" s="11" t="s">
        <v>6</v>
      </c>
      <c r="E26" s="11" t="s">
        <v>6</v>
      </c>
      <c r="F26" s="11" t="s">
        <v>6</v>
      </c>
      <c r="G26" s="93" t="s">
        <v>786</v>
      </c>
      <c r="H26" s="93" t="s">
        <v>785</v>
      </c>
      <c r="I26" s="11"/>
      <c r="J26" s="11"/>
      <c r="K26" s="11"/>
      <c r="L26" s="11"/>
      <c r="M26" s="10"/>
      <c r="N26" s="10"/>
      <c r="O26" s="10"/>
      <c r="P26" s="10"/>
      <c r="Q26" s="10"/>
      <c r="R26" s="10"/>
      <c r="S26" s="10"/>
      <c r="T26" s="10"/>
      <c r="U26" s="10"/>
      <c r="V26" s="10"/>
      <c r="W26" s="10"/>
      <c r="X26" s="10"/>
      <c r="Y26" s="10"/>
      <c r="Z26" s="10"/>
      <c r="AA26" s="10"/>
    </row>
    <row r="27" spans="1:27" ht="15" customHeight="1" x14ac:dyDescent="0.2">
      <c r="A27" s="15" t="s">
        <v>244</v>
      </c>
      <c r="B27" s="11" t="s">
        <v>229</v>
      </c>
      <c r="C27" s="11" t="s">
        <v>6</v>
      </c>
      <c r="D27" s="11" t="s">
        <v>6</v>
      </c>
      <c r="E27" s="11" t="s">
        <v>6</v>
      </c>
      <c r="F27" s="11" t="s">
        <v>6</v>
      </c>
      <c r="G27" s="93" t="s">
        <v>788</v>
      </c>
      <c r="H27" s="93" t="s">
        <v>787</v>
      </c>
      <c r="I27" s="11"/>
      <c r="J27" s="11"/>
      <c r="K27" s="11"/>
      <c r="L27" s="11"/>
      <c r="M27" s="10"/>
      <c r="N27" s="10"/>
      <c r="O27" s="10"/>
      <c r="P27" s="10"/>
      <c r="Q27" s="10"/>
      <c r="R27" s="10"/>
      <c r="S27" s="10"/>
      <c r="T27" s="10"/>
      <c r="U27" s="10"/>
      <c r="V27" s="10"/>
      <c r="W27" s="10"/>
      <c r="X27" s="10"/>
      <c r="Y27" s="10"/>
      <c r="Z27" s="10"/>
      <c r="AA27" s="10"/>
    </row>
    <row r="28" spans="1:27" ht="15" customHeight="1" x14ac:dyDescent="0.2">
      <c r="A28" s="15" t="s">
        <v>239</v>
      </c>
      <c r="B28" s="11" t="s">
        <v>229</v>
      </c>
      <c r="C28" s="11" t="s">
        <v>6</v>
      </c>
      <c r="D28" s="11" t="s">
        <v>6</v>
      </c>
      <c r="E28" s="11" t="s">
        <v>6</v>
      </c>
      <c r="F28" s="11" t="s">
        <v>6</v>
      </c>
      <c r="G28" s="93" t="s">
        <v>816</v>
      </c>
      <c r="H28" s="93" t="s">
        <v>815</v>
      </c>
      <c r="I28" s="11"/>
      <c r="J28" s="11"/>
      <c r="K28" s="11"/>
      <c r="L28" s="11"/>
      <c r="M28" s="10"/>
      <c r="N28" s="10"/>
      <c r="O28" s="10"/>
      <c r="P28" s="10"/>
      <c r="Q28" s="10"/>
      <c r="R28" s="10"/>
      <c r="S28" s="10"/>
      <c r="T28" s="10"/>
      <c r="U28" s="10"/>
      <c r="V28" s="10"/>
      <c r="W28" s="10"/>
      <c r="X28" s="10"/>
      <c r="Y28" s="10"/>
      <c r="Z28" s="10"/>
      <c r="AA28" s="10"/>
    </row>
    <row r="29" spans="1:27" ht="15" customHeight="1" x14ac:dyDescent="0.2">
      <c r="A29" s="15" t="s">
        <v>241</v>
      </c>
      <c r="B29" s="11" t="s">
        <v>229</v>
      </c>
      <c r="C29" s="11" t="s">
        <v>6</v>
      </c>
      <c r="D29" s="11" t="s">
        <v>6</v>
      </c>
      <c r="E29" s="11" t="s">
        <v>6</v>
      </c>
      <c r="F29" s="11" t="s">
        <v>6</v>
      </c>
      <c r="G29" s="93" t="s">
        <v>818</v>
      </c>
      <c r="H29" s="93" t="s">
        <v>817</v>
      </c>
      <c r="I29" s="11"/>
      <c r="J29" s="11"/>
      <c r="K29" s="11"/>
      <c r="L29" s="11"/>
      <c r="M29" s="10"/>
      <c r="N29" s="10"/>
      <c r="O29" s="10"/>
      <c r="P29" s="10"/>
      <c r="Q29" s="10"/>
      <c r="R29" s="10"/>
      <c r="S29" s="10"/>
      <c r="T29" s="10"/>
      <c r="U29" s="10"/>
      <c r="V29" s="10"/>
      <c r="W29" s="10"/>
      <c r="X29" s="10"/>
      <c r="Y29" s="10"/>
      <c r="Z29" s="10"/>
      <c r="AA29" s="10"/>
    </row>
    <row r="30" spans="1:27" ht="15" customHeight="1" x14ac:dyDescent="0.2">
      <c r="A30" s="15" t="s">
        <v>240</v>
      </c>
      <c r="B30" s="11" t="s">
        <v>229</v>
      </c>
      <c r="C30" s="11" t="s">
        <v>6</v>
      </c>
      <c r="D30" s="11" t="s">
        <v>6</v>
      </c>
      <c r="E30" s="11" t="s">
        <v>4</v>
      </c>
      <c r="F30" s="11" t="s">
        <v>4</v>
      </c>
      <c r="G30" s="93" t="s">
        <v>820</v>
      </c>
      <c r="H30" s="93" t="s">
        <v>819</v>
      </c>
      <c r="I30" s="11"/>
      <c r="J30" s="11"/>
      <c r="K30" s="11"/>
      <c r="L30" s="11"/>
      <c r="M30" s="10"/>
      <c r="N30" s="10"/>
      <c r="O30" s="10"/>
      <c r="P30" s="10"/>
      <c r="Q30" s="10"/>
      <c r="R30" s="10"/>
      <c r="S30" s="10"/>
      <c r="T30" s="10"/>
      <c r="U30" s="10"/>
      <c r="V30" s="10"/>
      <c r="W30" s="10"/>
      <c r="X30" s="10"/>
      <c r="Y30" s="10"/>
      <c r="Z30" s="10"/>
      <c r="AA30" s="10"/>
    </row>
    <row r="31" spans="1:27" ht="15" customHeight="1" x14ac:dyDescent="0.2">
      <c r="A31" s="15" t="s">
        <v>238</v>
      </c>
      <c r="B31" s="11" t="s">
        <v>229</v>
      </c>
      <c r="C31" s="11" t="s">
        <v>6</v>
      </c>
      <c r="D31" s="11" t="s">
        <v>6</v>
      </c>
      <c r="E31" s="11" t="s">
        <v>6</v>
      </c>
      <c r="F31" s="11" t="s">
        <v>6</v>
      </c>
      <c r="G31" s="93" t="s">
        <v>822</v>
      </c>
      <c r="H31" s="93" t="s">
        <v>821</v>
      </c>
      <c r="I31" s="11"/>
      <c r="J31" s="11"/>
      <c r="K31" s="11"/>
      <c r="L31" s="11"/>
      <c r="M31" s="10"/>
      <c r="N31" s="10"/>
      <c r="O31" s="10"/>
      <c r="P31" s="10"/>
      <c r="Q31" s="10"/>
      <c r="R31" s="10"/>
      <c r="S31" s="10"/>
      <c r="T31" s="10"/>
      <c r="U31" s="10"/>
      <c r="V31" s="10"/>
      <c r="W31" s="10"/>
      <c r="X31" s="10"/>
      <c r="Y31" s="10"/>
      <c r="Z31" s="10"/>
      <c r="AA31" s="10"/>
    </row>
    <row r="32" spans="1:27" ht="15" customHeight="1" x14ac:dyDescent="0.2">
      <c r="A32" s="15" t="s">
        <v>232</v>
      </c>
      <c r="B32" s="11" t="s">
        <v>229</v>
      </c>
      <c r="C32" s="11" t="s">
        <v>6</v>
      </c>
      <c r="D32" s="11" t="s">
        <v>6</v>
      </c>
      <c r="E32" s="11" t="s">
        <v>6</v>
      </c>
      <c r="F32" s="11" t="s">
        <v>6</v>
      </c>
      <c r="G32" s="93" t="s">
        <v>824</v>
      </c>
      <c r="H32" s="93" t="s">
        <v>823</v>
      </c>
      <c r="I32" s="11"/>
      <c r="J32" s="11"/>
      <c r="K32" s="11"/>
      <c r="L32" s="11"/>
      <c r="M32" s="10"/>
      <c r="N32" s="10"/>
      <c r="O32" s="10"/>
      <c r="P32" s="10"/>
      <c r="Q32" s="10"/>
      <c r="R32" s="10"/>
      <c r="S32" s="10"/>
      <c r="T32" s="10"/>
      <c r="U32" s="10"/>
      <c r="V32" s="10"/>
      <c r="W32" s="10"/>
      <c r="X32" s="10"/>
      <c r="Y32" s="10"/>
      <c r="Z32" s="10"/>
      <c r="AA32" s="10"/>
    </row>
    <row r="33" spans="1:27" ht="15" customHeight="1" x14ac:dyDescent="0.2">
      <c r="A33" s="15" t="s">
        <v>237</v>
      </c>
      <c r="B33" s="11" t="s">
        <v>229</v>
      </c>
      <c r="C33" s="11" t="s">
        <v>6</v>
      </c>
      <c r="D33" s="11" t="s">
        <v>6</v>
      </c>
      <c r="E33" s="11" t="s">
        <v>6</v>
      </c>
      <c r="F33" s="11" t="s">
        <v>6</v>
      </c>
      <c r="G33" s="93" t="s">
        <v>828</v>
      </c>
      <c r="H33" s="93" t="s">
        <v>827</v>
      </c>
      <c r="I33" s="11"/>
      <c r="J33" s="11"/>
      <c r="K33" s="11"/>
      <c r="L33" s="11"/>
      <c r="M33" s="10"/>
      <c r="N33" s="10"/>
      <c r="O33" s="10"/>
      <c r="P33" s="10"/>
      <c r="Q33" s="10"/>
      <c r="R33" s="10"/>
      <c r="S33" s="10"/>
      <c r="T33" s="10"/>
      <c r="U33" s="10"/>
      <c r="V33" s="10"/>
      <c r="W33" s="10"/>
      <c r="X33" s="10"/>
      <c r="Y33" s="10"/>
      <c r="Z33" s="10"/>
      <c r="AA33" s="10"/>
    </row>
    <row r="34" spans="1:27" ht="15" customHeight="1" x14ac:dyDescent="0.2">
      <c r="A34" s="15" t="s">
        <v>243</v>
      </c>
      <c r="B34" s="11" t="s">
        <v>229</v>
      </c>
      <c r="C34" s="11" t="s">
        <v>6</v>
      </c>
      <c r="D34" s="11" t="s">
        <v>6</v>
      </c>
      <c r="E34" s="11" t="s">
        <v>6</v>
      </c>
      <c r="F34" s="11" t="s">
        <v>6</v>
      </c>
      <c r="G34" s="93" t="s">
        <v>830</v>
      </c>
      <c r="H34" s="93" t="s">
        <v>829</v>
      </c>
      <c r="I34" s="11"/>
      <c r="J34" s="11"/>
      <c r="K34" s="11"/>
      <c r="L34" s="11"/>
      <c r="M34" s="10"/>
      <c r="N34" s="10"/>
      <c r="O34" s="10"/>
      <c r="P34" s="10"/>
      <c r="Q34" s="10"/>
      <c r="R34" s="10"/>
      <c r="S34" s="10"/>
      <c r="T34" s="10"/>
      <c r="U34" s="10"/>
      <c r="V34" s="10"/>
      <c r="W34" s="10"/>
      <c r="X34" s="10"/>
      <c r="Y34" s="10"/>
      <c r="Z34" s="10"/>
      <c r="AA34" s="10"/>
    </row>
    <row r="35" spans="1:27" ht="15" customHeight="1" x14ac:dyDescent="0.2">
      <c r="A35" s="15" t="s">
        <v>246</v>
      </c>
      <c r="B35" s="11" t="s">
        <v>229</v>
      </c>
      <c r="C35" s="11" t="s">
        <v>6</v>
      </c>
      <c r="D35" s="11" t="s">
        <v>6</v>
      </c>
      <c r="E35" s="11" t="s">
        <v>6</v>
      </c>
      <c r="F35" s="11" t="s">
        <v>6</v>
      </c>
      <c r="G35" s="93" t="s">
        <v>842</v>
      </c>
      <c r="H35" s="93" t="s">
        <v>841</v>
      </c>
      <c r="I35" s="11"/>
      <c r="J35" s="11"/>
      <c r="K35" s="11"/>
      <c r="L35" s="11"/>
      <c r="M35" s="10"/>
      <c r="N35" s="10"/>
      <c r="O35" s="10"/>
      <c r="P35" s="10"/>
      <c r="Q35" s="10"/>
      <c r="R35" s="10"/>
      <c r="S35" s="10"/>
      <c r="T35" s="10"/>
      <c r="U35" s="10"/>
      <c r="V35" s="10"/>
      <c r="W35" s="10"/>
      <c r="X35" s="10"/>
      <c r="Y35" s="10"/>
      <c r="Z35" s="10"/>
      <c r="AA35" s="10"/>
    </row>
    <row r="36" spans="1:27" ht="15" customHeight="1" x14ac:dyDescent="0.2">
      <c r="A36" s="15" t="s">
        <v>231</v>
      </c>
      <c r="B36" s="11" t="s">
        <v>229</v>
      </c>
      <c r="C36" s="11" t="s">
        <v>6</v>
      </c>
      <c r="D36" s="11" t="s">
        <v>6</v>
      </c>
      <c r="E36" s="11" t="s">
        <v>6</v>
      </c>
      <c r="F36" s="11" t="s">
        <v>6</v>
      </c>
      <c r="G36" s="93" t="s">
        <v>852</v>
      </c>
      <c r="H36" s="93" t="s">
        <v>851</v>
      </c>
      <c r="I36" s="11"/>
      <c r="J36" s="11"/>
      <c r="K36" s="11"/>
      <c r="L36" s="11"/>
      <c r="M36" s="10"/>
      <c r="N36" s="10"/>
      <c r="O36" s="10"/>
      <c r="P36" s="10"/>
      <c r="Q36" s="10"/>
      <c r="R36" s="10"/>
      <c r="S36" s="10"/>
      <c r="T36" s="10"/>
      <c r="U36" s="10"/>
      <c r="V36" s="10"/>
      <c r="W36" s="10"/>
      <c r="X36" s="10"/>
      <c r="Y36" s="10"/>
      <c r="Z36" s="10"/>
      <c r="AA36" s="10"/>
    </row>
    <row r="37" spans="1:27" ht="15" customHeight="1" x14ac:dyDescent="0.2">
      <c r="A37" s="17" t="s">
        <v>235</v>
      </c>
      <c r="B37" s="12" t="s">
        <v>229</v>
      </c>
      <c r="C37" s="12" t="s">
        <v>6</v>
      </c>
      <c r="D37" s="12" t="s">
        <v>6</v>
      </c>
      <c r="E37" s="12" t="s">
        <v>6</v>
      </c>
      <c r="F37" s="12" t="s">
        <v>6</v>
      </c>
      <c r="G37" s="93" t="s">
        <v>872</v>
      </c>
      <c r="H37" s="93" t="s">
        <v>871</v>
      </c>
      <c r="I37" s="12"/>
      <c r="J37" s="12"/>
      <c r="K37" s="12"/>
      <c r="L37" s="12"/>
      <c r="M37" s="10"/>
      <c r="N37" s="10"/>
      <c r="O37" s="10"/>
      <c r="P37" s="10"/>
      <c r="Q37" s="10"/>
      <c r="R37" s="10"/>
      <c r="S37" s="10"/>
      <c r="T37" s="10"/>
      <c r="U37" s="10"/>
      <c r="V37" s="10"/>
      <c r="W37" s="10"/>
      <c r="X37" s="10"/>
      <c r="Y37" s="10"/>
      <c r="Z37" s="10"/>
      <c r="AA37" s="10"/>
    </row>
    <row r="38" spans="1:27" ht="15" customHeight="1" x14ac:dyDescent="0.2">
      <c r="A38" s="18" t="s">
        <v>252</v>
      </c>
      <c r="B38" s="13" t="s">
        <v>248</v>
      </c>
      <c r="C38" s="13" t="s">
        <v>6</v>
      </c>
      <c r="D38" s="13" t="s">
        <v>4</v>
      </c>
      <c r="E38" s="13" t="s">
        <v>4</v>
      </c>
      <c r="F38" s="13" t="s">
        <v>4</v>
      </c>
      <c r="G38" s="93" t="s">
        <v>718</v>
      </c>
      <c r="H38" s="93" t="s">
        <v>717</v>
      </c>
      <c r="I38" s="13">
        <f t="shared" ref="I38:L38" si="1">COUNTIF(C38:C55,"Y")</f>
        <v>11</v>
      </c>
      <c r="J38" s="13">
        <f t="shared" si="1"/>
        <v>9</v>
      </c>
      <c r="K38" s="13">
        <f t="shared" si="1"/>
        <v>9</v>
      </c>
      <c r="L38" s="13">
        <f t="shared" si="1"/>
        <v>8</v>
      </c>
      <c r="M38" s="10"/>
      <c r="N38" s="10"/>
      <c r="O38" s="10"/>
      <c r="P38" s="10"/>
      <c r="Q38" s="10"/>
      <c r="R38" s="10"/>
      <c r="S38" s="10"/>
      <c r="T38" s="10"/>
      <c r="U38" s="10"/>
      <c r="V38" s="10"/>
      <c r="W38" s="10"/>
      <c r="X38" s="10"/>
      <c r="Y38" s="10"/>
      <c r="Z38" s="10"/>
      <c r="AA38" s="10"/>
    </row>
    <row r="39" spans="1:27" ht="15" customHeight="1" x14ac:dyDescent="0.2">
      <c r="A39" s="15" t="s">
        <v>250</v>
      </c>
      <c r="B39" s="11" t="s">
        <v>248</v>
      </c>
      <c r="C39" s="11" t="s">
        <v>6</v>
      </c>
      <c r="D39" s="11" t="s">
        <v>6</v>
      </c>
      <c r="E39" s="11" t="s">
        <v>6</v>
      </c>
      <c r="F39" s="11" t="s">
        <v>6</v>
      </c>
      <c r="G39" s="93" t="s">
        <v>722</v>
      </c>
      <c r="H39" s="93" t="s">
        <v>721</v>
      </c>
      <c r="I39" s="11"/>
      <c r="J39" s="11"/>
      <c r="K39" s="11"/>
      <c r="L39" s="11"/>
      <c r="M39" s="10"/>
      <c r="N39" s="10"/>
      <c r="O39" s="10"/>
      <c r="P39" s="10"/>
      <c r="Q39" s="10"/>
      <c r="R39" s="10"/>
      <c r="S39" s="10"/>
      <c r="T39" s="10"/>
      <c r="U39" s="10"/>
      <c r="V39" s="10"/>
      <c r="W39" s="10"/>
      <c r="X39" s="10"/>
      <c r="Y39" s="10"/>
      <c r="Z39" s="10"/>
      <c r="AA39" s="10"/>
    </row>
    <row r="40" spans="1:27" x14ac:dyDescent="0.2">
      <c r="A40" s="15" t="s">
        <v>262</v>
      </c>
      <c r="B40" s="11" t="s">
        <v>248</v>
      </c>
      <c r="C40" s="11" t="s">
        <v>4</v>
      </c>
      <c r="D40" s="11" t="s">
        <v>4</v>
      </c>
      <c r="E40" s="11" t="s">
        <v>4</v>
      </c>
      <c r="F40" s="11" t="s">
        <v>4</v>
      </c>
      <c r="G40" s="93" t="s">
        <v>736</v>
      </c>
      <c r="H40" s="93" t="s">
        <v>735</v>
      </c>
      <c r="I40" s="11"/>
      <c r="J40" s="11"/>
      <c r="K40" s="11"/>
      <c r="L40" s="11"/>
      <c r="M40" s="10"/>
      <c r="N40" s="10"/>
      <c r="O40" s="10"/>
      <c r="P40" s="10"/>
      <c r="Q40" s="10"/>
      <c r="R40" s="10"/>
      <c r="S40" s="10"/>
      <c r="T40" s="10"/>
      <c r="U40" s="10"/>
      <c r="V40" s="10"/>
      <c r="W40" s="10"/>
      <c r="X40" s="10"/>
      <c r="Y40" s="10"/>
      <c r="Z40" s="10"/>
      <c r="AA40" s="10"/>
    </row>
    <row r="41" spans="1:27" x14ac:dyDescent="0.2">
      <c r="A41" s="15" t="s">
        <v>264</v>
      </c>
      <c r="B41" s="11" t="s">
        <v>248</v>
      </c>
      <c r="C41" s="11" t="s">
        <v>6</v>
      </c>
      <c r="D41" s="11" t="s">
        <v>6</v>
      </c>
      <c r="E41" s="11" t="s">
        <v>6</v>
      </c>
      <c r="F41" s="11" t="s">
        <v>4</v>
      </c>
      <c r="G41" s="93" t="s">
        <v>748</v>
      </c>
      <c r="H41" s="93" t="s">
        <v>747</v>
      </c>
      <c r="I41" s="11"/>
      <c r="J41" s="11"/>
      <c r="K41" s="11"/>
      <c r="L41" s="11"/>
      <c r="M41" s="10"/>
      <c r="N41" s="10"/>
      <c r="O41" s="10"/>
      <c r="P41" s="10"/>
      <c r="Q41" s="10"/>
      <c r="R41" s="10"/>
      <c r="S41" s="10"/>
      <c r="T41" s="10"/>
      <c r="U41" s="10"/>
      <c r="V41" s="10"/>
      <c r="W41" s="10"/>
      <c r="X41" s="10"/>
      <c r="Y41" s="10"/>
      <c r="Z41" s="10"/>
      <c r="AA41" s="10"/>
    </row>
    <row r="42" spans="1:27" x14ac:dyDescent="0.2">
      <c r="A42" s="15" t="s">
        <v>259</v>
      </c>
      <c r="B42" s="11" t="s">
        <v>248</v>
      </c>
      <c r="C42" s="11" t="s">
        <v>4</v>
      </c>
      <c r="D42" s="11" t="s">
        <v>4</v>
      </c>
      <c r="E42" s="11" t="s">
        <v>4</v>
      </c>
      <c r="F42" s="11" t="s">
        <v>4</v>
      </c>
      <c r="G42" s="93" t="s">
        <v>754</v>
      </c>
      <c r="H42" s="93" t="s">
        <v>753</v>
      </c>
      <c r="I42" s="11"/>
      <c r="J42" s="11"/>
      <c r="K42" s="11"/>
      <c r="L42" s="11"/>
      <c r="M42" s="10"/>
      <c r="N42" s="10"/>
      <c r="O42" s="10"/>
      <c r="P42" s="10"/>
      <c r="Q42" s="10"/>
      <c r="R42" s="10"/>
      <c r="S42" s="10"/>
      <c r="T42" s="10"/>
      <c r="U42" s="10"/>
      <c r="V42" s="10"/>
      <c r="W42" s="10"/>
      <c r="X42" s="10"/>
      <c r="Y42" s="10"/>
      <c r="Z42" s="10"/>
      <c r="AA42" s="10"/>
    </row>
    <row r="43" spans="1:27" x14ac:dyDescent="0.2">
      <c r="A43" s="15" t="s">
        <v>249</v>
      </c>
      <c r="B43" s="11" t="s">
        <v>248</v>
      </c>
      <c r="C43" s="11" t="s">
        <v>4</v>
      </c>
      <c r="D43" s="11" t="s">
        <v>4</v>
      </c>
      <c r="E43" s="11" t="s">
        <v>4</v>
      </c>
      <c r="F43" s="11" t="s">
        <v>4</v>
      </c>
      <c r="G43" s="93" t="s">
        <v>756</v>
      </c>
      <c r="H43" s="93" t="s">
        <v>755</v>
      </c>
      <c r="I43" s="11"/>
      <c r="J43" s="11"/>
      <c r="K43" s="11"/>
      <c r="L43" s="11"/>
      <c r="M43" s="10"/>
      <c r="N43" s="10"/>
      <c r="O43" s="10"/>
      <c r="P43" s="10"/>
      <c r="Q43" s="10"/>
      <c r="R43" s="10"/>
      <c r="S43" s="10"/>
      <c r="T43" s="10"/>
      <c r="U43" s="10"/>
      <c r="V43" s="10"/>
      <c r="W43" s="10"/>
      <c r="X43" s="10"/>
      <c r="Y43" s="10"/>
      <c r="Z43" s="10"/>
      <c r="AA43" s="10"/>
    </row>
    <row r="44" spans="1:27" x14ac:dyDescent="0.2">
      <c r="A44" s="15" t="s">
        <v>261</v>
      </c>
      <c r="B44" s="11" t="s">
        <v>248</v>
      </c>
      <c r="C44" s="11" t="s">
        <v>6</v>
      </c>
      <c r="D44" s="11" t="s">
        <v>6</v>
      </c>
      <c r="E44" s="11" t="s">
        <v>6</v>
      </c>
      <c r="F44" s="11" t="s">
        <v>6</v>
      </c>
      <c r="G44" s="93" t="s">
        <v>758</v>
      </c>
      <c r="H44" s="93" t="s">
        <v>757</v>
      </c>
      <c r="I44" s="11"/>
      <c r="J44" s="11"/>
      <c r="K44" s="11"/>
      <c r="L44" s="11"/>
      <c r="M44" s="10"/>
      <c r="N44" s="10"/>
      <c r="O44" s="10"/>
      <c r="P44" s="10"/>
      <c r="Q44" s="10"/>
      <c r="R44" s="10"/>
      <c r="S44" s="10"/>
      <c r="T44" s="10"/>
      <c r="U44" s="10"/>
      <c r="V44" s="10"/>
      <c r="W44" s="10"/>
      <c r="X44" s="10"/>
      <c r="Y44" s="10"/>
      <c r="Z44" s="10"/>
      <c r="AA44" s="10"/>
    </row>
    <row r="45" spans="1:27" x14ac:dyDescent="0.2">
      <c r="A45" s="15" t="s">
        <v>255</v>
      </c>
      <c r="B45" s="11" t="s">
        <v>248</v>
      </c>
      <c r="C45" s="11" t="s">
        <v>4</v>
      </c>
      <c r="D45" s="11" t="s">
        <v>4</v>
      </c>
      <c r="E45" s="11" t="s">
        <v>4</v>
      </c>
      <c r="F45" s="11" t="s">
        <v>4</v>
      </c>
      <c r="G45" s="93" t="s">
        <v>772</v>
      </c>
      <c r="H45" s="93" t="s">
        <v>771</v>
      </c>
      <c r="I45" s="11"/>
      <c r="J45" s="11"/>
      <c r="K45" s="11"/>
      <c r="L45" s="11"/>
      <c r="M45" s="10"/>
      <c r="N45" s="10"/>
      <c r="O45" s="10"/>
      <c r="P45" s="10"/>
      <c r="Q45" s="10"/>
      <c r="R45" s="10"/>
      <c r="S45" s="10"/>
      <c r="T45" s="10"/>
      <c r="U45" s="10"/>
      <c r="V45" s="10"/>
      <c r="W45" s="10"/>
      <c r="X45" s="10"/>
      <c r="Y45" s="10"/>
      <c r="Z45" s="10"/>
      <c r="AA45" s="10"/>
    </row>
    <row r="46" spans="1:27" x14ac:dyDescent="0.2">
      <c r="A46" s="15" t="s">
        <v>256</v>
      </c>
      <c r="B46" s="11" t="s">
        <v>248</v>
      </c>
      <c r="C46" s="11" t="s">
        <v>4</v>
      </c>
      <c r="D46" s="11" t="s">
        <v>4</v>
      </c>
      <c r="E46" s="11" t="s">
        <v>4</v>
      </c>
      <c r="F46" s="11" t="s">
        <v>4</v>
      </c>
      <c r="G46" s="93" t="s">
        <v>780</v>
      </c>
      <c r="H46" s="93" t="s">
        <v>779</v>
      </c>
      <c r="I46" s="11"/>
      <c r="J46" s="11"/>
      <c r="K46" s="11"/>
      <c r="L46" s="11"/>
      <c r="M46" s="10"/>
      <c r="N46" s="10"/>
      <c r="O46" s="10"/>
      <c r="P46" s="10"/>
      <c r="Q46" s="10"/>
      <c r="R46" s="10"/>
      <c r="S46" s="10"/>
      <c r="T46" s="10"/>
      <c r="U46" s="10"/>
      <c r="V46" s="10"/>
      <c r="W46" s="10"/>
      <c r="X46" s="10"/>
      <c r="Y46" s="10"/>
      <c r="Z46" s="10"/>
      <c r="AA46" s="10"/>
    </row>
    <row r="47" spans="1:27" x14ac:dyDescent="0.2">
      <c r="A47" s="15" t="s">
        <v>263</v>
      </c>
      <c r="B47" s="11" t="s">
        <v>248</v>
      </c>
      <c r="C47" s="11" t="s">
        <v>6</v>
      </c>
      <c r="D47" s="11" t="s">
        <v>6</v>
      </c>
      <c r="E47" s="11" t="s">
        <v>6</v>
      </c>
      <c r="F47" s="11" t="s">
        <v>6</v>
      </c>
      <c r="G47" s="93" t="s">
        <v>798</v>
      </c>
      <c r="H47" s="93" t="s">
        <v>797</v>
      </c>
      <c r="I47" s="11"/>
      <c r="J47" s="11"/>
      <c r="K47" s="11"/>
      <c r="L47" s="11"/>
      <c r="M47" s="10"/>
      <c r="N47" s="10"/>
      <c r="O47" s="10"/>
      <c r="P47" s="10"/>
      <c r="Q47" s="10"/>
      <c r="R47" s="10"/>
      <c r="S47" s="10"/>
      <c r="T47" s="10"/>
      <c r="U47" s="10"/>
      <c r="V47" s="10"/>
      <c r="W47" s="10"/>
      <c r="X47" s="10"/>
      <c r="Y47" s="10"/>
      <c r="Z47" s="10"/>
      <c r="AA47" s="10"/>
    </row>
    <row r="48" spans="1:27" x14ac:dyDescent="0.2">
      <c r="A48" s="15" t="s">
        <v>251</v>
      </c>
      <c r="B48" s="11" t="s">
        <v>248</v>
      </c>
      <c r="C48" s="11" t="s">
        <v>6</v>
      </c>
      <c r="D48" s="11" t="s">
        <v>6</v>
      </c>
      <c r="E48" s="11" t="s">
        <v>6</v>
      </c>
      <c r="F48" s="11" t="s">
        <v>6</v>
      </c>
      <c r="G48" s="93" t="s">
        <v>800</v>
      </c>
      <c r="H48" s="93" t="s">
        <v>799</v>
      </c>
      <c r="I48" s="11"/>
      <c r="J48" s="11"/>
      <c r="K48" s="11"/>
      <c r="L48" s="11"/>
      <c r="M48" s="10"/>
      <c r="N48" s="10"/>
      <c r="O48" s="10"/>
      <c r="P48" s="10"/>
      <c r="Q48" s="10"/>
      <c r="R48" s="10"/>
      <c r="S48" s="10"/>
      <c r="T48" s="10"/>
      <c r="U48" s="10"/>
      <c r="V48" s="10"/>
      <c r="W48" s="10"/>
      <c r="X48" s="10"/>
      <c r="Y48" s="10"/>
      <c r="Z48" s="10"/>
      <c r="AA48" s="10"/>
    </row>
    <row r="49" spans="1:27" x14ac:dyDescent="0.2">
      <c r="A49" s="15" t="s">
        <v>247</v>
      </c>
      <c r="B49" s="11" t="s">
        <v>248</v>
      </c>
      <c r="C49" s="11" t="s">
        <v>6</v>
      </c>
      <c r="D49" s="11" t="s">
        <v>6</v>
      </c>
      <c r="E49" s="11" t="s">
        <v>6</v>
      </c>
      <c r="F49" s="11" t="s">
        <v>6</v>
      </c>
      <c r="G49" s="93" t="s">
        <v>804</v>
      </c>
      <c r="H49" s="93" t="s">
        <v>803</v>
      </c>
      <c r="I49" s="11"/>
      <c r="J49" s="11"/>
      <c r="K49" s="11"/>
      <c r="L49" s="11"/>
      <c r="M49" s="10"/>
      <c r="N49" s="10"/>
      <c r="O49" s="10"/>
      <c r="P49" s="10"/>
      <c r="Q49" s="10"/>
      <c r="R49" s="10"/>
      <c r="S49" s="10"/>
      <c r="T49" s="10"/>
      <c r="U49" s="10"/>
      <c r="V49" s="10"/>
      <c r="W49" s="10"/>
      <c r="X49" s="10"/>
      <c r="Y49" s="10"/>
      <c r="Z49" s="10"/>
      <c r="AA49" s="10"/>
    </row>
    <row r="50" spans="1:27" x14ac:dyDescent="0.2">
      <c r="A50" s="15" t="s">
        <v>265</v>
      </c>
      <c r="B50" s="11" t="s">
        <v>248</v>
      </c>
      <c r="C50" s="11" t="s">
        <v>6</v>
      </c>
      <c r="D50" s="11" t="s">
        <v>6</v>
      </c>
      <c r="E50" s="11" t="s">
        <v>6</v>
      </c>
      <c r="F50" s="11" t="s">
        <v>6</v>
      </c>
      <c r="G50" s="93" t="s">
        <v>808</v>
      </c>
      <c r="H50" s="93" t="s">
        <v>807</v>
      </c>
      <c r="I50" s="11"/>
      <c r="J50" s="11"/>
      <c r="K50" s="11"/>
      <c r="L50" s="11"/>
      <c r="M50" s="10"/>
      <c r="N50" s="10"/>
      <c r="O50" s="10"/>
      <c r="P50" s="10"/>
      <c r="Q50" s="10"/>
      <c r="R50" s="10"/>
      <c r="S50" s="10"/>
      <c r="T50" s="10"/>
      <c r="U50" s="10"/>
      <c r="V50" s="10"/>
      <c r="W50" s="10"/>
      <c r="X50" s="10"/>
      <c r="Y50" s="10"/>
      <c r="Z50" s="10"/>
      <c r="AA50" s="10"/>
    </row>
    <row r="51" spans="1:27" x14ac:dyDescent="0.2">
      <c r="A51" s="15" t="s">
        <v>260</v>
      </c>
      <c r="B51" s="11" t="s">
        <v>248</v>
      </c>
      <c r="C51" s="11" t="s">
        <v>4</v>
      </c>
      <c r="D51" s="11" t="s">
        <v>4</v>
      </c>
      <c r="E51" s="11" t="s">
        <v>4</v>
      </c>
      <c r="F51" s="11" t="s">
        <v>4</v>
      </c>
      <c r="G51" s="93" t="s">
        <v>810</v>
      </c>
      <c r="H51" s="93" t="s">
        <v>809</v>
      </c>
      <c r="I51" s="11"/>
      <c r="J51" s="11"/>
      <c r="K51" s="11"/>
      <c r="L51" s="11"/>
      <c r="M51" s="10"/>
      <c r="N51" s="10"/>
      <c r="O51" s="10"/>
      <c r="P51" s="10"/>
      <c r="Q51" s="10"/>
      <c r="R51" s="10"/>
      <c r="S51" s="10"/>
      <c r="T51" s="10"/>
      <c r="U51" s="10"/>
      <c r="V51" s="10"/>
      <c r="W51" s="10"/>
      <c r="X51" s="10"/>
      <c r="Y51" s="10"/>
      <c r="Z51" s="10"/>
      <c r="AA51" s="10"/>
    </row>
    <row r="52" spans="1:27" x14ac:dyDescent="0.2">
      <c r="A52" s="15" t="s">
        <v>257</v>
      </c>
      <c r="B52" s="11" t="s">
        <v>248</v>
      </c>
      <c r="C52" s="11" t="s">
        <v>4</v>
      </c>
      <c r="D52" s="11" t="s">
        <v>4</v>
      </c>
      <c r="E52" s="11" t="s">
        <v>4</v>
      </c>
      <c r="F52" s="11" t="s">
        <v>4</v>
      </c>
      <c r="G52" s="93" t="s">
        <v>814</v>
      </c>
      <c r="H52" s="93" t="s">
        <v>813</v>
      </c>
      <c r="I52" s="11"/>
      <c r="J52" s="11"/>
      <c r="K52" s="11"/>
      <c r="L52" s="11"/>
      <c r="M52" s="10"/>
      <c r="N52" s="10"/>
      <c r="O52" s="10"/>
      <c r="P52" s="10"/>
      <c r="Q52" s="10"/>
      <c r="R52" s="10"/>
      <c r="S52" s="10"/>
      <c r="T52" s="10"/>
      <c r="U52" s="10"/>
      <c r="V52" s="10"/>
      <c r="W52" s="10"/>
      <c r="X52" s="10"/>
      <c r="Y52" s="10"/>
      <c r="Z52" s="10"/>
      <c r="AA52" s="10"/>
    </row>
    <row r="53" spans="1:27" x14ac:dyDescent="0.2">
      <c r="A53" s="15" t="s">
        <v>254</v>
      </c>
      <c r="B53" s="11" t="s">
        <v>248</v>
      </c>
      <c r="C53" s="11" t="s">
        <v>6</v>
      </c>
      <c r="D53" s="11" t="s">
        <v>4</v>
      </c>
      <c r="E53" s="11" t="s">
        <v>4</v>
      </c>
      <c r="F53" s="11" t="s">
        <v>4</v>
      </c>
      <c r="G53" s="93" t="s">
        <v>832</v>
      </c>
      <c r="H53" s="93" t="s">
        <v>831</v>
      </c>
      <c r="I53" s="11"/>
      <c r="J53" s="11"/>
      <c r="K53" s="11"/>
      <c r="L53" s="11"/>
      <c r="M53" s="10"/>
      <c r="N53" s="10"/>
      <c r="O53" s="10"/>
      <c r="P53" s="10"/>
      <c r="Q53" s="10"/>
      <c r="R53" s="10"/>
      <c r="S53" s="10"/>
      <c r="T53" s="10"/>
      <c r="U53" s="10"/>
      <c r="V53" s="10"/>
      <c r="W53" s="10"/>
      <c r="X53" s="10"/>
      <c r="Y53" s="10"/>
      <c r="Z53" s="10"/>
      <c r="AA53" s="10"/>
    </row>
    <row r="54" spans="1:27" x14ac:dyDescent="0.2">
      <c r="A54" s="15" t="s">
        <v>253</v>
      </c>
      <c r="B54" s="11" t="s">
        <v>248</v>
      </c>
      <c r="C54" s="11" t="s">
        <v>6</v>
      </c>
      <c r="D54" s="11" t="s">
        <v>6</v>
      </c>
      <c r="E54" s="11" t="s">
        <v>6</v>
      </c>
      <c r="F54" s="11" t="s">
        <v>6</v>
      </c>
      <c r="G54" s="93" t="s">
        <v>876</v>
      </c>
      <c r="H54" s="93" t="s">
        <v>875</v>
      </c>
      <c r="I54" s="11"/>
      <c r="J54" s="11"/>
      <c r="K54" s="11"/>
      <c r="L54" s="11"/>
      <c r="M54" s="10"/>
      <c r="N54" s="10"/>
      <c r="O54" s="10"/>
      <c r="P54" s="10"/>
      <c r="Q54" s="10"/>
      <c r="R54" s="10"/>
      <c r="S54" s="10"/>
      <c r="T54" s="10"/>
      <c r="U54" s="10"/>
      <c r="V54" s="10"/>
      <c r="W54" s="10"/>
      <c r="X54" s="10"/>
      <c r="Y54" s="10"/>
      <c r="Z54" s="10"/>
      <c r="AA54" s="10"/>
    </row>
    <row r="55" spans="1:27" x14ac:dyDescent="0.2">
      <c r="A55" s="17" t="s">
        <v>258</v>
      </c>
      <c r="B55" s="12" t="s">
        <v>248</v>
      </c>
      <c r="C55" s="12" t="s">
        <v>6</v>
      </c>
      <c r="D55" s="12" t="s">
        <v>6</v>
      </c>
      <c r="E55" s="12" t="s">
        <v>6</v>
      </c>
      <c r="F55" s="12" t="s">
        <v>6</v>
      </c>
      <c r="G55" s="93" t="s">
        <v>898</v>
      </c>
      <c r="H55" s="93" t="s">
        <v>897</v>
      </c>
      <c r="I55" s="12"/>
      <c r="J55" s="12"/>
      <c r="K55" s="12"/>
      <c r="L55" s="12"/>
      <c r="M55" s="10"/>
      <c r="N55" s="10"/>
      <c r="O55" s="10"/>
      <c r="P55" s="10"/>
      <c r="Q55" s="10"/>
      <c r="R55" s="10"/>
      <c r="S55" s="10"/>
      <c r="T55" s="10"/>
      <c r="U55" s="10"/>
      <c r="V55" s="10"/>
      <c r="W55" s="10"/>
      <c r="X55" s="10"/>
      <c r="Y55" s="10"/>
      <c r="Z55" s="10"/>
      <c r="AA55" s="10"/>
    </row>
    <row r="56" spans="1:27" x14ac:dyDescent="0.2">
      <c r="A56" s="18" t="s">
        <v>270</v>
      </c>
      <c r="B56" s="13" t="s">
        <v>267</v>
      </c>
      <c r="C56" s="13" t="s">
        <v>4</v>
      </c>
      <c r="D56" s="13" t="s">
        <v>4</v>
      </c>
      <c r="E56" s="13" t="s">
        <v>4</v>
      </c>
      <c r="F56" s="13" t="s">
        <v>4</v>
      </c>
      <c r="G56" s="93" t="s">
        <v>724</v>
      </c>
      <c r="H56" s="93" t="s">
        <v>723</v>
      </c>
      <c r="I56" s="13">
        <f t="shared" ref="I56:L56" si="2">COUNTIF(C56:C73,"Y")</f>
        <v>16</v>
      </c>
      <c r="J56" s="13">
        <f t="shared" si="2"/>
        <v>16</v>
      </c>
      <c r="K56" s="13">
        <f t="shared" si="2"/>
        <v>16</v>
      </c>
      <c r="L56" s="13">
        <f t="shared" si="2"/>
        <v>13</v>
      </c>
      <c r="M56" s="10"/>
      <c r="N56" s="10"/>
      <c r="O56" s="10"/>
      <c r="P56" s="10"/>
      <c r="Q56" s="10"/>
      <c r="R56" s="10"/>
      <c r="S56" s="10"/>
      <c r="T56" s="10"/>
      <c r="U56" s="10"/>
      <c r="V56" s="10"/>
      <c r="W56" s="10"/>
      <c r="X56" s="10"/>
      <c r="Y56" s="10"/>
      <c r="Z56" s="10"/>
      <c r="AA56" s="10"/>
    </row>
    <row r="57" spans="1:27" x14ac:dyDescent="0.2">
      <c r="A57" s="15" t="s">
        <v>277</v>
      </c>
      <c r="B57" s="11" t="s">
        <v>267</v>
      </c>
      <c r="C57" s="11" t="s">
        <v>6</v>
      </c>
      <c r="D57" s="11" t="s">
        <v>6</v>
      </c>
      <c r="E57" s="11" t="s">
        <v>6</v>
      </c>
      <c r="F57" s="11" t="s">
        <v>6</v>
      </c>
      <c r="G57" s="93" t="s">
        <v>742</v>
      </c>
      <c r="H57" s="93" t="s">
        <v>741</v>
      </c>
      <c r="I57" s="11"/>
      <c r="J57" s="11"/>
      <c r="K57" s="11"/>
      <c r="L57" s="11"/>
      <c r="M57" s="10"/>
      <c r="N57" s="10"/>
      <c r="O57" s="10"/>
      <c r="P57" s="10"/>
      <c r="Q57" s="10"/>
      <c r="R57" s="10"/>
      <c r="S57" s="10"/>
      <c r="T57" s="10"/>
      <c r="U57" s="10"/>
      <c r="V57" s="10"/>
      <c r="W57" s="10"/>
      <c r="X57" s="10"/>
      <c r="Y57" s="10"/>
      <c r="Z57" s="10"/>
      <c r="AA57" s="10"/>
    </row>
    <row r="58" spans="1:27" x14ac:dyDescent="0.2">
      <c r="A58" s="15" t="s">
        <v>266</v>
      </c>
      <c r="B58" s="11" t="s">
        <v>267</v>
      </c>
      <c r="C58" s="11" t="s">
        <v>6</v>
      </c>
      <c r="D58" s="11" t="s">
        <v>6</v>
      </c>
      <c r="E58" s="11" t="s">
        <v>6</v>
      </c>
      <c r="F58" s="11" t="s">
        <v>6</v>
      </c>
      <c r="G58" s="93" t="s">
        <v>752</v>
      </c>
      <c r="H58" s="93" t="s">
        <v>751</v>
      </c>
      <c r="I58" s="11"/>
      <c r="J58" s="11"/>
      <c r="K58" s="11"/>
      <c r="L58" s="11"/>
      <c r="M58" s="10"/>
      <c r="N58" s="10"/>
      <c r="O58" s="10"/>
      <c r="P58" s="10"/>
      <c r="Q58" s="10"/>
      <c r="R58" s="10"/>
      <c r="S58" s="10"/>
      <c r="T58" s="10"/>
      <c r="U58" s="10"/>
      <c r="V58" s="10"/>
      <c r="W58" s="10"/>
      <c r="X58" s="10"/>
      <c r="Y58" s="10"/>
      <c r="Z58" s="10"/>
      <c r="AA58" s="10"/>
    </row>
    <row r="59" spans="1:27" x14ac:dyDescent="0.2">
      <c r="A59" s="15" t="s">
        <v>279</v>
      </c>
      <c r="B59" s="11" t="s">
        <v>267</v>
      </c>
      <c r="C59" s="11" t="s">
        <v>6</v>
      </c>
      <c r="D59" s="11" t="s">
        <v>6</v>
      </c>
      <c r="E59" s="11" t="s">
        <v>6</v>
      </c>
      <c r="F59" s="11" t="s">
        <v>4</v>
      </c>
      <c r="G59" s="93" t="s">
        <v>760</v>
      </c>
      <c r="H59" s="93" t="s">
        <v>759</v>
      </c>
      <c r="I59" s="11"/>
      <c r="J59" s="11"/>
      <c r="K59" s="11"/>
      <c r="L59" s="11"/>
      <c r="M59" s="10"/>
      <c r="N59" s="10"/>
      <c r="O59" s="10"/>
      <c r="P59" s="10"/>
      <c r="Q59" s="10"/>
      <c r="R59" s="10"/>
      <c r="S59" s="10"/>
      <c r="T59" s="10"/>
      <c r="U59" s="10"/>
      <c r="V59" s="10"/>
      <c r="W59" s="10"/>
      <c r="X59" s="10"/>
      <c r="Y59" s="10"/>
      <c r="Z59" s="10"/>
      <c r="AA59" s="10"/>
    </row>
    <row r="60" spans="1:27" x14ac:dyDescent="0.2">
      <c r="A60" s="15" t="s">
        <v>276</v>
      </c>
      <c r="B60" s="11" t="s">
        <v>267</v>
      </c>
      <c r="C60" s="11" t="s">
        <v>6</v>
      </c>
      <c r="D60" s="11" t="s">
        <v>6</v>
      </c>
      <c r="E60" s="11" t="s">
        <v>6</v>
      </c>
      <c r="F60" s="11" t="s">
        <v>6</v>
      </c>
      <c r="G60" s="93" t="s">
        <v>774</v>
      </c>
      <c r="H60" s="93" t="s">
        <v>773</v>
      </c>
      <c r="I60" s="11"/>
      <c r="J60" s="11"/>
      <c r="K60" s="11"/>
      <c r="L60" s="11"/>
      <c r="M60" s="10"/>
      <c r="N60" s="10"/>
      <c r="O60" s="10"/>
      <c r="P60" s="10"/>
      <c r="Q60" s="10"/>
      <c r="R60" s="10"/>
      <c r="S60" s="10"/>
      <c r="T60" s="10"/>
      <c r="U60" s="10"/>
      <c r="V60" s="10"/>
      <c r="W60" s="10"/>
      <c r="X60" s="10"/>
      <c r="Y60" s="10"/>
      <c r="Z60" s="10"/>
      <c r="AA60" s="10"/>
    </row>
    <row r="61" spans="1:27" x14ac:dyDescent="0.2">
      <c r="A61" s="15" t="s">
        <v>275</v>
      </c>
      <c r="B61" s="11" t="s">
        <v>267</v>
      </c>
      <c r="C61" s="11" t="s">
        <v>6</v>
      </c>
      <c r="D61" s="11" t="s">
        <v>6</v>
      </c>
      <c r="E61" s="11" t="s">
        <v>6</v>
      </c>
      <c r="F61" s="11" t="s">
        <v>4</v>
      </c>
      <c r="G61" s="93" t="s">
        <v>776</v>
      </c>
      <c r="H61" s="93" t="s">
        <v>775</v>
      </c>
      <c r="I61" s="11"/>
      <c r="J61" s="11"/>
      <c r="K61" s="11"/>
      <c r="L61" s="11"/>
      <c r="M61" s="10"/>
      <c r="N61" s="10"/>
      <c r="O61" s="10"/>
      <c r="P61" s="10"/>
      <c r="Q61" s="10"/>
      <c r="R61" s="10"/>
      <c r="S61" s="10"/>
      <c r="T61" s="10"/>
      <c r="U61" s="10"/>
      <c r="V61" s="10"/>
      <c r="W61" s="10"/>
      <c r="X61" s="10"/>
      <c r="Y61" s="10"/>
      <c r="Z61" s="10"/>
      <c r="AA61" s="10"/>
    </row>
    <row r="62" spans="1:27" x14ac:dyDescent="0.2">
      <c r="A62" s="15" t="s">
        <v>271</v>
      </c>
      <c r="B62" s="11" t="s">
        <v>267</v>
      </c>
      <c r="C62" s="11" t="s">
        <v>6</v>
      </c>
      <c r="D62" s="11" t="s">
        <v>6</v>
      </c>
      <c r="E62" s="11" t="s">
        <v>6</v>
      </c>
      <c r="F62" s="11" t="s">
        <v>6</v>
      </c>
      <c r="G62" s="93" t="s">
        <v>778</v>
      </c>
      <c r="H62" s="93" t="s">
        <v>777</v>
      </c>
      <c r="I62" s="11"/>
      <c r="J62" s="11"/>
      <c r="K62" s="11"/>
      <c r="L62" s="11"/>
      <c r="M62" s="10"/>
      <c r="N62" s="10"/>
      <c r="O62" s="10"/>
      <c r="P62" s="10"/>
      <c r="Q62" s="10"/>
      <c r="R62" s="10"/>
      <c r="S62" s="10"/>
      <c r="T62" s="10"/>
      <c r="U62" s="10"/>
      <c r="V62" s="10"/>
      <c r="W62" s="10"/>
      <c r="X62" s="10"/>
      <c r="Y62" s="10"/>
      <c r="Z62" s="10"/>
      <c r="AA62" s="10"/>
    </row>
    <row r="63" spans="1:27" x14ac:dyDescent="0.2">
      <c r="A63" s="15" t="s">
        <v>274</v>
      </c>
      <c r="B63" s="11" t="s">
        <v>267</v>
      </c>
      <c r="C63" s="11" t="s">
        <v>6</v>
      </c>
      <c r="D63" s="11" t="s">
        <v>6</v>
      </c>
      <c r="E63" s="11" t="s">
        <v>6</v>
      </c>
      <c r="F63" s="11" t="s">
        <v>6</v>
      </c>
      <c r="G63" s="93" t="s">
        <v>782</v>
      </c>
      <c r="H63" s="93" t="s">
        <v>781</v>
      </c>
      <c r="I63" s="11"/>
      <c r="J63" s="11"/>
      <c r="K63" s="11"/>
      <c r="L63" s="11"/>
      <c r="M63" s="10"/>
      <c r="N63" s="10"/>
      <c r="O63" s="10"/>
      <c r="P63" s="10"/>
      <c r="Q63" s="10"/>
      <c r="R63" s="10"/>
      <c r="S63" s="10"/>
      <c r="T63" s="10"/>
      <c r="U63" s="10"/>
      <c r="V63" s="10"/>
      <c r="W63" s="10"/>
      <c r="X63" s="10"/>
      <c r="Y63" s="10"/>
      <c r="Z63" s="10"/>
      <c r="AA63" s="10"/>
    </row>
    <row r="64" spans="1:27" x14ac:dyDescent="0.2">
      <c r="A64" s="15" t="s">
        <v>284</v>
      </c>
      <c r="B64" s="11" t="s">
        <v>267</v>
      </c>
      <c r="C64" s="11" t="s">
        <v>6</v>
      </c>
      <c r="D64" s="11" t="s">
        <v>6</v>
      </c>
      <c r="E64" s="11" t="s">
        <v>6</v>
      </c>
      <c r="F64" s="11" t="s">
        <v>6</v>
      </c>
      <c r="G64" s="93" t="s">
        <v>796</v>
      </c>
      <c r="H64" s="93" t="s">
        <v>795</v>
      </c>
      <c r="I64" s="11"/>
      <c r="J64" s="11"/>
      <c r="K64" s="11"/>
      <c r="L64" s="11"/>
      <c r="M64" s="10"/>
      <c r="N64" s="10"/>
      <c r="O64" s="10"/>
      <c r="P64" s="10"/>
      <c r="Q64" s="10"/>
      <c r="R64" s="10"/>
      <c r="S64" s="10"/>
      <c r="T64" s="10"/>
      <c r="U64" s="10"/>
      <c r="V64" s="10"/>
      <c r="W64" s="10"/>
      <c r="X64" s="10"/>
      <c r="Y64" s="10"/>
      <c r="Z64" s="10"/>
      <c r="AA64" s="10"/>
    </row>
    <row r="65" spans="1:27" x14ac:dyDescent="0.2">
      <c r="A65" s="15" t="s">
        <v>273</v>
      </c>
      <c r="B65" s="11" t="s">
        <v>267</v>
      </c>
      <c r="C65" s="11" t="s">
        <v>6</v>
      </c>
      <c r="D65" s="11" t="s">
        <v>6</v>
      </c>
      <c r="E65" s="11" t="s">
        <v>6</v>
      </c>
      <c r="F65" s="11" t="s">
        <v>6</v>
      </c>
      <c r="G65" s="93" t="s">
        <v>802</v>
      </c>
      <c r="H65" s="93" t="s">
        <v>801</v>
      </c>
      <c r="I65" s="11"/>
      <c r="J65" s="11"/>
      <c r="K65" s="11"/>
      <c r="L65" s="11"/>
      <c r="M65" s="10"/>
      <c r="N65" s="10"/>
      <c r="O65" s="10"/>
      <c r="P65" s="10"/>
      <c r="Q65" s="10"/>
      <c r="R65" s="10"/>
      <c r="S65" s="10"/>
      <c r="T65" s="10"/>
      <c r="U65" s="10"/>
      <c r="V65" s="10"/>
      <c r="W65" s="10"/>
      <c r="X65" s="10"/>
      <c r="Y65" s="10"/>
      <c r="Z65" s="10"/>
      <c r="AA65" s="10"/>
    </row>
    <row r="66" spans="1:27" x14ac:dyDescent="0.2">
      <c r="A66" s="15" t="s">
        <v>282</v>
      </c>
      <c r="B66" s="11" t="s">
        <v>267</v>
      </c>
      <c r="C66" s="11" t="s">
        <v>6</v>
      </c>
      <c r="D66" s="11" t="s">
        <v>6</v>
      </c>
      <c r="E66" s="11" t="s">
        <v>6</v>
      </c>
      <c r="F66" s="11" t="s">
        <v>6</v>
      </c>
      <c r="G66" s="93" t="s">
        <v>806</v>
      </c>
      <c r="H66" s="93" t="s">
        <v>805</v>
      </c>
      <c r="I66" s="11"/>
      <c r="J66" s="11"/>
      <c r="K66" s="11"/>
      <c r="L66" s="11"/>
      <c r="M66" s="10"/>
      <c r="N66" s="10"/>
      <c r="O66" s="10"/>
      <c r="P66" s="10"/>
      <c r="Q66" s="10"/>
      <c r="R66" s="10"/>
      <c r="S66" s="10"/>
      <c r="T66" s="10"/>
      <c r="U66" s="10"/>
      <c r="V66" s="10"/>
      <c r="W66" s="10"/>
      <c r="X66" s="10"/>
      <c r="Y66" s="10"/>
      <c r="Z66" s="10"/>
      <c r="AA66" s="10"/>
    </row>
    <row r="67" spans="1:27" x14ac:dyDescent="0.2">
      <c r="A67" s="15" t="s">
        <v>281</v>
      </c>
      <c r="B67" s="11" t="s">
        <v>267</v>
      </c>
      <c r="C67" s="11" t="s">
        <v>6</v>
      </c>
      <c r="D67" s="11" t="s">
        <v>6</v>
      </c>
      <c r="E67" s="11" t="s">
        <v>6</v>
      </c>
      <c r="F67" s="11" t="s">
        <v>6</v>
      </c>
      <c r="G67" s="93" t="s">
        <v>812</v>
      </c>
      <c r="H67" s="93" t="s">
        <v>811</v>
      </c>
      <c r="I67" s="11"/>
      <c r="J67" s="11"/>
      <c r="K67" s="11"/>
      <c r="L67" s="11"/>
      <c r="M67" s="10"/>
      <c r="N67" s="10"/>
      <c r="O67" s="10"/>
      <c r="P67" s="10"/>
      <c r="Q67" s="10"/>
      <c r="R67" s="10"/>
      <c r="S67" s="10"/>
      <c r="T67" s="10"/>
      <c r="U67" s="10"/>
      <c r="V67" s="10"/>
      <c r="W67" s="10"/>
      <c r="X67" s="10"/>
      <c r="Y67" s="10"/>
      <c r="Z67" s="10"/>
      <c r="AA67" s="10"/>
    </row>
    <row r="68" spans="1:27" x14ac:dyDescent="0.2">
      <c r="A68" s="15" t="s">
        <v>268</v>
      </c>
      <c r="B68" s="11" t="s">
        <v>267</v>
      </c>
      <c r="C68" s="11" t="s">
        <v>6</v>
      </c>
      <c r="D68" s="11" t="s">
        <v>6</v>
      </c>
      <c r="E68" s="11" t="s">
        <v>6</v>
      </c>
      <c r="F68" s="11" t="s">
        <v>6</v>
      </c>
      <c r="G68" s="93" t="s">
        <v>858</v>
      </c>
      <c r="H68" s="93" t="s">
        <v>857</v>
      </c>
      <c r="I68" s="11"/>
      <c r="J68" s="11"/>
      <c r="K68" s="11"/>
      <c r="L68" s="11"/>
      <c r="M68" s="10"/>
      <c r="N68" s="10"/>
      <c r="O68" s="10"/>
      <c r="P68" s="10"/>
      <c r="Q68" s="10"/>
      <c r="R68" s="10"/>
      <c r="S68" s="10"/>
      <c r="T68" s="10"/>
      <c r="U68" s="10"/>
      <c r="V68" s="10"/>
      <c r="W68" s="10"/>
      <c r="X68" s="10"/>
      <c r="Y68" s="10"/>
      <c r="Z68" s="10"/>
      <c r="AA68" s="10"/>
    </row>
    <row r="69" spans="1:27" x14ac:dyDescent="0.2">
      <c r="A69" s="15" t="s">
        <v>280</v>
      </c>
      <c r="B69" s="11" t="s">
        <v>267</v>
      </c>
      <c r="C69" s="11" t="s">
        <v>6</v>
      </c>
      <c r="D69" s="11" t="s">
        <v>6</v>
      </c>
      <c r="E69" s="11" t="s">
        <v>6</v>
      </c>
      <c r="F69" s="11" t="s">
        <v>6</v>
      </c>
      <c r="G69" s="93" t="s">
        <v>864</v>
      </c>
      <c r="H69" s="93" t="s">
        <v>863</v>
      </c>
      <c r="I69" s="11"/>
      <c r="J69" s="11"/>
      <c r="K69" s="11"/>
      <c r="L69" s="11"/>
      <c r="M69" s="10"/>
      <c r="N69" s="10"/>
      <c r="O69" s="10"/>
      <c r="P69" s="10"/>
      <c r="Q69" s="10"/>
      <c r="R69" s="10"/>
      <c r="S69" s="10"/>
      <c r="T69" s="10"/>
      <c r="U69" s="10"/>
      <c r="V69" s="10"/>
      <c r="W69" s="10"/>
      <c r="X69" s="10"/>
      <c r="Y69" s="10"/>
      <c r="Z69" s="10"/>
      <c r="AA69" s="10"/>
    </row>
    <row r="70" spans="1:27" x14ac:dyDescent="0.2">
      <c r="A70" s="15" t="s">
        <v>269</v>
      </c>
      <c r="B70" s="11" t="s">
        <v>267</v>
      </c>
      <c r="C70" s="11" t="s">
        <v>4</v>
      </c>
      <c r="D70" s="11" t="s">
        <v>4</v>
      </c>
      <c r="E70" s="11" t="s">
        <v>4</v>
      </c>
      <c r="F70" s="11" t="s">
        <v>4</v>
      </c>
      <c r="G70" s="93" t="s">
        <v>866</v>
      </c>
      <c r="H70" s="93" t="s">
        <v>865</v>
      </c>
      <c r="I70" s="11"/>
      <c r="J70" s="11"/>
      <c r="K70" s="11"/>
      <c r="L70" s="11"/>
      <c r="M70" s="10"/>
      <c r="N70" s="10"/>
      <c r="O70" s="10"/>
      <c r="P70" s="10"/>
      <c r="Q70" s="10"/>
      <c r="R70" s="10"/>
      <c r="S70" s="10"/>
      <c r="T70" s="10"/>
      <c r="U70" s="10"/>
      <c r="V70" s="10"/>
      <c r="W70" s="10"/>
      <c r="X70" s="10"/>
      <c r="Y70" s="10"/>
      <c r="Z70" s="10"/>
      <c r="AA70" s="10"/>
    </row>
    <row r="71" spans="1:27" x14ac:dyDescent="0.2">
      <c r="A71" s="15" t="s">
        <v>283</v>
      </c>
      <c r="B71" s="11" t="s">
        <v>267</v>
      </c>
      <c r="C71" s="11" t="s">
        <v>6</v>
      </c>
      <c r="D71" s="11" t="s">
        <v>6</v>
      </c>
      <c r="E71" s="11" t="s">
        <v>6</v>
      </c>
      <c r="F71" s="11" t="s">
        <v>6</v>
      </c>
      <c r="G71" s="93" t="s">
        <v>878</v>
      </c>
      <c r="H71" s="93" t="s">
        <v>877</v>
      </c>
      <c r="I71" s="11"/>
      <c r="J71" s="11"/>
      <c r="K71" s="11"/>
      <c r="L71" s="11"/>
      <c r="M71" s="10"/>
      <c r="N71" s="10"/>
      <c r="O71" s="10"/>
      <c r="P71" s="10"/>
      <c r="Q71" s="10"/>
      <c r="R71" s="10"/>
      <c r="S71" s="10"/>
      <c r="T71" s="10"/>
      <c r="U71" s="10"/>
      <c r="V71" s="10"/>
      <c r="W71" s="10"/>
      <c r="X71" s="10"/>
      <c r="Y71" s="10"/>
      <c r="Z71" s="10"/>
      <c r="AA71" s="10"/>
    </row>
    <row r="72" spans="1:27" x14ac:dyDescent="0.2">
      <c r="A72" s="15" t="s">
        <v>278</v>
      </c>
      <c r="B72" s="11" t="s">
        <v>267</v>
      </c>
      <c r="C72" s="11" t="s">
        <v>6</v>
      </c>
      <c r="D72" s="11" t="s">
        <v>6</v>
      </c>
      <c r="E72" s="11" t="s">
        <v>6</v>
      </c>
      <c r="F72" s="11" t="s">
        <v>4</v>
      </c>
      <c r="G72" s="93" t="s">
        <v>884</v>
      </c>
      <c r="H72" s="93" t="s">
        <v>883</v>
      </c>
      <c r="I72" s="11"/>
      <c r="J72" s="11"/>
      <c r="K72" s="11"/>
      <c r="L72" s="11"/>
      <c r="M72" s="10"/>
      <c r="N72" s="10"/>
      <c r="O72" s="10"/>
      <c r="P72" s="10"/>
      <c r="Q72" s="10"/>
      <c r="R72" s="10"/>
      <c r="S72" s="10"/>
      <c r="T72" s="10"/>
      <c r="U72" s="10"/>
      <c r="V72" s="10"/>
      <c r="W72" s="10"/>
      <c r="X72" s="10"/>
      <c r="Y72" s="10"/>
      <c r="Z72" s="10"/>
      <c r="AA72" s="10"/>
    </row>
    <row r="73" spans="1:27" x14ac:dyDescent="0.2">
      <c r="A73" s="15" t="s">
        <v>272</v>
      </c>
      <c r="B73" s="11" t="s">
        <v>267</v>
      </c>
      <c r="C73" s="11" t="s">
        <v>6</v>
      </c>
      <c r="D73" s="11" t="s">
        <v>6</v>
      </c>
      <c r="E73" s="11" t="s">
        <v>6</v>
      </c>
      <c r="F73" s="11" t="s">
        <v>6</v>
      </c>
      <c r="G73" s="93" t="s">
        <v>894</v>
      </c>
      <c r="H73" s="93" t="s">
        <v>893</v>
      </c>
      <c r="I73" s="11"/>
      <c r="J73" s="11"/>
      <c r="K73" s="11"/>
      <c r="L73" s="11"/>
      <c r="M73" s="10"/>
      <c r="N73" s="10"/>
      <c r="O73" s="10"/>
      <c r="P73" s="10"/>
      <c r="Q73" s="10"/>
      <c r="R73" s="10"/>
      <c r="S73" s="10"/>
      <c r="T73" s="10"/>
      <c r="U73" s="10"/>
      <c r="V73" s="10"/>
      <c r="W73" s="10"/>
      <c r="X73" s="10"/>
      <c r="Y73" s="10"/>
      <c r="Z73" s="10"/>
      <c r="AA73" s="10"/>
    </row>
  </sheetData>
  <autoFilter ref="A1:H73" xr:uid="{00000000-0001-0000-0400-000000000000}"/>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V82"/>
  <sheetViews>
    <sheetView workbookViewId="0">
      <selection activeCell="C4" sqref="C4"/>
    </sheetView>
  </sheetViews>
  <sheetFormatPr baseColWidth="10" defaultColWidth="12.5" defaultRowHeight="15" customHeight="1" x14ac:dyDescent="0.15"/>
  <cols>
    <col min="1" max="1" width="49" customWidth="1"/>
    <col min="2" max="2" width="26" customWidth="1"/>
    <col min="6" max="6" width="31.33203125" customWidth="1"/>
  </cols>
  <sheetData>
    <row r="1" spans="1:22" x14ac:dyDescent="0.2">
      <c r="A1" s="14" t="s">
        <v>0</v>
      </c>
      <c r="B1" s="14" t="s">
        <v>1</v>
      </c>
      <c r="C1" s="14" t="s">
        <v>206</v>
      </c>
      <c r="D1" s="14" t="s">
        <v>79</v>
      </c>
      <c r="E1" s="14" t="s">
        <v>207</v>
      </c>
      <c r="F1" s="68" t="s">
        <v>419</v>
      </c>
      <c r="G1" s="14" t="s">
        <v>1317</v>
      </c>
      <c r="H1" s="14" t="s">
        <v>1318</v>
      </c>
      <c r="I1" s="14" t="s">
        <v>206</v>
      </c>
      <c r="J1" s="14" t="s">
        <v>79</v>
      </c>
      <c r="K1" s="14" t="s">
        <v>207</v>
      </c>
      <c r="L1" s="14" t="s">
        <v>208</v>
      </c>
    </row>
    <row r="2" spans="1:22" ht="15" customHeight="1" x14ac:dyDescent="0.2">
      <c r="A2" s="22" t="s">
        <v>293</v>
      </c>
      <c r="B2" s="15" t="s">
        <v>286</v>
      </c>
      <c r="C2" s="11" t="s">
        <v>4</v>
      </c>
      <c r="D2" s="11" t="s">
        <v>4</v>
      </c>
      <c r="E2" s="11" t="s">
        <v>4</v>
      </c>
      <c r="F2" s="11" t="s">
        <v>4</v>
      </c>
      <c r="G2" s="94" t="s">
        <v>1054</v>
      </c>
      <c r="H2" s="94" t="s">
        <v>1053</v>
      </c>
      <c r="I2" s="11">
        <f>COUNTIF(C2:C19,"Y")</f>
        <v>14</v>
      </c>
      <c r="J2" s="11">
        <f>COUNTIF(D2:D19,"Y")</f>
        <v>12</v>
      </c>
      <c r="K2" s="11">
        <f>COUNTIF(E2:E19,"Y")</f>
        <v>13</v>
      </c>
      <c r="L2" s="11">
        <f>COUNTIF(F2:F19,"Y")</f>
        <v>12</v>
      </c>
      <c r="M2" s="10"/>
      <c r="N2" s="10"/>
      <c r="O2" s="10"/>
      <c r="P2" s="10"/>
      <c r="Q2" s="10"/>
      <c r="R2" s="10"/>
      <c r="S2" s="10"/>
      <c r="T2" s="10"/>
      <c r="U2" s="10"/>
      <c r="V2" s="10"/>
    </row>
    <row r="3" spans="1:22" ht="15" customHeight="1" x14ac:dyDescent="0.2">
      <c r="A3" s="22" t="s">
        <v>289</v>
      </c>
      <c r="B3" s="15" t="s">
        <v>286</v>
      </c>
      <c r="C3" s="11" t="s">
        <v>4</v>
      </c>
      <c r="D3" s="11" t="s">
        <v>4</v>
      </c>
      <c r="E3" s="11" t="s">
        <v>4</v>
      </c>
      <c r="F3" s="11" t="s">
        <v>4</v>
      </c>
      <c r="G3" s="94" t="s">
        <v>1056</v>
      </c>
      <c r="H3" s="94" t="s">
        <v>1055</v>
      </c>
      <c r="I3" s="11"/>
      <c r="J3" s="11"/>
      <c r="K3" s="11"/>
      <c r="L3" s="11"/>
      <c r="M3" s="10"/>
      <c r="N3" s="10"/>
      <c r="O3" s="10"/>
      <c r="P3" s="10"/>
      <c r="Q3" s="10"/>
      <c r="R3" s="10"/>
      <c r="S3" s="10"/>
      <c r="T3" s="10"/>
      <c r="U3" s="10"/>
      <c r="V3" s="10"/>
    </row>
    <row r="4" spans="1:22" ht="15" customHeight="1" x14ac:dyDescent="0.2">
      <c r="A4" s="22" t="s">
        <v>287</v>
      </c>
      <c r="B4" s="15" t="s">
        <v>286</v>
      </c>
      <c r="C4" s="11" t="s">
        <v>6</v>
      </c>
      <c r="D4" s="11" t="s">
        <v>6</v>
      </c>
      <c r="E4" s="11" t="s">
        <v>6</v>
      </c>
      <c r="F4" s="11" t="s">
        <v>6</v>
      </c>
      <c r="G4" s="94" t="s">
        <v>1060</v>
      </c>
      <c r="H4" s="94" t="s">
        <v>1059</v>
      </c>
      <c r="I4" s="11"/>
      <c r="J4" s="11"/>
      <c r="K4" s="11"/>
      <c r="L4" s="11"/>
      <c r="M4" s="10"/>
      <c r="N4" s="10"/>
      <c r="O4" s="10"/>
      <c r="P4" s="10"/>
      <c r="Q4" s="10"/>
      <c r="R4" s="10"/>
      <c r="S4" s="10"/>
      <c r="T4" s="10"/>
      <c r="U4" s="10"/>
      <c r="V4" s="10"/>
    </row>
    <row r="5" spans="1:22" ht="15" customHeight="1" x14ac:dyDescent="0.2">
      <c r="A5" s="22" t="s">
        <v>300</v>
      </c>
      <c r="B5" s="15" t="s">
        <v>286</v>
      </c>
      <c r="C5" s="11" t="s">
        <v>6</v>
      </c>
      <c r="D5" s="11" t="s">
        <v>6</v>
      </c>
      <c r="E5" s="11" t="s">
        <v>6</v>
      </c>
      <c r="F5" s="11" t="s">
        <v>6</v>
      </c>
      <c r="G5" s="94" t="s">
        <v>1062</v>
      </c>
      <c r="H5" s="94" t="s">
        <v>1061</v>
      </c>
      <c r="I5" s="11"/>
      <c r="J5" s="11"/>
      <c r="K5" s="11"/>
      <c r="L5" s="11"/>
      <c r="M5" s="10"/>
      <c r="N5" s="10"/>
      <c r="O5" s="10"/>
      <c r="P5" s="10"/>
      <c r="Q5" s="10"/>
      <c r="R5" s="10"/>
      <c r="S5" s="10"/>
      <c r="T5" s="10"/>
      <c r="U5" s="10"/>
      <c r="V5" s="10"/>
    </row>
    <row r="6" spans="1:22" ht="15" customHeight="1" x14ac:dyDescent="0.2">
      <c r="A6" s="22" t="s">
        <v>297</v>
      </c>
      <c r="B6" s="15" t="s">
        <v>286</v>
      </c>
      <c r="C6" s="11" t="s">
        <v>6</v>
      </c>
      <c r="D6" s="11" t="s">
        <v>6</v>
      </c>
      <c r="E6" s="11" t="s">
        <v>6</v>
      </c>
      <c r="F6" s="11" t="s">
        <v>6</v>
      </c>
      <c r="G6" s="94" t="s">
        <v>1066</v>
      </c>
      <c r="H6" s="94" t="s">
        <v>1065</v>
      </c>
      <c r="I6" s="11"/>
      <c r="J6" s="11"/>
      <c r="K6" s="11"/>
      <c r="L6" s="11"/>
      <c r="M6" s="10"/>
      <c r="N6" s="10"/>
      <c r="O6" s="10"/>
      <c r="P6" s="10"/>
      <c r="Q6" s="10"/>
      <c r="R6" s="10"/>
      <c r="S6" s="10"/>
      <c r="T6" s="10"/>
      <c r="U6" s="10"/>
      <c r="V6" s="10"/>
    </row>
    <row r="7" spans="1:22" ht="15" customHeight="1" x14ac:dyDescent="0.2">
      <c r="A7" s="22" t="s">
        <v>303</v>
      </c>
      <c r="B7" s="15" t="s">
        <v>286</v>
      </c>
      <c r="C7" s="11" t="s">
        <v>4</v>
      </c>
      <c r="D7" s="11" t="s">
        <v>4</v>
      </c>
      <c r="E7" s="11" t="s">
        <v>4</v>
      </c>
      <c r="F7" s="11" t="s">
        <v>4</v>
      </c>
      <c r="G7" s="94" t="s">
        <v>1068</v>
      </c>
      <c r="H7" s="94" t="s">
        <v>1067</v>
      </c>
      <c r="I7" s="11"/>
      <c r="J7" s="11"/>
      <c r="K7" s="11"/>
      <c r="L7" s="11"/>
      <c r="M7" s="10"/>
      <c r="N7" s="10"/>
      <c r="O7" s="10"/>
      <c r="P7" s="10"/>
      <c r="Q7" s="10"/>
      <c r="R7" s="10"/>
      <c r="S7" s="10"/>
      <c r="T7" s="10"/>
      <c r="U7" s="10"/>
      <c r="V7" s="10"/>
    </row>
    <row r="8" spans="1:22" ht="15" customHeight="1" x14ac:dyDescent="0.2">
      <c r="A8" s="22" t="s">
        <v>299</v>
      </c>
      <c r="B8" s="15" t="s">
        <v>286</v>
      </c>
      <c r="C8" s="11" t="s">
        <v>6</v>
      </c>
      <c r="D8" s="11" t="s">
        <v>6</v>
      </c>
      <c r="E8" s="11" t="s">
        <v>6</v>
      </c>
      <c r="F8" s="11" t="s">
        <v>6</v>
      </c>
      <c r="G8" s="94" t="s">
        <v>1072</v>
      </c>
      <c r="H8" s="94" t="s">
        <v>1071</v>
      </c>
      <c r="I8" s="11"/>
      <c r="J8" s="11"/>
      <c r="K8" s="11"/>
      <c r="L8" s="11"/>
      <c r="M8" s="10"/>
      <c r="N8" s="10"/>
      <c r="O8" s="10"/>
      <c r="P8" s="10"/>
      <c r="Q8" s="10"/>
      <c r="R8" s="10"/>
      <c r="S8" s="10"/>
      <c r="T8" s="10"/>
      <c r="U8" s="10"/>
      <c r="V8" s="10"/>
    </row>
    <row r="9" spans="1:22" ht="15" customHeight="1" x14ac:dyDescent="0.2">
      <c r="A9" s="22" t="s">
        <v>302</v>
      </c>
      <c r="B9" s="15" t="s">
        <v>286</v>
      </c>
      <c r="C9" s="11" t="s">
        <v>6</v>
      </c>
      <c r="D9" s="11" t="s">
        <v>6</v>
      </c>
      <c r="E9" s="11" t="s">
        <v>6</v>
      </c>
      <c r="F9" s="11" t="s">
        <v>6</v>
      </c>
      <c r="G9" s="94" t="s">
        <v>1076</v>
      </c>
      <c r="H9" s="94" t="s">
        <v>1075</v>
      </c>
      <c r="I9" s="11"/>
      <c r="J9" s="11"/>
      <c r="K9" s="11"/>
      <c r="L9" s="11"/>
      <c r="M9" s="10"/>
      <c r="N9" s="10"/>
      <c r="O9" s="10"/>
      <c r="P9" s="10"/>
      <c r="Q9" s="10"/>
      <c r="R9" s="10"/>
      <c r="S9" s="10"/>
      <c r="T9" s="10"/>
      <c r="U9" s="10"/>
      <c r="V9" s="10"/>
    </row>
    <row r="10" spans="1:22" ht="15" customHeight="1" x14ac:dyDescent="0.2">
      <c r="A10" s="22" t="s">
        <v>294</v>
      </c>
      <c r="B10" s="15" t="s">
        <v>286</v>
      </c>
      <c r="C10" s="11" t="s">
        <v>6</v>
      </c>
      <c r="D10" s="11" t="s">
        <v>6</v>
      </c>
      <c r="E10" s="11" t="s">
        <v>6</v>
      </c>
      <c r="F10" s="11" t="s">
        <v>6</v>
      </c>
      <c r="G10" s="94" t="s">
        <v>1088</v>
      </c>
      <c r="H10" s="94" t="s">
        <v>1087</v>
      </c>
      <c r="I10" s="11"/>
      <c r="J10" s="11"/>
      <c r="K10" s="11"/>
      <c r="L10" s="11"/>
      <c r="M10" s="10"/>
      <c r="N10" s="10"/>
      <c r="O10" s="10"/>
      <c r="P10" s="10"/>
      <c r="Q10" s="10"/>
      <c r="R10" s="10"/>
      <c r="S10" s="10"/>
      <c r="T10" s="10"/>
      <c r="U10" s="10"/>
      <c r="V10" s="10"/>
    </row>
    <row r="11" spans="1:22" ht="15" customHeight="1" x14ac:dyDescent="0.2">
      <c r="A11" s="22" t="s">
        <v>288</v>
      </c>
      <c r="B11" s="15" t="s">
        <v>286</v>
      </c>
      <c r="C11" s="11" t="s">
        <v>6</v>
      </c>
      <c r="D11" s="11" t="s">
        <v>6</v>
      </c>
      <c r="E11" s="11" t="s">
        <v>6</v>
      </c>
      <c r="F11" s="11" t="s">
        <v>6</v>
      </c>
      <c r="G11" s="94" t="s">
        <v>1092</v>
      </c>
      <c r="H11" s="94" t="s">
        <v>1091</v>
      </c>
      <c r="I11" s="11"/>
      <c r="J11" s="11"/>
      <c r="K11" s="11"/>
      <c r="L11" s="11"/>
      <c r="M11" s="10"/>
      <c r="N11" s="10"/>
      <c r="O11" s="10"/>
      <c r="P11" s="10"/>
      <c r="Q11" s="10"/>
      <c r="R11" s="10"/>
      <c r="S11" s="10"/>
      <c r="T11" s="10"/>
      <c r="U11" s="10"/>
      <c r="V11" s="10"/>
    </row>
    <row r="12" spans="1:22" ht="15" customHeight="1" x14ac:dyDescent="0.2">
      <c r="A12" s="22" t="s">
        <v>292</v>
      </c>
      <c r="B12" s="15" t="s">
        <v>286</v>
      </c>
      <c r="C12" s="11" t="s">
        <v>6</v>
      </c>
      <c r="D12" s="11" t="s">
        <v>4</v>
      </c>
      <c r="E12" s="11" t="s">
        <v>4</v>
      </c>
      <c r="F12" s="11" t="s">
        <v>4</v>
      </c>
      <c r="G12" s="94" t="s">
        <v>1094</v>
      </c>
      <c r="H12" s="94" t="s">
        <v>1093</v>
      </c>
      <c r="I12" s="11"/>
      <c r="J12" s="11"/>
      <c r="K12" s="11"/>
      <c r="L12" s="11"/>
      <c r="M12" s="10"/>
      <c r="N12" s="10"/>
      <c r="O12" s="10"/>
      <c r="P12" s="10"/>
      <c r="Q12" s="10"/>
      <c r="R12" s="10"/>
      <c r="S12" s="10"/>
      <c r="T12" s="10"/>
      <c r="U12" s="10"/>
      <c r="V12" s="10"/>
    </row>
    <row r="13" spans="1:22" ht="15" customHeight="1" x14ac:dyDescent="0.2">
      <c r="A13" s="22" t="s">
        <v>290</v>
      </c>
      <c r="B13" s="15" t="s">
        <v>286</v>
      </c>
      <c r="C13" s="11" t="s">
        <v>6</v>
      </c>
      <c r="D13" s="11" t="s">
        <v>6</v>
      </c>
      <c r="E13" s="11" t="s">
        <v>6</v>
      </c>
      <c r="F13" s="11" t="s">
        <v>6</v>
      </c>
      <c r="G13" s="94" t="s">
        <v>1096</v>
      </c>
      <c r="H13" s="94" t="s">
        <v>1095</v>
      </c>
      <c r="I13" s="11"/>
      <c r="J13" s="11"/>
      <c r="K13" s="11"/>
      <c r="L13" s="11"/>
      <c r="M13" s="10"/>
      <c r="N13" s="10"/>
      <c r="O13" s="10"/>
      <c r="P13" s="10"/>
      <c r="Q13" s="10"/>
      <c r="R13" s="10"/>
      <c r="S13" s="10"/>
      <c r="T13" s="10"/>
      <c r="U13" s="10"/>
      <c r="V13" s="10"/>
    </row>
    <row r="14" spans="1:22" ht="15" customHeight="1" x14ac:dyDescent="0.2">
      <c r="A14" s="22" t="s">
        <v>295</v>
      </c>
      <c r="B14" s="15" t="s">
        <v>286</v>
      </c>
      <c r="C14" s="11" t="s">
        <v>6</v>
      </c>
      <c r="D14" s="11" t="s">
        <v>6</v>
      </c>
      <c r="E14" s="11" t="s">
        <v>6</v>
      </c>
      <c r="F14" s="11" t="s">
        <v>6</v>
      </c>
      <c r="G14" s="94" t="s">
        <v>1098</v>
      </c>
      <c r="H14" s="94" t="s">
        <v>1097</v>
      </c>
      <c r="I14" s="11"/>
      <c r="J14" s="11"/>
      <c r="K14" s="11"/>
      <c r="L14" s="11"/>
      <c r="M14" s="10"/>
      <c r="N14" s="10"/>
      <c r="O14" s="10"/>
      <c r="P14" s="10"/>
      <c r="Q14" s="10"/>
      <c r="R14" s="10"/>
      <c r="S14" s="10"/>
      <c r="T14" s="10"/>
      <c r="U14" s="10"/>
      <c r="V14" s="10"/>
    </row>
    <row r="15" spans="1:22" ht="15" customHeight="1" x14ac:dyDescent="0.2">
      <c r="A15" s="22" t="s">
        <v>285</v>
      </c>
      <c r="B15" s="15" t="s">
        <v>286</v>
      </c>
      <c r="C15" s="11" t="s">
        <v>6</v>
      </c>
      <c r="D15" s="11" t="s">
        <v>6</v>
      </c>
      <c r="E15" s="11" t="s">
        <v>6</v>
      </c>
      <c r="F15" s="11" t="s">
        <v>6</v>
      </c>
      <c r="G15" s="94" t="s">
        <v>1100</v>
      </c>
      <c r="H15" s="94" t="s">
        <v>1099</v>
      </c>
      <c r="I15" s="11"/>
      <c r="J15" s="11"/>
      <c r="K15" s="11"/>
      <c r="L15" s="11"/>
      <c r="M15" s="10"/>
      <c r="N15" s="10"/>
      <c r="O15" s="10"/>
      <c r="P15" s="10"/>
      <c r="Q15" s="10"/>
      <c r="R15" s="10"/>
      <c r="S15" s="10"/>
      <c r="T15" s="10"/>
      <c r="U15" s="10"/>
      <c r="V15" s="10"/>
    </row>
    <row r="16" spans="1:22" ht="15" customHeight="1" x14ac:dyDescent="0.2">
      <c r="A16" s="22" t="s">
        <v>296</v>
      </c>
      <c r="B16" s="15" t="s">
        <v>286</v>
      </c>
      <c r="C16" s="11" t="s">
        <v>6</v>
      </c>
      <c r="D16" s="11" t="s">
        <v>6</v>
      </c>
      <c r="E16" s="11" t="s">
        <v>6</v>
      </c>
      <c r="F16" s="11" t="s">
        <v>4</v>
      </c>
      <c r="G16" s="94" t="s">
        <v>1108</v>
      </c>
      <c r="H16" s="94" t="s">
        <v>1107</v>
      </c>
      <c r="I16" s="11"/>
      <c r="J16" s="11"/>
      <c r="K16" s="11"/>
      <c r="L16" s="11"/>
      <c r="M16" s="10"/>
      <c r="N16" s="10"/>
      <c r="O16" s="10"/>
      <c r="P16" s="10"/>
      <c r="Q16" s="10"/>
      <c r="R16" s="10"/>
      <c r="S16" s="10"/>
      <c r="T16" s="10"/>
      <c r="U16" s="10"/>
      <c r="V16" s="10"/>
    </row>
    <row r="17" spans="1:22" ht="15" customHeight="1" x14ac:dyDescent="0.2">
      <c r="A17" s="22" t="s">
        <v>298</v>
      </c>
      <c r="B17" s="15" t="s">
        <v>286</v>
      </c>
      <c r="C17" s="11" t="s">
        <v>6</v>
      </c>
      <c r="D17" s="11" t="s">
        <v>4</v>
      </c>
      <c r="E17" s="11" t="s">
        <v>4</v>
      </c>
      <c r="F17" s="11" t="s">
        <v>4</v>
      </c>
      <c r="G17" s="94" t="s">
        <v>1130</v>
      </c>
      <c r="H17" s="94" t="s">
        <v>1129</v>
      </c>
      <c r="I17" s="11"/>
      <c r="J17" s="11"/>
      <c r="K17" s="11"/>
      <c r="L17" s="11"/>
      <c r="M17" s="10"/>
      <c r="N17" s="10"/>
      <c r="O17" s="10"/>
      <c r="P17" s="10"/>
      <c r="Q17" s="10"/>
      <c r="R17" s="10"/>
      <c r="S17" s="10"/>
      <c r="T17" s="10"/>
      <c r="U17" s="10"/>
      <c r="V17" s="10"/>
    </row>
    <row r="18" spans="1:22" ht="15" customHeight="1" x14ac:dyDescent="0.2">
      <c r="A18" s="22" t="s">
        <v>301</v>
      </c>
      <c r="B18" s="15" t="s">
        <v>286</v>
      </c>
      <c r="C18" s="11" t="s">
        <v>4</v>
      </c>
      <c r="D18" s="11" t="s">
        <v>4</v>
      </c>
      <c r="E18" s="11" t="s">
        <v>6</v>
      </c>
      <c r="F18" s="11" t="s">
        <v>6</v>
      </c>
      <c r="G18" s="94" t="s">
        <v>1138</v>
      </c>
      <c r="H18" s="94" t="s">
        <v>1137</v>
      </c>
      <c r="I18" s="11"/>
      <c r="J18" s="11"/>
      <c r="K18" s="11"/>
      <c r="L18" s="11"/>
      <c r="M18" s="10"/>
      <c r="N18" s="10"/>
      <c r="O18" s="10"/>
      <c r="P18" s="10"/>
      <c r="Q18" s="10"/>
      <c r="R18" s="10"/>
      <c r="S18" s="10"/>
      <c r="T18" s="10"/>
      <c r="U18" s="10"/>
      <c r="V18" s="10"/>
    </row>
    <row r="19" spans="1:22" ht="15" customHeight="1" x14ac:dyDescent="0.2">
      <c r="A19" s="23" t="s">
        <v>291</v>
      </c>
      <c r="B19" s="17" t="s">
        <v>286</v>
      </c>
      <c r="C19" s="12" t="s">
        <v>6</v>
      </c>
      <c r="D19" s="12" t="s">
        <v>6</v>
      </c>
      <c r="E19" s="12" t="s">
        <v>6</v>
      </c>
      <c r="F19" s="12" t="s">
        <v>6</v>
      </c>
      <c r="G19" s="94" t="s">
        <v>1146</v>
      </c>
      <c r="H19" s="94" t="s">
        <v>1145</v>
      </c>
      <c r="I19" s="12"/>
      <c r="J19" s="12"/>
      <c r="K19" s="12"/>
      <c r="L19" s="12"/>
      <c r="M19" s="10"/>
      <c r="N19" s="10"/>
      <c r="O19" s="10"/>
      <c r="P19" s="10"/>
      <c r="Q19" s="10"/>
      <c r="R19" s="10"/>
      <c r="S19" s="10"/>
      <c r="T19" s="10"/>
      <c r="U19" s="10"/>
      <c r="V19" s="10"/>
    </row>
    <row r="20" spans="1:22" ht="15" customHeight="1" x14ac:dyDescent="0.2">
      <c r="A20" s="24" t="s">
        <v>316</v>
      </c>
      <c r="B20" s="13" t="s">
        <v>305</v>
      </c>
      <c r="C20" s="13" t="s">
        <v>6</v>
      </c>
      <c r="D20" s="13" t="s">
        <v>6</v>
      </c>
      <c r="E20" s="13" t="s">
        <v>6</v>
      </c>
      <c r="F20" s="13" t="s">
        <v>6</v>
      </c>
      <c r="G20" s="94" t="s">
        <v>1052</v>
      </c>
      <c r="H20" s="94" t="s">
        <v>1051</v>
      </c>
      <c r="I20" s="13">
        <f>COUNTIF(C20:C37,"Y")</f>
        <v>18</v>
      </c>
      <c r="J20" s="13">
        <f>COUNTIF(D20:D37,"Y")</f>
        <v>18</v>
      </c>
      <c r="K20" s="13">
        <f>COUNTIF(E20:E37,"Y")</f>
        <v>18</v>
      </c>
      <c r="L20" s="13">
        <f>COUNTIF(F20:F37,"Y")</f>
        <v>18</v>
      </c>
      <c r="M20" s="10"/>
      <c r="N20" s="10"/>
      <c r="O20" s="10"/>
      <c r="P20" s="10"/>
      <c r="Q20" s="10"/>
      <c r="R20" s="10"/>
      <c r="S20" s="10"/>
      <c r="T20" s="10"/>
      <c r="U20" s="10"/>
      <c r="V20" s="10"/>
    </row>
    <row r="21" spans="1:22" ht="15" customHeight="1" x14ac:dyDescent="0.2">
      <c r="A21" s="22" t="s">
        <v>312</v>
      </c>
      <c r="B21" s="11" t="s">
        <v>305</v>
      </c>
      <c r="C21" s="11" t="s">
        <v>6</v>
      </c>
      <c r="D21" s="11" t="s">
        <v>6</v>
      </c>
      <c r="E21" s="11" t="s">
        <v>6</v>
      </c>
      <c r="F21" s="11" t="s">
        <v>6</v>
      </c>
      <c r="G21" s="94" t="s">
        <v>1058</v>
      </c>
      <c r="H21" s="94" t="s">
        <v>1057</v>
      </c>
      <c r="I21" s="11"/>
      <c r="J21" s="11"/>
      <c r="K21" s="11"/>
      <c r="L21" s="11"/>
      <c r="M21" s="10"/>
      <c r="N21" s="10"/>
      <c r="O21" s="10"/>
      <c r="P21" s="10"/>
      <c r="Q21" s="10"/>
      <c r="R21" s="10"/>
      <c r="S21" s="10"/>
      <c r="T21" s="10"/>
      <c r="U21" s="10"/>
      <c r="V21" s="10"/>
    </row>
    <row r="22" spans="1:22" ht="15" customHeight="1" x14ac:dyDescent="0.2">
      <c r="A22" s="22" t="s">
        <v>319</v>
      </c>
      <c r="B22" s="11" t="s">
        <v>305</v>
      </c>
      <c r="C22" s="11" t="s">
        <v>6</v>
      </c>
      <c r="D22" s="11" t="s">
        <v>6</v>
      </c>
      <c r="E22" s="11" t="s">
        <v>6</v>
      </c>
      <c r="F22" s="11" t="s">
        <v>6</v>
      </c>
      <c r="G22" s="94" t="s">
        <v>1064</v>
      </c>
      <c r="H22" s="94" t="s">
        <v>1063</v>
      </c>
      <c r="I22" s="11"/>
      <c r="J22" s="11"/>
      <c r="K22" s="11"/>
      <c r="L22" s="11"/>
      <c r="M22" s="10"/>
      <c r="N22" s="10"/>
      <c r="O22" s="10"/>
      <c r="P22" s="10"/>
      <c r="Q22" s="10"/>
      <c r="R22" s="10"/>
      <c r="S22" s="10"/>
      <c r="T22" s="10"/>
      <c r="U22" s="10"/>
      <c r="V22" s="10"/>
    </row>
    <row r="23" spans="1:22" ht="15" customHeight="1" x14ac:dyDescent="0.2">
      <c r="A23" s="22" t="s">
        <v>322</v>
      </c>
      <c r="B23" s="11" t="s">
        <v>305</v>
      </c>
      <c r="C23" s="11" t="s">
        <v>6</v>
      </c>
      <c r="D23" s="11" t="s">
        <v>6</v>
      </c>
      <c r="E23" s="11" t="s">
        <v>6</v>
      </c>
      <c r="F23" s="11" t="s">
        <v>6</v>
      </c>
      <c r="G23" s="94" t="s">
        <v>1070</v>
      </c>
      <c r="H23" s="94" t="s">
        <v>1069</v>
      </c>
      <c r="I23" s="11"/>
      <c r="J23" s="11"/>
      <c r="K23" s="11"/>
      <c r="L23" s="11"/>
      <c r="M23" s="10"/>
      <c r="N23" s="10"/>
      <c r="O23" s="10"/>
      <c r="P23" s="10"/>
      <c r="Q23" s="10"/>
      <c r="R23" s="10"/>
      <c r="S23" s="10"/>
      <c r="T23" s="10"/>
      <c r="U23" s="10"/>
      <c r="V23" s="10"/>
    </row>
    <row r="24" spans="1:22" ht="15" customHeight="1" x14ac:dyDescent="0.2">
      <c r="A24" s="22" t="s">
        <v>317</v>
      </c>
      <c r="B24" s="11" t="s">
        <v>305</v>
      </c>
      <c r="C24" s="11" t="s">
        <v>6</v>
      </c>
      <c r="D24" s="11" t="s">
        <v>6</v>
      </c>
      <c r="E24" s="11" t="s">
        <v>6</v>
      </c>
      <c r="F24" s="11" t="s">
        <v>6</v>
      </c>
      <c r="G24" s="94" t="s">
        <v>1074</v>
      </c>
      <c r="H24" s="94" t="s">
        <v>1073</v>
      </c>
      <c r="I24" s="11"/>
      <c r="J24" s="11"/>
      <c r="K24" s="11"/>
      <c r="L24" s="11"/>
      <c r="M24" s="10"/>
      <c r="N24" s="10"/>
      <c r="O24" s="10"/>
      <c r="P24" s="10"/>
      <c r="Q24" s="10"/>
      <c r="R24" s="10"/>
      <c r="S24" s="10"/>
      <c r="T24" s="10"/>
      <c r="U24" s="10"/>
      <c r="V24" s="10"/>
    </row>
    <row r="25" spans="1:22" ht="15" customHeight="1" x14ac:dyDescent="0.2">
      <c r="A25" s="22" t="s">
        <v>315</v>
      </c>
      <c r="B25" s="11" t="s">
        <v>305</v>
      </c>
      <c r="C25" s="11" t="s">
        <v>6</v>
      </c>
      <c r="D25" s="11" t="s">
        <v>6</v>
      </c>
      <c r="E25" s="11" t="s">
        <v>6</v>
      </c>
      <c r="F25" s="11" t="s">
        <v>6</v>
      </c>
      <c r="G25" s="94" t="s">
        <v>1078</v>
      </c>
      <c r="H25" s="94" t="s">
        <v>1077</v>
      </c>
      <c r="I25" s="11"/>
      <c r="J25" s="11"/>
      <c r="K25" s="11"/>
      <c r="L25" s="11"/>
      <c r="M25" s="10"/>
      <c r="N25" s="10"/>
      <c r="O25" s="10"/>
      <c r="P25" s="10"/>
      <c r="Q25" s="10"/>
      <c r="R25" s="10"/>
      <c r="S25" s="10"/>
      <c r="T25" s="10"/>
      <c r="U25" s="10"/>
      <c r="V25" s="10"/>
    </row>
    <row r="26" spans="1:22" ht="15" customHeight="1" x14ac:dyDescent="0.2">
      <c r="A26" s="22" t="s">
        <v>320</v>
      </c>
      <c r="B26" s="11" t="s">
        <v>305</v>
      </c>
      <c r="C26" s="11" t="s">
        <v>6</v>
      </c>
      <c r="D26" s="11" t="s">
        <v>6</v>
      </c>
      <c r="E26" s="11" t="s">
        <v>6</v>
      </c>
      <c r="F26" s="11" t="s">
        <v>6</v>
      </c>
      <c r="G26" s="94" t="s">
        <v>1080</v>
      </c>
      <c r="H26" s="94" t="s">
        <v>1079</v>
      </c>
      <c r="I26" s="11"/>
      <c r="J26" s="11"/>
      <c r="K26" s="11"/>
      <c r="L26" s="11"/>
      <c r="M26" s="10"/>
      <c r="N26" s="10"/>
      <c r="O26" s="10"/>
      <c r="P26" s="10"/>
      <c r="Q26" s="10"/>
      <c r="R26" s="10"/>
      <c r="S26" s="10"/>
      <c r="T26" s="10"/>
      <c r="U26" s="10"/>
      <c r="V26" s="10"/>
    </row>
    <row r="27" spans="1:22" ht="15" customHeight="1" x14ac:dyDescent="0.2">
      <c r="A27" s="22" t="s">
        <v>313</v>
      </c>
      <c r="B27" s="11" t="s">
        <v>305</v>
      </c>
      <c r="C27" s="11" t="s">
        <v>6</v>
      </c>
      <c r="D27" s="11" t="s">
        <v>6</v>
      </c>
      <c r="E27" s="11" t="s">
        <v>6</v>
      </c>
      <c r="F27" s="11" t="s">
        <v>6</v>
      </c>
      <c r="G27" s="94" t="s">
        <v>1082</v>
      </c>
      <c r="H27" s="94" t="s">
        <v>1081</v>
      </c>
      <c r="I27" s="11"/>
      <c r="J27" s="11"/>
      <c r="K27" s="11"/>
      <c r="L27" s="11"/>
      <c r="M27" s="10"/>
      <c r="N27" s="10"/>
      <c r="O27" s="10"/>
      <c r="P27" s="10"/>
      <c r="Q27" s="10"/>
      <c r="R27" s="10"/>
      <c r="S27" s="10"/>
      <c r="T27" s="10"/>
      <c r="U27" s="10"/>
      <c r="V27" s="10"/>
    </row>
    <row r="28" spans="1:22" ht="15" customHeight="1" x14ac:dyDescent="0.2">
      <c r="A28" s="22" t="s">
        <v>307</v>
      </c>
      <c r="B28" s="11" t="s">
        <v>305</v>
      </c>
      <c r="C28" s="11" t="s">
        <v>6</v>
      </c>
      <c r="D28" s="11" t="s">
        <v>6</v>
      </c>
      <c r="E28" s="11" t="s">
        <v>6</v>
      </c>
      <c r="F28" s="11" t="s">
        <v>6</v>
      </c>
      <c r="G28" s="94" t="s">
        <v>1084</v>
      </c>
      <c r="H28" s="94" t="s">
        <v>1083</v>
      </c>
      <c r="I28" s="11"/>
      <c r="J28" s="11"/>
      <c r="K28" s="11"/>
      <c r="L28" s="11"/>
      <c r="M28" s="10"/>
      <c r="N28" s="10"/>
      <c r="O28" s="10"/>
      <c r="P28" s="10"/>
      <c r="Q28" s="10"/>
      <c r="R28" s="10"/>
      <c r="S28" s="10"/>
      <c r="T28" s="10"/>
      <c r="U28" s="10"/>
      <c r="V28" s="10"/>
    </row>
    <row r="29" spans="1:22" ht="15" customHeight="1" x14ac:dyDescent="0.2">
      <c r="A29" s="22" t="s">
        <v>304</v>
      </c>
      <c r="B29" s="11" t="s">
        <v>305</v>
      </c>
      <c r="C29" s="11" t="s">
        <v>6</v>
      </c>
      <c r="D29" s="11" t="s">
        <v>6</v>
      </c>
      <c r="E29" s="11" t="s">
        <v>6</v>
      </c>
      <c r="F29" s="11" t="s">
        <v>6</v>
      </c>
      <c r="G29" s="94" t="s">
        <v>1086</v>
      </c>
      <c r="H29" s="94" t="s">
        <v>1085</v>
      </c>
      <c r="I29" s="11"/>
      <c r="J29" s="11"/>
      <c r="K29" s="11"/>
      <c r="L29" s="11"/>
      <c r="M29" s="10"/>
      <c r="N29" s="10"/>
      <c r="O29" s="10"/>
      <c r="P29" s="10"/>
      <c r="Q29" s="10"/>
      <c r="R29" s="10"/>
      <c r="S29" s="10"/>
      <c r="T29" s="10"/>
      <c r="U29" s="10"/>
      <c r="V29" s="10"/>
    </row>
    <row r="30" spans="1:22" ht="15" customHeight="1" x14ac:dyDescent="0.2">
      <c r="A30" s="22" t="s">
        <v>308</v>
      </c>
      <c r="B30" s="11" t="s">
        <v>305</v>
      </c>
      <c r="C30" s="11" t="s">
        <v>6</v>
      </c>
      <c r="D30" s="11" t="s">
        <v>6</v>
      </c>
      <c r="E30" s="11" t="s">
        <v>6</v>
      </c>
      <c r="F30" s="11" t="s">
        <v>6</v>
      </c>
      <c r="G30" s="94" t="s">
        <v>1090</v>
      </c>
      <c r="H30" s="94" t="s">
        <v>1089</v>
      </c>
      <c r="I30" s="11"/>
      <c r="J30" s="11"/>
      <c r="K30" s="11"/>
      <c r="L30" s="11"/>
      <c r="M30" s="10"/>
      <c r="N30" s="10"/>
      <c r="O30" s="10"/>
      <c r="P30" s="10"/>
      <c r="Q30" s="10"/>
      <c r="R30" s="10"/>
      <c r="S30" s="10"/>
      <c r="T30" s="10"/>
      <c r="U30" s="10"/>
      <c r="V30" s="10"/>
    </row>
    <row r="31" spans="1:22" ht="15" customHeight="1" x14ac:dyDescent="0.2">
      <c r="A31" s="22" t="s">
        <v>318</v>
      </c>
      <c r="B31" s="11" t="s">
        <v>305</v>
      </c>
      <c r="C31" s="11" t="s">
        <v>6</v>
      </c>
      <c r="D31" s="11" t="s">
        <v>6</v>
      </c>
      <c r="E31" s="11" t="s">
        <v>6</v>
      </c>
      <c r="F31" s="11" t="s">
        <v>6</v>
      </c>
      <c r="G31" s="94" t="s">
        <v>1102</v>
      </c>
      <c r="H31" s="94" t="s">
        <v>1101</v>
      </c>
      <c r="I31" s="11"/>
      <c r="J31" s="11"/>
      <c r="K31" s="11"/>
      <c r="L31" s="11"/>
      <c r="M31" s="10"/>
      <c r="N31" s="10"/>
      <c r="O31" s="10"/>
      <c r="P31" s="10"/>
      <c r="Q31" s="10"/>
      <c r="R31" s="10"/>
      <c r="S31" s="10"/>
      <c r="T31" s="10"/>
      <c r="U31" s="10"/>
      <c r="V31" s="10"/>
    </row>
    <row r="32" spans="1:22" ht="15" customHeight="1" x14ac:dyDescent="0.2">
      <c r="A32" s="22" t="s">
        <v>321</v>
      </c>
      <c r="B32" s="11" t="s">
        <v>305</v>
      </c>
      <c r="C32" s="11" t="s">
        <v>6</v>
      </c>
      <c r="D32" s="11" t="s">
        <v>6</v>
      </c>
      <c r="E32" s="11" t="s">
        <v>6</v>
      </c>
      <c r="F32" s="11" t="s">
        <v>6</v>
      </c>
      <c r="G32" s="94" t="s">
        <v>1104</v>
      </c>
      <c r="H32" s="94" t="s">
        <v>1103</v>
      </c>
      <c r="I32" s="11"/>
      <c r="J32" s="11"/>
      <c r="K32" s="11"/>
      <c r="L32" s="11"/>
      <c r="M32" s="10"/>
      <c r="N32" s="10"/>
      <c r="O32" s="10"/>
      <c r="P32" s="10"/>
      <c r="Q32" s="10"/>
      <c r="R32" s="10"/>
      <c r="S32" s="10"/>
      <c r="T32" s="10"/>
      <c r="U32" s="10"/>
      <c r="V32" s="10"/>
    </row>
    <row r="33" spans="1:22" ht="15" customHeight="1" x14ac:dyDescent="0.2">
      <c r="A33" s="22" t="s">
        <v>306</v>
      </c>
      <c r="B33" s="11" t="s">
        <v>305</v>
      </c>
      <c r="C33" s="11" t="s">
        <v>6</v>
      </c>
      <c r="D33" s="11" t="s">
        <v>6</v>
      </c>
      <c r="E33" s="11" t="s">
        <v>6</v>
      </c>
      <c r="F33" s="11" t="s">
        <v>6</v>
      </c>
      <c r="G33" s="94" t="s">
        <v>1106</v>
      </c>
      <c r="H33" s="94" t="s">
        <v>1105</v>
      </c>
      <c r="I33" s="11"/>
      <c r="J33" s="11"/>
      <c r="K33" s="11"/>
      <c r="L33" s="11"/>
      <c r="M33" s="10"/>
      <c r="N33" s="10"/>
      <c r="O33" s="10"/>
      <c r="P33" s="10"/>
      <c r="Q33" s="10"/>
      <c r="R33" s="10"/>
      <c r="S33" s="10"/>
      <c r="T33" s="10"/>
      <c r="U33" s="10"/>
      <c r="V33" s="10"/>
    </row>
    <row r="34" spans="1:22" ht="15" customHeight="1" x14ac:dyDescent="0.2">
      <c r="A34" s="22" t="s">
        <v>311</v>
      </c>
      <c r="B34" s="11" t="s">
        <v>305</v>
      </c>
      <c r="C34" s="11" t="s">
        <v>6</v>
      </c>
      <c r="D34" s="11" t="s">
        <v>6</v>
      </c>
      <c r="E34" s="11" t="s">
        <v>6</v>
      </c>
      <c r="F34" s="11" t="s">
        <v>6</v>
      </c>
      <c r="G34" s="94" t="s">
        <v>1110</v>
      </c>
      <c r="H34" s="94" t="s">
        <v>1109</v>
      </c>
      <c r="I34" s="11"/>
      <c r="J34" s="11"/>
      <c r="K34" s="11"/>
      <c r="L34" s="11"/>
      <c r="M34" s="10"/>
      <c r="N34" s="10"/>
      <c r="O34" s="10"/>
      <c r="P34" s="10"/>
      <c r="Q34" s="10"/>
      <c r="R34" s="10"/>
      <c r="S34" s="10"/>
      <c r="T34" s="10"/>
      <c r="U34" s="10"/>
      <c r="V34" s="10"/>
    </row>
    <row r="35" spans="1:22" ht="15" customHeight="1" x14ac:dyDescent="0.2">
      <c r="A35" s="22" t="s">
        <v>309</v>
      </c>
      <c r="B35" s="11" t="s">
        <v>305</v>
      </c>
      <c r="C35" s="11" t="s">
        <v>6</v>
      </c>
      <c r="D35" s="11" t="s">
        <v>6</v>
      </c>
      <c r="E35" s="11" t="s">
        <v>6</v>
      </c>
      <c r="F35" s="11" t="s">
        <v>6</v>
      </c>
      <c r="G35" s="94" t="s">
        <v>1112</v>
      </c>
      <c r="H35" s="94" t="s">
        <v>1111</v>
      </c>
      <c r="I35" s="11"/>
      <c r="J35" s="11"/>
      <c r="K35" s="11"/>
      <c r="L35" s="11"/>
      <c r="M35" s="10"/>
      <c r="N35" s="10"/>
      <c r="O35" s="10"/>
      <c r="P35" s="10"/>
      <c r="Q35" s="10"/>
      <c r="R35" s="10"/>
      <c r="S35" s="10"/>
      <c r="T35" s="10"/>
      <c r="U35" s="10"/>
      <c r="V35" s="10"/>
    </row>
    <row r="36" spans="1:22" ht="15" customHeight="1" x14ac:dyDescent="0.2">
      <c r="A36" s="22" t="s">
        <v>310</v>
      </c>
      <c r="B36" s="11" t="s">
        <v>305</v>
      </c>
      <c r="C36" s="11" t="s">
        <v>6</v>
      </c>
      <c r="D36" s="11" t="s">
        <v>6</v>
      </c>
      <c r="E36" s="11" t="s">
        <v>6</v>
      </c>
      <c r="F36" s="11" t="s">
        <v>6</v>
      </c>
      <c r="G36" s="94" t="s">
        <v>1114</v>
      </c>
      <c r="H36" s="94" t="s">
        <v>1113</v>
      </c>
      <c r="I36" s="11"/>
      <c r="J36" s="11"/>
      <c r="K36" s="11"/>
      <c r="L36" s="11"/>
      <c r="M36" s="10"/>
      <c r="N36" s="10"/>
      <c r="O36" s="10"/>
      <c r="P36" s="10"/>
      <c r="Q36" s="10"/>
      <c r="R36" s="10"/>
      <c r="S36" s="10"/>
      <c r="T36" s="10"/>
      <c r="U36" s="10"/>
      <c r="V36" s="10"/>
    </row>
    <row r="37" spans="1:22" ht="15" customHeight="1" x14ac:dyDescent="0.2">
      <c r="A37" s="23" t="s">
        <v>314</v>
      </c>
      <c r="B37" s="12" t="s">
        <v>305</v>
      </c>
      <c r="C37" s="12" t="s">
        <v>6</v>
      </c>
      <c r="D37" s="12" t="s">
        <v>6</v>
      </c>
      <c r="E37" s="12" t="s">
        <v>6</v>
      </c>
      <c r="F37" s="12" t="s">
        <v>6</v>
      </c>
      <c r="G37" s="94" t="s">
        <v>1116</v>
      </c>
      <c r="H37" s="94" t="s">
        <v>1115</v>
      </c>
      <c r="I37" s="12"/>
      <c r="J37" s="12"/>
      <c r="K37" s="12"/>
      <c r="L37" s="12"/>
      <c r="M37" s="10"/>
      <c r="N37" s="10"/>
      <c r="O37" s="10"/>
      <c r="P37" s="10"/>
      <c r="Q37" s="10"/>
      <c r="R37" s="10"/>
      <c r="S37" s="10"/>
      <c r="T37" s="10"/>
      <c r="U37" s="10"/>
      <c r="V37" s="10"/>
    </row>
    <row r="38" spans="1:22" ht="15" customHeight="1" x14ac:dyDescent="0.2">
      <c r="A38" s="24">
        <v>698</v>
      </c>
      <c r="B38" s="13" t="s">
        <v>248</v>
      </c>
      <c r="C38" s="13" t="s">
        <v>4</v>
      </c>
      <c r="D38" s="13" t="s">
        <v>4</v>
      </c>
      <c r="E38" s="13" t="s">
        <v>6</v>
      </c>
      <c r="F38" s="13" t="s">
        <v>6</v>
      </c>
      <c r="G38" s="94" t="s">
        <v>460</v>
      </c>
      <c r="H38" s="94" t="s">
        <v>459</v>
      </c>
      <c r="I38" s="13">
        <f>COUNTIF(C38:C55,"Y")</f>
        <v>0</v>
      </c>
      <c r="J38" s="13">
        <f>COUNTIF(D38:D55,"Y")</f>
        <v>0</v>
      </c>
      <c r="K38" s="13">
        <f>COUNTIF(E38:E55,"Y")</f>
        <v>2</v>
      </c>
      <c r="L38" s="13">
        <f>COUNTIF(F38:F55,"Y")</f>
        <v>2</v>
      </c>
      <c r="M38" s="10"/>
      <c r="N38" s="10"/>
      <c r="O38" s="10"/>
      <c r="P38" s="10"/>
      <c r="Q38" s="10"/>
      <c r="R38" s="10"/>
      <c r="S38" s="10"/>
      <c r="T38" s="10"/>
      <c r="U38" s="10"/>
      <c r="V38" s="10"/>
    </row>
    <row r="39" spans="1:22" ht="15" customHeight="1" x14ac:dyDescent="0.2">
      <c r="A39" s="22">
        <v>1836</v>
      </c>
      <c r="B39" s="11" t="s">
        <v>248</v>
      </c>
      <c r="C39" s="11" t="s">
        <v>4</v>
      </c>
      <c r="D39" s="11" t="s">
        <v>4</v>
      </c>
      <c r="E39" s="11" t="s">
        <v>6</v>
      </c>
      <c r="F39" s="11" t="s">
        <v>6</v>
      </c>
      <c r="G39" s="94" t="s">
        <v>510</v>
      </c>
      <c r="H39" s="94" t="s">
        <v>509</v>
      </c>
      <c r="I39" s="11"/>
      <c r="J39" s="11"/>
      <c r="K39" s="11"/>
      <c r="L39" s="11"/>
      <c r="M39" s="10"/>
      <c r="N39" s="10"/>
      <c r="O39" s="10"/>
      <c r="P39" s="10"/>
      <c r="Q39" s="10"/>
      <c r="R39" s="10"/>
      <c r="S39" s="10"/>
      <c r="T39" s="10"/>
      <c r="U39" s="10"/>
      <c r="V39" s="10"/>
    </row>
    <row r="40" spans="1:22" x14ac:dyDescent="0.2">
      <c r="A40" s="22">
        <v>6991</v>
      </c>
      <c r="B40" s="11" t="s">
        <v>248</v>
      </c>
      <c r="C40" s="11" t="s">
        <v>4</v>
      </c>
      <c r="D40" s="11" t="s">
        <v>4</v>
      </c>
      <c r="E40" s="11" t="s">
        <v>4</v>
      </c>
      <c r="F40" s="11" t="s">
        <v>4</v>
      </c>
      <c r="G40" s="94" t="s">
        <v>624</v>
      </c>
      <c r="H40" s="94" t="s">
        <v>623</v>
      </c>
      <c r="I40" s="11"/>
      <c r="J40" s="11"/>
      <c r="K40" s="11"/>
      <c r="L40" s="11"/>
      <c r="M40" s="10"/>
      <c r="N40" s="10"/>
      <c r="O40" s="10"/>
      <c r="P40" s="10"/>
      <c r="Q40" s="10"/>
      <c r="R40" s="10"/>
      <c r="S40" s="10"/>
      <c r="T40" s="10"/>
      <c r="U40" s="10"/>
      <c r="V40" s="10"/>
    </row>
    <row r="41" spans="1:22" x14ac:dyDescent="0.2">
      <c r="A41" s="22">
        <v>9470</v>
      </c>
      <c r="B41" s="11" t="s">
        <v>248</v>
      </c>
      <c r="C41" s="11" t="s">
        <v>4</v>
      </c>
      <c r="D41" s="11" t="s">
        <v>4</v>
      </c>
      <c r="E41" s="11" t="s">
        <v>4</v>
      </c>
      <c r="F41" s="11" t="s">
        <v>4</v>
      </c>
      <c r="G41" s="94" t="s">
        <v>654</v>
      </c>
      <c r="H41" s="94" t="s">
        <v>653</v>
      </c>
      <c r="I41" s="11"/>
      <c r="J41" s="11"/>
      <c r="K41" s="11"/>
      <c r="L41" s="11"/>
      <c r="M41" s="10"/>
      <c r="N41" s="10"/>
      <c r="O41" s="10"/>
      <c r="P41" s="10"/>
      <c r="Q41" s="10"/>
      <c r="R41" s="10"/>
      <c r="S41" s="10"/>
      <c r="T41" s="10"/>
      <c r="U41" s="10"/>
      <c r="V41" s="10"/>
    </row>
    <row r="42" spans="1:22" x14ac:dyDescent="0.2">
      <c r="A42" s="22" t="s">
        <v>326</v>
      </c>
      <c r="B42" s="11" t="s">
        <v>248</v>
      </c>
      <c r="C42" s="11" t="s">
        <v>4</v>
      </c>
      <c r="D42" s="11" t="s">
        <v>4</v>
      </c>
      <c r="E42" s="11" t="s">
        <v>4</v>
      </c>
      <c r="F42" s="11" t="s">
        <v>4</v>
      </c>
      <c r="G42" s="94" t="s">
        <v>714</v>
      </c>
      <c r="H42" s="94" t="s">
        <v>713</v>
      </c>
      <c r="I42" s="11"/>
      <c r="J42" s="11"/>
      <c r="K42" s="11"/>
      <c r="L42" s="11"/>
      <c r="M42" s="10"/>
      <c r="N42" s="10"/>
      <c r="O42" s="10"/>
      <c r="P42" s="10"/>
      <c r="Q42" s="10"/>
      <c r="R42" s="10"/>
      <c r="S42" s="10"/>
      <c r="T42" s="10"/>
      <c r="U42" s="10"/>
      <c r="V42" s="10"/>
    </row>
    <row r="43" spans="1:22" x14ac:dyDescent="0.2">
      <c r="A43" s="22" t="s">
        <v>333</v>
      </c>
      <c r="B43" s="11" t="s">
        <v>248</v>
      </c>
      <c r="C43" s="11" t="s">
        <v>4</v>
      </c>
      <c r="D43" s="11" t="s">
        <v>4</v>
      </c>
      <c r="E43" s="11" t="s">
        <v>4</v>
      </c>
      <c r="F43" s="11" t="s">
        <v>4</v>
      </c>
      <c r="G43" s="94" t="s">
        <v>726</v>
      </c>
      <c r="H43" s="94" t="s">
        <v>725</v>
      </c>
      <c r="I43" s="11"/>
      <c r="J43" s="11"/>
      <c r="K43" s="11"/>
      <c r="L43" s="11"/>
      <c r="M43" s="10"/>
      <c r="N43" s="10"/>
      <c r="O43" s="10"/>
      <c r="P43" s="10"/>
      <c r="Q43" s="10"/>
      <c r="R43" s="10"/>
      <c r="S43" s="10"/>
      <c r="T43" s="10"/>
      <c r="U43" s="10"/>
      <c r="V43" s="10"/>
    </row>
    <row r="44" spans="1:22" x14ac:dyDescent="0.2">
      <c r="A44" s="22" t="s">
        <v>332</v>
      </c>
      <c r="B44" s="11" t="s">
        <v>248</v>
      </c>
      <c r="C44" s="11" t="s">
        <v>4</v>
      </c>
      <c r="D44" s="11" t="s">
        <v>4</v>
      </c>
      <c r="E44" s="11" t="s">
        <v>4</v>
      </c>
      <c r="F44" s="11" t="s">
        <v>4</v>
      </c>
      <c r="G44" s="94" t="s">
        <v>740</v>
      </c>
      <c r="H44" s="94" t="s">
        <v>739</v>
      </c>
      <c r="I44" s="11"/>
      <c r="J44" s="11"/>
      <c r="K44" s="11"/>
      <c r="L44" s="11"/>
      <c r="M44" s="10"/>
      <c r="N44" s="10"/>
      <c r="O44" s="10"/>
      <c r="P44" s="10"/>
      <c r="Q44" s="10"/>
      <c r="R44" s="10"/>
      <c r="S44" s="10"/>
      <c r="T44" s="10"/>
      <c r="U44" s="10"/>
      <c r="V44" s="10"/>
    </row>
    <row r="45" spans="1:22" x14ac:dyDescent="0.2">
      <c r="A45" s="22" t="s">
        <v>325</v>
      </c>
      <c r="B45" s="11" t="s">
        <v>248</v>
      </c>
      <c r="C45" s="11" t="s">
        <v>4</v>
      </c>
      <c r="D45" s="11" t="s">
        <v>4</v>
      </c>
      <c r="E45" s="11" t="s">
        <v>4</v>
      </c>
      <c r="F45" s="11" t="s">
        <v>4</v>
      </c>
      <c r="G45" s="94" t="s">
        <v>744</v>
      </c>
      <c r="H45" s="94" t="s">
        <v>743</v>
      </c>
      <c r="I45" s="11"/>
      <c r="J45" s="11"/>
      <c r="K45" s="11"/>
      <c r="L45" s="11"/>
      <c r="M45" s="10"/>
      <c r="N45" s="10"/>
      <c r="O45" s="10"/>
      <c r="P45" s="10"/>
      <c r="Q45" s="10"/>
      <c r="R45" s="10"/>
      <c r="S45" s="10"/>
      <c r="T45" s="10"/>
      <c r="U45" s="10"/>
      <c r="V45" s="10"/>
    </row>
    <row r="46" spans="1:22" x14ac:dyDescent="0.2">
      <c r="A46" s="22" t="s">
        <v>334</v>
      </c>
      <c r="B46" s="11" t="s">
        <v>248</v>
      </c>
      <c r="C46" s="11" t="s">
        <v>4</v>
      </c>
      <c r="D46" s="11" t="s">
        <v>4</v>
      </c>
      <c r="E46" s="11" t="s">
        <v>4</v>
      </c>
      <c r="F46" s="11" t="s">
        <v>4</v>
      </c>
      <c r="G46" s="94" t="s">
        <v>746</v>
      </c>
      <c r="H46" s="94" t="s">
        <v>745</v>
      </c>
      <c r="I46" s="11"/>
      <c r="J46" s="11"/>
      <c r="K46" s="11"/>
      <c r="L46" s="11"/>
      <c r="M46" s="10"/>
      <c r="N46" s="10"/>
      <c r="O46" s="10"/>
      <c r="P46" s="10"/>
      <c r="Q46" s="10"/>
      <c r="R46" s="10"/>
      <c r="S46" s="10"/>
      <c r="T46" s="10"/>
      <c r="U46" s="10"/>
      <c r="V46" s="10"/>
    </row>
    <row r="47" spans="1:22" x14ac:dyDescent="0.2">
      <c r="A47" s="22" t="s">
        <v>324</v>
      </c>
      <c r="B47" s="11" t="s">
        <v>248</v>
      </c>
      <c r="C47" s="11" t="s">
        <v>4</v>
      </c>
      <c r="D47" s="11" t="s">
        <v>4</v>
      </c>
      <c r="E47" s="11" t="s">
        <v>4</v>
      </c>
      <c r="F47" s="11" t="s">
        <v>4</v>
      </c>
      <c r="G47" s="94" t="s">
        <v>750</v>
      </c>
      <c r="H47" s="94" t="s">
        <v>749</v>
      </c>
      <c r="I47" s="11"/>
      <c r="J47" s="11"/>
      <c r="K47" s="11"/>
      <c r="L47" s="11"/>
      <c r="M47" s="10"/>
      <c r="N47" s="10"/>
      <c r="O47" s="10"/>
      <c r="P47" s="10"/>
      <c r="Q47" s="10"/>
      <c r="R47" s="10"/>
      <c r="S47" s="10"/>
      <c r="T47" s="10"/>
      <c r="U47" s="10"/>
      <c r="V47" s="10"/>
    </row>
    <row r="48" spans="1:22" x14ac:dyDescent="0.2">
      <c r="A48" s="22" t="s">
        <v>331</v>
      </c>
      <c r="B48" s="11" t="s">
        <v>248</v>
      </c>
      <c r="C48" s="11" t="s">
        <v>4</v>
      </c>
      <c r="D48" s="11" t="s">
        <v>4</v>
      </c>
      <c r="E48" s="11" t="s">
        <v>4</v>
      </c>
      <c r="F48" s="11" t="s">
        <v>4</v>
      </c>
      <c r="G48" s="94" t="s">
        <v>844</v>
      </c>
      <c r="H48" s="94" t="s">
        <v>843</v>
      </c>
      <c r="I48" s="11"/>
      <c r="J48" s="11"/>
      <c r="K48" s="11"/>
      <c r="L48" s="11"/>
      <c r="M48" s="10"/>
      <c r="N48" s="10"/>
      <c r="O48" s="10"/>
      <c r="P48" s="10"/>
      <c r="Q48" s="10"/>
      <c r="R48" s="10"/>
      <c r="S48" s="10"/>
      <c r="T48" s="10"/>
      <c r="U48" s="10"/>
      <c r="V48" s="10"/>
    </row>
    <row r="49" spans="1:22" x14ac:dyDescent="0.2">
      <c r="A49" s="22" t="s">
        <v>328</v>
      </c>
      <c r="B49" s="11" t="s">
        <v>248</v>
      </c>
      <c r="C49" s="11" t="s">
        <v>4</v>
      </c>
      <c r="D49" s="11" t="s">
        <v>4</v>
      </c>
      <c r="E49" s="11" t="s">
        <v>4</v>
      </c>
      <c r="F49" s="11" t="s">
        <v>4</v>
      </c>
      <c r="G49" s="94" t="s">
        <v>874</v>
      </c>
      <c r="H49" s="94" t="s">
        <v>873</v>
      </c>
      <c r="I49" s="11"/>
      <c r="J49" s="11"/>
      <c r="K49" s="11"/>
      <c r="L49" s="11"/>
      <c r="M49" s="10"/>
      <c r="N49" s="10"/>
      <c r="O49" s="10"/>
      <c r="P49" s="10"/>
      <c r="Q49" s="10"/>
      <c r="R49" s="10"/>
      <c r="S49" s="10"/>
      <c r="T49" s="10"/>
      <c r="U49" s="10"/>
      <c r="V49" s="10"/>
    </row>
    <row r="50" spans="1:22" x14ac:dyDescent="0.2">
      <c r="A50" s="22" t="s">
        <v>336</v>
      </c>
      <c r="B50" s="11" t="s">
        <v>248</v>
      </c>
      <c r="C50" s="11" t="s">
        <v>4</v>
      </c>
      <c r="D50" s="11" t="s">
        <v>4</v>
      </c>
      <c r="E50" s="11" t="s">
        <v>4</v>
      </c>
      <c r="F50" s="11" t="s">
        <v>4</v>
      </c>
      <c r="G50" s="94" t="s">
        <v>880</v>
      </c>
      <c r="H50" s="94" t="s">
        <v>879</v>
      </c>
      <c r="I50" s="11"/>
      <c r="J50" s="11"/>
      <c r="K50" s="11"/>
      <c r="L50" s="11"/>
      <c r="M50" s="10"/>
      <c r="N50" s="10"/>
      <c r="O50" s="10"/>
      <c r="P50" s="10"/>
      <c r="Q50" s="10"/>
      <c r="R50" s="10"/>
      <c r="S50" s="10"/>
      <c r="T50" s="10"/>
      <c r="U50" s="10"/>
      <c r="V50" s="10"/>
    </row>
    <row r="51" spans="1:22" x14ac:dyDescent="0.2">
      <c r="A51" s="22" t="s">
        <v>323</v>
      </c>
      <c r="B51" s="11" t="s">
        <v>248</v>
      </c>
      <c r="C51" s="11" t="s">
        <v>4</v>
      </c>
      <c r="D51" s="11" t="s">
        <v>4</v>
      </c>
      <c r="E51" s="11" t="s">
        <v>4</v>
      </c>
      <c r="F51" s="11" t="s">
        <v>4</v>
      </c>
      <c r="G51" s="94" t="s">
        <v>882</v>
      </c>
      <c r="H51" s="94" t="s">
        <v>881</v>
      </c>
      <c r="I51" s="11"/>
      <c r="J51" s="11"/>
      <c r="K51" s="11"/>
      <c r="L51" s="11"/>
      <c r="M51" s="10"/>
      <c r="N51" s="10"/>
      <c r="O51" s="10"/>
      <c r="P51" s="10"/>
      <c r="Q51" s="10"/>
      <c r="R51" s="10"/>
      <c r="S51" s="10"/>
      <c r="T51" s="10"/>
      <c r="U51" s="10"/>
      <c r="V51" s="10"/>
    </row>
    <row r="52" spans="1:22" x14ac:dyDescent="0.2">
      <c r="A52" s="22" t="s">
        <v>327</v>
      </c>
      <c r="B52" s="11" t="s">
        <v>248</v>
      </c>
      <c r="C52" s="11" t="s">
        <v>4</v>
      </c>
      <c r="D52" s="11" t="s">
        <v>4</v>
      </c>
      <c r="E52" s="11" t="s">
        <v>4</v>
      </c>
      <c r="F52" s="11" t="s">
        <v>4</v>
      </c>
      <c r="G52" s="94" t="s">
        <v>888</v>
      </c>
      <c r="H52" s="94" t="s">
        <v>887</v>
      </c>
      <c r="I52" s="11"/>
      <c r="J52" s="11"/>
      <c r="K52" s="11"/>
      <c r="L52" s="11"/>
      <c r="M52" s="10"/>
      <c r="N52" s="10"/>
      <c r="O52" s="10"/>
      <c r="P52" s="10"/>
      <c r="Q52" s="10"/>
      <c r="R52" s="10"/>
      <c r="S52" s="10"/>
      <c r="T52" s="10"/>
      <c r="U52" s="10"/>
      <c r="V52" s="10"/>
    </row>
    <row r="53" spans="1:22" x14ac:dyDescent="0.2">
      <c r="A53" s="22" t="s">
        <v>330</v>
      </c>
      <c r="B53" s="11" t="s">
        <v>248</v>
      </c>
      <c r="C53" s="11" t="s">
        <v>4</v>
      </c>
      <c r="D53" s="11" t="s">
        <v>4</v>
      </c>
      <c r="E53" s="11" t="s">
        <v>4</v>
      </c>
      <c r="F53" s="11" t="s">
        <v>4</v>
      </c>
      <c r="G53" s="94" t="s">
        <v>892</v>
      </c>
      <c r="H53" s="94" t="s">
        <v>891</v>
      </c>
      <c r="I53" s="11"/>
      <c r="J53" s="11"/>
      <c r="K53" s="11"/>
      <c r="L53" s="11"/>
      <c r="M53" s="10"/>
      <c r="N53" s="10"/>
      <c r="O53" s="10"/>
      <c r="P53" s="10"/>
      <c r="Q53" s="10"/>
      <c r="R53" s="10"/>
      <c r="S53" s="10"/>
      <c r="T53" s="10"/>
      <c r="U53" s="10"/>
      <c r="V53" s="10"/>
    </row>
    <row r="54" spans="1:22" x14ac:dyDescent="0.2">
      <c r="A54" s="22" t="s">
        <v>329</v>
      </c>
      <c r="B54" s="11" t="s">
        <v>248</v>
      </c>
      <c r="C54" s="11" t="s">
        <v>4</v>
      </c>
      <c r="D54" s="11" t="s">
        <v>4</v>
      </c>
      <c r="E54" s="11" t="s">
        <v>4</v>
      </c>
      <c r="F54" s="11" t="s">
        <v>4</v>
      </c>
      <c r="G54" s="94" t="s">
        <v>900</v>
      </c>
      <c r="H54" s="94" t="s">
        <v>899</v>
      </c>
      <c r="I54" s="11"/>
      <c r="J54" s="11"/>
      <c r="K54" s="11"/>
      <c r="L54" s="11"/>
      <c r="M54" s="10"/>
      <c r="N54" s="10"/>
      <c r="O54" s="10"/>
      <c r="P54" s="10"/>
      <c r="Q54" s="10"/>
      <c r="R54" s="10"/>
      <c r="S54" s="10"/>
      <c r="T54" s="10"/>
      <c r="U54" s="10"/>
      <c r="V54" s="10"/>
    </row>
    <row r="55" spans="1:22" x14ac:dyDescent="0.2">
      <c r="A55" s="23" t="s">
        <v>335</v>
      </c>
      <c r="B55" s="12" t="s">
        <v>248</v>
      </c>
      <c r="C55" s="12" t="s">
        <v>4</v>
      </c>
      <c r="D55" s="12" t="s">
        <v>4</v>
      </c>
      <c r="E55" s="12" t="s">
        <v>4</v>
      </c>
      <c r="F55" s="12" t="s">
        <v>4</v>
      </c>
      <c r="G55" s="94" t="s">
        <v>902</v>
      </c>
      <c r="H55" s="94" t="s">
        <v>901</v>
      </c>
      <c r="I55" s="12"/>
      <c r="J55" s="12"/>
      <c r="K55" s="12"/>
      <c r="L55" s="12"/>
      <c r="M55" s="10"/>
      <c r="N55" s="10"/>
      <c r="O55" s="10"/>
      <c r="P55" s="10"/>
      <c r="Q55" s="10"/>
      <c r="R55" s="10"/>
      <c r="S55" s="10"/>
      <c r="T55" s="10"/>
      <c r="U55" s="10"/>
      <c r="V55" s="10"/>
    </row>
    <row r="56" spans="1:22" x14ac:dyDescent="0.2">
      <c r="A56" s="24">
        <v>1403</v>
      </c>
      <c r="B56" s="13" t="s">
        <v>267</v>
      </c>
      <c r="C56" s="13" t="s">
        <v>4</v>
      </c>
      <c r="D56" s="13" t="s">
        <v>4</v>
      </c>
      <c r="E56" s="13" t="s">
        <v>4</v>
      </c>
      <c r="F56" s="13" t="s">
        <v>4</v>
      </c>
      <c r="G56" s="94" t="s">
        <v>490</v>
      </c>
      <c r="H56" s="94" t="s">
        <v>489</v>
      </c>
      <c r="I56" s="13">
        <f>COUNTIF(C56:C73,"Y")</f>
        <v>4</v>
      </c>
      <c r="J56" s="13">
        <f>COUNTIF(D56:D73,"Y")</f>
        <v>4</v>
      </c>
      <c r="K56" s="13">
        <f>COUNTIF(E56:E73,"Y")</f>
        <v>4</v>
      </c>
      <c r="L56" s="13">
        <f>COUNTIF(F56:F73,"Y")</f>
        <v>5</v>
      </c>
      <c r="M56" s="10"/>
      <c r="N56" s="10"/>
      <c r="O56" s="10"/>
      <c r="P56" s="10"/>
      <c r="Q56" s="10"/>
      <c r="R56" s="10"/>
      <c r="S56" s="10"/>
      <c r="T56" s="10"/>
      <c r="U56" s="10"/>
      <c r="V56" s="10"/>
    </row>
    <row r="57" spans="1:22" x14ac:dyDescent="0.2">
      <c r="A57" s="22">
        <v>5174</v>
      </c>
      <c r="B57" s="11" t="s">
        <v>267</v>
      </c>
      <c r="C57" s="11" t="s">
        <v>4</v>
      </c>
      <c r="D57" s="11" t="s">
        <v>4</v>
      </c>
      <c r="E57" s="11" t="s">
        <v>4</v>
      </c>
      <c r="F57" s="11" t="s">
        <v>4</v>
      </c>
      <c r="G57" s="94" t="s">
        <v>598</v>
      </c>
      <c r="H57" s="94" t="s">
        <v>597</v>
      </c>
      <c r="I57" s="11"/>
      <c r="J57" s="11"/>
      <c r="K57" s="11"/>
      <c r="L57" s="11"/>
      <c r="M57" s="10"/>
      <c r="N57" s="10"/>
      <c r="O57" s="10"/>
      <c r="P57" s="10"/>
      <c r="Q57" s="10"/>
      <c r="R57" s="10"/>
      <c r="S57" s="10"/>
      <c r="T57" s="10"/>
      <c r="U57" s="10"/>
      <c r="V57" s="10"/>
    </row>
    <row r="58" spans="1:22" x14ac:dyDescent="0.2">
      <c r="A58" s="22" t="s">
        <v>351</v>
      </c>
      <c r="B58" s="11" t="s">
        <v>267</v>
      </c>
      <c r="C58" s="11" t="s">
        <v>4</v>
      </c>
      <c r="D58" s="11" t="s">
        <v>4</v>
      </c>
      <c r="E58" s="11" t="s">
        <v>4</v>
      </c>
      <c r="F58" s="11" t="s">
        <v>4</v>
      </c>
      <c r="G58" s="94" t="s">
        <v>716</v>
      </c>
      <c r="H58" s="94" t="s">
        <v>715</v>
      </c>
      <c r="I58" s="11"/>
      <c r="J58" s="11"/>
      <c r="K58" s="11"/>
      <c r="L58" s="11"/>
      <c r="M58" s="10"/>
      <c r="N58" s="10"/>
      <c r="O58" s="10"/>
      <c r="P58" s="10"/>
      <c r="Q58" s="10"/>
      <c r="R58" s="10"/>
      <c r="S58" s="10"/>
      <c r="T58" s="10"/>
      <c r="U58" s="10"/>
      <c r="V58" s="10"/>
    </row>
    <row r="59" spans="1:22" x14ac:dyDescent="0.2">
      <c r="A59" s="22" t="s">
        <v>348</v>
      </c>
      <c r="B59" s="11" t="s">
        <v>267</v>
      </c>
      <c r="C59" s="11" t="s">
        <v>6</v>
      </c>
      <c r="D59" s="11" t="s">
        <v>6</v>
      </c>
      <c r="E59" s="11" t="s">
        <v>6</v>
      </c>
      <c r="F59" s="11" t="s">
        <v>6</v>
      </c>
      <c r="G59" s="94" t="s">
        <v>720</v>
      </c>
      <c r="H59" s="94" t="s">
        <v>719</v>
      </c>
      <c r="I59" s="11"/>
      <c r="J59" s="11"/>
      <c r="K59" s="11"/>
      <c r="L59" s="11"/>
      <c r="M59" s="10"/>
      <c r="N59" s="10"/>
      <c r="O59" s="10"/>
      <c r="P59" s="10"/>
      <c r="Q59" s="10"/>
      <c r="R59" s="10"/>
      <c r="S59" s="10"/>
      <c r="T59" s="10"/>
      <c r="U59" s="10"/>
      <c r="V59" s="10"/>
    </row>
    <row r="60" spans="1:22" x14ac:dyDescent="0.2">
      <c r="A60" s="22" t="s">
        <v>344</v>
      </c>
      <c r="B60" s="11" t="s">
        <v>267</v>
      </c>
      <c r="C60" s="11" t="s">
        <v>6</v>
      </c>
      <c r="D60" s="11" t="s">
        <v>6</v>
      </c>
      <c r="E60" s="11" t="s">
        <v>6</v>
      </c>
      <c r="F60" s="11" t="s">
        <v>6</v>
      </c>
      <c r="G60" s="94" t="s">
        <v>728</v>
      </c>
      <c r="H60" s="94" t="s">
        <v>727</v>
      </c>
      <c r="I60" s="11"/>
      <c r="J60" s="11"/>
      <c r="K60" s="11"/>
      <c r="L60" s="11"/>
      <c r="M60" s="10"/>
      <c r="N60" s="10"/>
      <c r="O60" s="10"/>
      <c r="P60" s="10"/>
      <c r="Q60" s="10"/>
      <c r="R60" s="10"/>
      <c r="S60" s="10"/>
      <c r="T60" s="10"/>
      <c r="U60" s="10"/>
      <c r="V60" s="10"/>
    </row>
    <row r="61" spans="1:22" x14ac:dyDescent="0.2">
      <c r="A61" s="22" t="s">
        <v>350</v>
      </c>
      <c r="B61" s="11" t="s">
        <v>267</v>
      </c>
      <c r="C61" s="11" t="s">
        <v>4</v>
      </c>
      <c r="D61" s="11" t="s">
        <v>4</v>
      </c>
      <c r="E61" s="11" t="s">
        <v>4</v>
      </c>
      <c r="F61" s="11" t="s">
        <v>6</v>
      </c>
      <c r="G61" s="94" t="s">
        <v>730</v>
      </c>
      <c r="H61" s="94" t="s">
        <v>729</v>
      </c>
      <c r="I61" s="11"/>
      <c r="J61" s="11"/>
      <c r="K61" s="11"/>
      <c r="L61" s="11"/>
      <c r="M61" s="10"/>
      <c r="N61" s="10"/>
      <c r="O61" s="10"/>
      <c r="P61" s="10"/>
      <c r="Q61" s="10"/>
      <c r="R61" s="10"/>
      <c r="S61" s="10"/>
      <c r="T61" s="10"/>
      <c r="U61" s="10"/>
      <c r="V61" s="10"/>
    </row>
    <row r="62" spans="1:22" x14ac:dyDescent="0.2">
      <c r="A62" s="22" t="s">
        <v>341</v>
      </c>
      <c r="B62" s="11" t="s">
        <v>267</v>
      </c>
      <c r="C62" s="11" t="s">
        <v>4</v>
      </c>
      <c r="D62" s="11" t="s">
        <v>4</v>
      </c>
      <c r="E62" s="11" t="s">
        <v>4</v>
      </c>
      <c r="F62" s="11" t="s">
        <v>4</v>
      </c>
      <c r="G62" s="94" t="s">
        <v>732</v>
      </c>
      <c r="H62" s="94" t="s">
        <v>731</v>
      </c>
      <c r="I62" s="11"/>
      <c r="J62" s="11"/>
      <c r="K62" s="11"/>
      <c r="L62" s="11"/>
      <c r="M62" s="10"/>
      <c r="N62" s="10"/>
      <c r="O62" s="10"/>
      <c r="P62" s="10"/>
      <c r="Q62" s="10"/>
      <c r="R62" s="10"/>
      <c r="S62" s="10"/>
      <c r="T62" s="10"/>
      <c r="U62" s="10"/>
      <c r="V62" s="10"/>
    </row>
    <row r="63" spans="1:22" x14ac:dyDescent="0.2">
      <c r="A63" s="22" t="s">
        <v>340</v>
      </c>
      <c r="B63" s="11" t="s">
        <v>267</v>
      </c>
      <c r="C63" s="11" t="s">
        <v>4</v>
      </c>
      <c r="D63" s="11" t="s">
        <v>4</v>
      </c>
      <c r="E63" s="11" t="s">
        <v>4</v>
      </c>
      <c r="F63" s="11" t="s">
        <v>4</v>
      </c>
      <c r="G63" s="94" t="s">
        <v>734</v>
      </c>
      <c r="H63" s="94" t="s">
        <v>733</v>
      </c>
      <c r="I63" s="11"/>
      <c r="J63" s="11"/>
      <c r="K63" s="11"/>
      <c r="L63" s="11"/>
      <c r="M63" s="10"/>
      <c r="N63" s="10"/>
      <c r="O63" s="10"/>
      <c r="P63" s="10"/>
      <c r="Q63" s="10"/>
      <c r="R63" s="10"/>
      <c r="S63" s="10"/>
      <c r="T63" s="10"/>
      <c r="U63" s="10"/>
      <c r="V63" s="10"/>
    </row>
    <row r="64" spans="1:22" x14ac:dyDescent="0.2">
      <c r="A64" s="22" t="s">
        <v>339</v>
      </c>
      <c r="B64" s="11" t="s">
        <v>267</v>
      </c>
      <c r="C64" s="11" t="s">
        <v>4</v>
      </c>
      <c r="D64" s="11" t="s">
        <v>4</v>
      </c>
      <c r="E64" s="11" t="s">
        <v>4</v>
      </c>
      <c r="F64" s="11" t="s">
        <v>4</v>
      </c>
      <c r="G64" s="94" t="s">
        <v>738</v>
      </c>
      <c r="H64" s="94" t="s">
        <v>737</v>
      </c>
      <c r="I64" s="11"/>
      <c r="J64" s="11"/>
      <c r="K64" s="11"/>
      <c r="L64" s="11"/>
      <c r="M64" s="10"/>
      <c r="N64" s="10"/>
      <c r="O64" s="10"/>
      <c r="P64" s="10"/>
      <c r="Q64" s="10"/>
      <c r="R64" s="10"/>
      <c r="S64" s="10"/>
      <c r="T64" s="10"/>
      <c r="U64" s="10"/>
      <c r="V64" s="10"/>
    </row>
    <row r="65" spans="1:22" x14ac:dyDescent="0.2">
      <c r="A65" s="22" t="s">
        <v>338</v>
      </c>
      <c r="B65" s="11" t="s">
        <v>267</v>
      </c>
      <c r="C65" s="11" t="s">
        <v>4</v>
      </c>
      <c r="D65" s="11" t="s">
        <v>4</v>
      </c>
      <c r="E65" s="11" t="s">
        <v>4</v>
      </c>
      <c r="F65" s="11" t="s">
        <v>4</v>
      </c>
      <c r="G65" s="94" t="s">
        <v>784</v>
      </c>
      <c r="H65" s="94" t="s">
        <v>783</v>
      </c>
      <c r="I65" s="11"/>
      <c r="J65" s="11"/>
      <c r="K65" s="11"/>
      <c r="L65" s="11"/>
      <c r="M65" s="10"/>
      <c r="N65" s="10"/>
      <c r="O65" s="10"/>
      <c r="P65" s="10"/>
      <c r="Q65" s="10"/>
      <c r="R65" s="10"/>
      <c r="S65" s="10"/>
      <c r="T65" s="10"/>
      <c r="U65" s="10"/>
      <c r="V65" s="10"/>
    </row>
    <row r="66" spans="1:22" x14ac:dyDescent="0.2">
      <c r="A66" s="22" t="s">
        <v>346</v>
      </c>
      <c r="B66" s="11" t="s">
        <v>267</v>
      </c>
      <c r="C66" s="11" t="s">
        <v>4</v>
      </c>
      <c r="D66" s="11" t="s">
        <v>4</v>
      </c>
      <c r="E66" s="11" t="s">
        <v>4</v>
      </c>
      <c r="F66" s="11" t="s">
        <v>4</v>
      </c>
      <c r="G66" s="94" t="s">
        <v>834</v>
      </c>
      <c r="H66" s="94" t="s">
        <v>833</v>
      </c>
      <c r="I66" s="11"/>
      <c r="J66" s="11"/>
      <c r="K66" s="11"/>
      <c r="L66" s="11"/>
      <c r="M66" s="10"/>
      <c r="N66" s="10"/>
      <c r="O66" s="10"/>
      <c r="P66" s="10"/>
      <c r="Q66" s="10"/>
      <c r="R66" s="10"/>
      <c r="S66" s="10"/>
      <c r="T66" s="10"/>
      <c r="U66" s="10"/>
      <c r="V66" s="10"/>
    </row>
    <row r="67" spans="1:22" x14ac:dyDescent="0.2">
      <c r="A67" s="22" t="s">
        <v>349</v>
      </c>
      <c r="B67" s="11" t="s">
        <v>267</v>
      </c>
      <c r="C67" s="11" t="s">
        <v>6</v>
      </c>
      <c r="D67" s="11" t="s">
        <v>6</v>
      </c>
      <c r="E67" s="11" t="s">
        <v>6</v>
      </c>
      <c r="F67" s="11" t="s">
        <v>6</v>
      </c>
      <c r="G67" s="94" t="s">
        <v>836</v>
      </c>
      <c r="H67" s="94" t="s">
        <v>835</v>
      </c>
      <c r="I67" s="11"/>
      <c r="J67" s="11"/>
      <c r="K67" s="11"/>
      <c r="L67" s="11"/>
      <c r="M67" s="10"/>
      <c r="N67" s="10"/>
      <c r="O67" s="10"/>
      <c r="P67" s="10"/>
      <c r="Q67" s="10"/>
      <c r="R67" s="10"/>
      <c r="S67" s="10"/>
      <c r="T67" s="10"/>
      <c r="U67" s="10"/>
      <c r="V67" s="10"/>
    </row>
    <row r="68" spans="1:22" x14ac:dyDescent="0.2">
      <c r="A68" s="22" t="s">
        <v>342</v>
      </c>
      <c r="B68" s="11" t="s">
        <v>267</v>
      </c>
      <c r="C68" s="11" t="s">
        <v>4</v>
      </c>
      <c r="D68" s="11" t="s">
        <v>4</v>
      </c>
      <c r="E68" s="11" t="s">
        <v>4</v>
      </c>
      <c r="F68" s="11" t="s">
        <v>4</v>
      </c>
      <c r="G68" s="94" t="s">
        <v>856</v>
      </c>
      <c r="H68" s="94" t="s">
        <v>855</v>
      </c>
      <c r="I68" s="11"/>
      <c r="J68" s="11"/>
      <c r="K68" s="11"/>
      <c r="L68" s="11"/>
      <c r="M68" s="10"/>
      <c r="N68" s="10"/>
      <c r="O68" s="10"/>
      <c r="P68" s="10"/>
      <c r="Q68" s="10"/>
      <c r="R68" s="10"/>
      <c r="S68" s="10"/>
      <c r="T68" s="10"/>
      <c r="U68" s="10"/>
      <c r="V68" s="10"/>
    </row>
    <row r="69" spans="1:22" x14ac:dyDescent="0.2">
      <c r="A69" s="22" t="s">
        <v>345</v>
      </c>
      <c r="B69" s="11" t="s">
        <v>267</v>
      </c>
      <c r="C69" s="11" t="s">
        <v>4</v>
      </c>
      <c r="D69" s="11" t="s">
        <v>4</v>
      </c>
      <c r="E69" s="11" t="s">
        <v>4</v>
      </c>
      <c r="F69" s="11" t="s">
        <v>4</v>
      </c>
      <c r="G69" s="94" t="s">
        <v>860</v>
      </c>
      <c r="H69" s="94" t="s">
        <v>859</v>
      </c>
      <c r="I69" s="11"/>
      <c r="J69" s="11"/>
      <c r="K69" s="11"/>
      <c r="L69" s="11"/>
      <c r="M69" s="10"/>
      <c r="N69" s="10"/>
      <c r="O69" s="10"/>
      <c r="P69" s="10"/>
      <c r="Q69" s="10"/>
      <c r="R69" s="10"/>
      <c r="S69" s="10"/>
      <c r="T69" s="10"/>
      <c r="U69" s="10"/>
      <c r="V69" s="10"/>
    </row>
    <row r="70" spans="1:22" x14ac:dyDescent="0.2">
      <c r="A70" s="22" t="s">
        <v>337</v>
      </c>
      <c r="B70" s="11" t="s">
        <v>267</v>
      </c>
      <c r="C70" s="11" t="s">
        <v>4</v>
      </c>
      <c r="D70" s="11" t="s">
        <v>4</v>
      </c>
      <c r="E70" s="11" t="s">
        <v>4</v>
      </c>
      <c r="F70" s="11" t="s">
        <v>4</v>
      </c>
      <c r="G70" s="94" t="s">
        <v>862</v>
      </c>
      <c r="H70" s="94" t="s">
        <v>861</v>
      </c>
      <c r="I70" s="11"/>
      <c r="J70" s="11"/>
      <c r="K70" s="11"/>
      <c r="L70" s="11"/>
      <c r="M70" s="10"/>
      <c r="N70" s="10"/>
      <c r="O70" s="10"/>
      <c r="P70" s="10"/>
      <c r="Q70" s="10"/>
      <c r="R70" s="10"/>
      <c r="S70" s="10"/>
      <c r="T70" s="10"/>
      <c r="U70" s="10"/>
      <c r="V70" s="10"/>
    </row>
    <row r="71" spans="1:22" x14ac:dyDescent="0.2">
      <c r="A71" s="22" t="s">
        <v>347</v>
      </c>
      <c r="B71" s="11" t="s">
        <v>267</v>
      </c>
      <c r="C71" s="11" t="s">
        <v>4</v>
      </c>
      <c r="D71" s="11" t="s">
        <v>4</v>
      </c>
      <c r="E71" s="11" t="s">
        <v>4</v>
      </c>
      <c r="F71" s="11" t="s">
        <v>4</v>
      </c>
      <c r="G71" s="94" t="s">
        <v>886</v>
      </c>
      <c r="H71" s="94" t="s">
        <v>885</v>
      </c>
      <c r="I71" s="11"/>
      <c r="J71" s="11"/>
      <c r="K71" s="11"/>
      <c r="L71" s="11"/>
      <c r="M71" s="10"/>
      <c r="N71" s="10"/>
      <c r="O71" s="10"/>
      <c r="P71" s="10"/>
      <c r="Q71" s="10"/>
      <c r="R71" s="10"/>
      <c r="S71" s="10"/>
      <c r="T71" s="10"/>
      <c r="U71" s="10"/>
      <c r="V71" s="10"/>
    </row>
    <row r="72" spans="1:22" x14ac:dyDescent="0.2">
      <c r="A72" s="22" t="s">
        <v>352</v>
      </c>
      <c r="B72" s="11" t="s">
        <v>267</v>
      </c>
      <c r="C72" s="11" t="s">
        <v>6</v>
      </c>
      <c r="D72" s="11" t="s">
        <v>6</v>
      </c>
      <c r="E72" s="11" t="s">
        <v>6</v>
      </c>
      <c r="F72" s="11" t="s">
        <v>6</v>
      </c>
      <c r="G72" s="94" t="s">
        <v>890</v>
      </c>
      <c r="H72" s="94" t="s">
        <v>889</v>
      </c>
      <c r="I72" s="11"/>
      <c r="J72" s="11"/>
      <c r="K72" s="11"/>
      <c r="L72" s="11"/>
      <c r="M72" s="10"/>
      <c r="N72" s="10"/>
      <c r="O72" s="10"/>
      <c r="P72" s="10"/>
      <c r="Q72" s="10"/>
      <c r="R72" s="10"/>
      <c r="S72" s="10"/>
      <c r="T72" s="10"/>
      <c r="U72" s="10"/>
      <c r="V72" s="10"/>
    </row>
    <row r="73" spans="1:22" x14ac:dyDescent="0.2">
      <c r="A73" s="22" t="s">
        <v>343</v>
      </c>
      <c r="B73" s="11" t="s">
        <v>267</v>
      </c>
      <c r="C73" s="11" t="s">
        <v>4</v>
      </c>
      <c r="D73" s="11" t="s">
        <v>4</v>
      </c>
      <c r="E73" s="11" t="s">
        <v>4</v>
      </c>
      <c r="F73" s="11" t="s">
        <v>4</v>
      </c>
      <c r="G73" s="94" t="s">
        <v>896</v>
      </c>
      <c r="H73" s="94" t="s">
        <v>895</v>
      </c>
      <c r="I73" s="11"/>
      <c r="J73" s="11"/>
      <c r="K73" s="11"/>
      <c r="L73" s="11"/>
      <c r="M73" s="10"/>
      <c r="N73" s="10"/>
      <c r="O73" s="10"/>
      <c r="P73" s="10"/>
      <c r="Q73" s="10"/>
      <c r="R73" s="10"/>
      <c r="S73" s="10"/>
      <c r="T73" s="10"/>
      <c r="U73" s="10"/>
      <c r="V73" s="10"/>
    </row>
    <row r="74" spans="1:22" x14ac:dyDescent="0.2">
      <c r="A74" s="25"/>
    </row>
    <row r="75" spans="1:22" x14ac:dyDescent="0.2">
      <c r="A75" s="25"/>
    </row>
    <row r="76" spans="1:22" x14ac:dyDescent="0.2">
      <c r="A76" s="25"/>
    </row>
    <row r="77" spans="1:22" x14ac:dyDescent="0.2">
      <c r="A77" s="25"/>
    </row>
    <row r="78" spans="1:22" x14ac:dyDescent="0.2">
      <c r="A78" s="25"/>
    </row>
    <row r="79" spans="1:22" x14ac:dyDescent="0.2">
      <c r="A79" s="25"/>
    </row>
    <row r="80" spans="1:22" x14ac:dyDescent="0.2">
      <c r="A80" s="25"/>
    </row>
    <row r="81" spans="1:1" x14ac:dyDescent="0.2">
      <c r="A81" s="25"/>
    </row>
    <row r="82" spans="1:1" x14ac:dyDescent="0.2">
      <c r="A82" s="25"/>
    </row>
  </sheetData>
  <autoFilter ref="A1:H82" xr:uid="{00000000-0001-0000-0500-000000000000}"/>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31"/>
  <sheetViews>
    <sheetView zoomScale="115" zoomScaleNormal="100" workbookViewId="0">
      <selection activeCell="I22" sqref="I22"/>
    </sheetView>
  </sheetViews>
  <sheetFormatPr baseColWidth="10" defaultColWidth="12.5" defaultRowHeight="15" customHeight="1" x14ac:dyDescent="0.15"/>
  <cols>
    <col min="8" max="8" width="17.5" customWidth="1"/>
  </cols>
  <sheetData>
    <row r="1" spans="1:10" ht="15" customHeight="1" x14ac:dyDescent="0.15">
      <c r="A1" s="26"/>
      <c r="B1" s="27" t="s">
        <v>353</v>
      </c>
      <c r="C1" s="27" t="s">
        <v>354</v>
      </c>
      <c r="D1" s="27" t="s">
        <v>355</v>
      </c>
      <c r="E1" s="27" t="s">
        <v>356</v>
      </c>
      <c r="F1" s="27" t="s">
        <v>357</v>
      </c>
      <c r="G1" s="27" t="s">
        <v>358</v>
      </c>
      <c r="H1" s="27" t="s">
        <v>359</v>
      </c>
      <c r="I1" s="28"/>
      <c r="J1" s="29" t="s">
        <v>81</v>
      </c>
    </row>
    <row r="2" spans="1:10" ht="15" customHeight="1" x14ac:dyDescent="0.15">
      <c r="A2" s="30" t="s">
        <v>360</v>
      </c>
      <c r="B2" s="31" t="s">
        <v>361</v>
      </c>
      <c r="C2" s="32" t="s">
        <v>119</v>
      </c>
      <c r="D2" s="33">
        <v>17</v>
      </c>
      <c r="E2" s="33">
        <v>5</v>
      </c>
      <c r="F2" s="33">
        <v>3</v>
      </c>
      <c r="G2" s="33">
        <v>0</v>
      </c>
      <c r="H2" s="34">
        <f t="shared" ref="H2:H26" si="0">100*G2/D2</f>
        <v>0</v>
      </c>
      <c r="I2" s="28"/>
      <c r="J2" s="10"/>
    </row>
    <row r="3" spans="1:10" ht="15" customHeight="1" x14ac:dyDescent="0.15">
      <c r="A3" s="35"/>
      <c r="B3" s="36"/>
      <c r="C3" s="32" t="s">
        <v>3</v>
      </c>
      <c r="D3" s="33">
        <v>18</v>
      </c>
      <c r="E3" s="33">
        <v>12</v>
      </c>
      <c r="F3" s="33">
        <v>9</v>
      </c>
      <c r="G3" s="33">
        <v>9</v>
      </c>
      <c r="H3" s="34">
        <f t="shared" si="0"/>
        <v>50</v>
      </c>
      <c r="I3" s="28"/>
      <c r="J3" s="10"/>
    </row>
    <row r="4" spans="1:10" ht="15" customHeight="1" x14ac:dyDescent="0.15">
      <c r="A4" s="35"/>
      <c r="B4" s="36"/>
      <c r="C4" s="32" t="s">
        <v>24</v>
      </c>
      <c r="D4" s="33">
        <v>18</v>
      </c>
      <c r="E4" s="33">
        <v>10</v>
      </c>
      <c r="F4" s="33">
        <v>5</v>
      </c>
      <c r="G4" s="33">
        <v>2</v>
      </c>
      <c r="H4" s="34">
        <f t="shared" si="0"/>
        <v>11.111111111111111</v>
      </c>
      <c r="I4" s="28"/>
      <c r="J4" s="10"/>
    </row>
    <row r="5" spans="1:10" ht="15" customHeight="1" x14ac:dyDescent="0.15">
      <c r="A5" s="35"/>
      <c r="B5" s="37"/>
      <c r="C5" s="37" t="s">
        <v>23</v>
      </c>
      <c r="D5" s="38">
        <v>18</v>
      </c>
      <c r="E5" s="38">
        <v>12</v>
      </c>
      <c r="F5" s="38">
        <v>4</v>
      </c>
      <c r="G5" s="38">
        <v>0</v>
      </c>
      <c r="H5" s="39">
        <f t="shared" si="0"/>
        <v>0</v>
      </c>
      <c r="I5" s="28"/>
      <c r="J5" s="10"/>
    </row>
    <row r="6" spans="1:10" ht="15" customHeight="1" x14ac:dyDescent="0.15">
      <c r="A6" s="35"/>
      <c r="B6" s="31" t="s">
        <v>362</v>
      </c>
      <c r="C6" s="32" t="s">
        <v>119</v>
      </c>
      <c r="D6" s="33">
        <v>17</v>
      </c>
      <c r="E6" s="33">
        <v>12</v>
      </c>
      <c r="F6" s="33">
        <v>6</v>
      </c>
      <c r="G6" s="33">
        <v>6</v>
      </c>
      <c r="H6" s="34">
        <f>100*G6/D6</f>
        <v>35.294117647058826</v>
      </c>
      <c r="I6" s="28"/>
      <c r="J6" s="85" t="s">
        <v>420</v>
      </c>
    </row>
    <row r="7" spans="1:10" ht="15" customHeight="1" x14ac:dyDescent="0.15">
      <c r="A7" s="35"/>
      <c r="B7" s="36"/>
      <c r="C7" s="32" t="s">
        <v>3</v>
      </c>
      <c r="D7" s="33">
        <v>18</v>
      </c>
      <c r="E7" s="33">
        <v>18</v>
      </c>
      <c r="F7" s="33">
        <v>14</v>
      </c>
      <c r="G7" s="33">
        <v>10</v>
      </c>
      <c r="H7" s="34">
        <f t="shared" si="0"/>
        <v>55.555555555555557</v>
      </c>
      <c r="I7" s="28"/>
      <c r="J7" s="10"/>
    </row>
    <row r="8" spans="1:10" ht="15" customHeight="1" x14ac:dyDescent="0.15">
      <c r="A8" s="35"/>
      <c r="B8" s="36"/>
      <c r="C8" s="32" t="s">
        <v>24</v>
      </c>
      <c r="D8" s="33">
        <v>18</v>
      </c>
      <c r="E8" s="33">
        <v>14</v>
      </c>
      <c r="F8" s="33">
        <v>0</v>
      </c>
      <c r="G8" s="33">
        <v>0</v>
      </c>
      <c r="H8" s="34">
        <f t="shared" si="0"/>
        <v>0</v>
      </c>
      <c r="I8" s="28"/>
      <c r="J8" s="10"/>
    </row>
    <row r="9" spans="1:10" ht="15" customHeight="1" x14ac:dyDescent="0.15">
      <c r="A9" s="40"/>
      <c r="B9" s="41"/>
      <c r="C9" s="41" t="s">
        <v>23</v>
      </c>
      <c r="D9" s="42">
        <v>17</v>
      </c>
      <c r="E9" s="42">
        <v>13</v>
      </c>
      <c r="F9" s="42">
        <v>0</v>
      </c>
      <c r="G9" s="42">
        <v>0</v>
      </c>
      <c r="H9" s="43">
        <f t="shared" si="0"/>
        <v>0</v>
      </c>
      <c r="I9" s="28"/>
      <c r="J9" s="10"/>
    </row>
    <row r="10" spans="1:10" ht="15" customHeight="1" x14ac:dyDescent="0.15">
      <c r="A10" s="30" t="s">
        <v>363</v>
      </c>
      <c r="B10" s="31" t="s">
        <v>361</v>
      </c>
      <c r="C10" s="32" t="s">
        <v>364</v>
      </c>
      <c r="D10" s="33">
        <v>14</v>
      </c>
      <c r="E10" s="33">
        <v>12</v>
      </c>
      <c r="F10" s="33">
        <v>11</v>
      </c>
      <c r="G10" s="33">
        <v>8</v>
      </c>
      <c r="H10" s="34">
        <f t="shared" si="0"/>
        <v>57.142857142857146</v>
      </c>
      <c r="I10" s="28"/>
      <c r="J10" s="10" t="s">
        <v>365</v>
      </c>
    </row>
    <row r="11" spans="1:10" ht="15" customHeight="1" x14ac:dyDescent="0.15">
      <c r="A11" s="35"/>
      <c r="B11" s="36"/>
      <c r="C11" s="32" t="s">
        <v>119</v>
      </c>
      <c r="D11" s="33">
        <v>13</v>
      </c>
      <c r="E11" s="33">
        <v>11</v>
      </c>
      <c r="F11" s="33">
        <v>11</v>
      </c>
      <c r="G11" s="33">
        <f>round2_CuSOD!M54</f>
        <v>8</v>
      </c>
      <c r="H11" s="34">
        <f t="shared" si="0"/>
        <v>61.53846153846154</v>
      </c>
      <c r="I11" s="28"/>
      <c r="J11" s="10"/>
    </row>
    <row r="12" spans="1:10" ht="15" customHeight="1" x14ac:dyDescent="0.15">
      <c r="A12" s="35"/>
      <c r="B12" s="36"/>
      <c r="C12" s="32" t="s">
        <v>3</v>
      </c>
      <c r="D12" s="33">
        <v>18</v>
      </c>
      <c r="E12" s="33">
        <v>18</v>
      </c>
      <c r="F12" s="33">
        <v>18</v>
      </c>
      <c r="G12" s="33">
        <f>round2_CuSOD!M67</f>
        <v>17</v>
      </c>
      <c r="H12" s="34">
        <f t="shared" si="0"/>
        <v>94.444444444444443</v>
      </c>
      <c r="I12" s="28"/>
      <c r="J12" s="10"/>
    </row>
    <row r="13" spans="1:10" ht="15" customHeight="1" x14ac:dyDescent="0.15">
      <c r="A13" s="35"/>
      <c r="B13" s="36"/>
      <c r="C13" s="32" t="s">
        <v>24</v>
      </c>
      <c r="D13" s="33">
        <v>18</v>
      </c>
      <c r="E13" s="33">
        <v>18</v>
      </c>
      <c r="F13" s="33">
        <v>18</v>
      </c>
      <c r="G13" s="33">
        <f>round2_CuSOD!M18</f>
        <v>12</v>
      </c>
      <c r="H13" s="34">
        <f t="shared" si="0"/>
        <v>66.666666666666671</v>
      </c>
      <c r="I13" s="28"/>
      <c r="J13" s="10"/>
    </row>
    <row r="14" spans="1:10" ht="15" customHeight="1" x14ac:dyDescent="0.15">
      <c r="A14" s="35"/>
      <c r="B14" s="37"/>
      <c r="C14" s="37" t="s">
        <v>23</v>
      </c>
      <c r="D14" s="38">
        <v>18</v>
      </c>
      <c r="E14" s="38">
        <v>18</v>
      </c>
      <c r="F14" s="38">
        <v>18</v>
      </c>
      <c r="G14" s="38">
        <f>round2_CuSOD!M36</f>
        <v>10</v>
      </c>
      <c r="H14" s="39">
        <f t="shared" si="0"/>
        <v>55.555555555555557</v>
      </c>
      <c r="I14" s="28"/>
      <c r="J14" s="10"/>
    </row>
    <row r="15" spans="1:10" ht="15" customHeight="1" x14ac:dyDescent="0.15">
      <c r="A15" s="35"/>
      <c r="B15" s="31" t="s">
        <v>362</v>
      </c>
      <c r="C15" s="32" t="s">
        <v>119</v>
      </c>
      <c r="D15" s="33">
        <v>18</v>
      </c>
      <c r="E15" s="33">
        <v>18</v>
      </c>
      <c r="F15" s="33">
        <v>15</v>
      </c>
      <c r="G15" s="33">
        <f>round2_MDH!L56</f>
        <v>14</v>
      </c>
      <c r="H15" s="34">
        <f t="shared" si="0"/>
        <v>77.777777777777771</v>
      </c>
      <c r="I15" s="28"/>
      <c r="J15" s="10"/>
    </row>
    <row r="16" spans="1:10" ht="15" customHeight="1" x14ac:dyDescent="0.15">
      <c r="A16" s="35"/>
      <c r="B16" s="36"/>
      <c r="C16" s="32" t="s">
        <v>3</v>
      </c>
      <c r="D16" s="33">
        <v>18</v>
      </c>
      <c r="E16" s="33">
        <v>16</v>
      </c>
      <c r="F16" s="33">
        <v>16</v>
      </c>
      <c r="G16" s="33">
        <f>round2_MDH!L2</f>
        <v>15</v>
      </c>
      <c r="H16" s="34">
        <f t="shared" si="0"/>
        <v>83.333333333333329</v>
      </c>
      <c r="I16" s="28"/>
      <c r="J16" s="10"/>
    </row>
    <row r="17" spans="1:10" ht="15" customHeight="1" x14ac:dyDescent="0.15">
      <c r="A17" s="35"/>
      <c r="B17" s="36"/>
      <c r="C17" s="32" t="s">
        <v>24</v>
      </c>
      <c r="D17" s="33">
        <v>18</v>
      </c>
      <c r="E17" s="33">
        <v>15</v>
      </c>
      <c r="F17" s="33">
        <v>3</v>
      </c>
      <c r="G17" s="33">
        <f>round2_MDH!L38</f>
        <v>4</v>
      </c>
      <c r="H17" s="34">
        <f t="shared" si="0"/>
        <v>22.222222222222221</v>
      </c>
      <c r="I17" s="28"/>
      <c r="J17" s="10" t="s">
        <v>366</v>
      </c>
    </row>
    <row r="18" spans="1:10" ht="15" customHeight="1" x14ac:dyDescent="0.15">
      <c r="A18" s="40"/>
      <c r="B18" s="41"/>
      <c r="C18" s="41" t="s">
        <v>23</v>
      </c>
      <c r="D18" s="42">
        <v>18</v>
      </c>
      <c r="E18" s="42">
        <v>17</v>
      </c>
      <c r="F18" s="42">
        <v>12</v>
      </c>
      <c r="G18" s="42">
        <f>round2_MDH!L20</f>
        <v>11</v>
      </c>
      <c r="H18" s="43">
        <f t="shared" si="0"/>
        <v>61.111111111111114</v>
      </c>
      <c r="I18" s="28"/>
      <c r="J18" s="10"/>
    </row>
    <row r="19" spans="1:10" ht="15" customHeight="1" x14ac:dyDescent="0.15">
      <c r="A19" s="30" t="s">
        <v>367</v>
      </c>
      <c r="B19" s="31" t="s">
        <v>361</v>
      </c>
      <c r="C19" s="32" t="s">
        <v>368</v>
      </c>
      <c r="D19" s="33">
        <v>18</v>
      </c>
      <c r="E19" s="33">
        <f>round3_CuSOD!I56</f>
        <v>16</v>
      </c>
      <c r="F19" s="33">
        <f>round3_CuSOD!J56</f>
        <v>16</v>
      </c>
      <c r="G19" s="33">
        <f>round3_CuSOD!L56</f>
        <v>13</v>
      </c>
      <c r="H19" s="34">
        <f t="shared" si="0"/>
        <v>72.222222222222229</v>
      </c>
      <c r="I19" s="28"/>
      <c r="J19" s="10"/>
    </row>
    <row r="20" spans="1:10" ht="15" customHeight="1" x14ac:dyDescent="0.15">
      <c r="A20" s="35"/>
      <c r="B20" s="36"/>
      <c r="C20" s="32" t="s">
        <v>369</v>
      </c>
      <c r="D20" s="44">
        <v>18</v>
      </c>
      <c r="E20" s="44">
        <f>round3_CuSOD!I38</f>
        <v>11</v>
      </c>
      <c r="F20" s="44">
        <f>round3_CuSOD!J38</f>
        <v>9</v>
      </c>
      <c r="G20" s="44">
        <f>round3_CuSOD!L38</f>
        <v>8</v>
      </c>
      <c r="H20" s="34">
        <f t="shared" si="0"/>
        <v>44.444444444444443</v>
      </c>
      <c r="I20" s="28"/>
      <c r="J20" s="10"/>
    </row>
    <row r="21" spans="1:10" ht="15" customHeight="1" x14ac:dyDescent="0.15">
      <c r="A21" s="35"/>
      <c r="B21" s="36"/>
      <c r="C21" s="32" t="s">
        <v>370</v>
      </c>
      <c r="D21" s="44">
        <v>18</v>
      </c>
      <c r="E21" s="33">
        <f>round3_CuSOD!I20</f>
        <v>18</v>
      </c>
      <c r="F21" s="33">
        <f>round3_CuSOD!J20</f>
        <v>18</v>
      </c>
      <c r="G21" s="33">
        <f>round3_CuSOD!L20</f>
        <v>17</v>
      </c>
      <c r="H21" s="34">
        <f t="shared" si="0"/>
        <v>94.444444444444443</v>
      </c>
      <c r="I21" s="28"/>
      <c r="J21" s="10"/>
    </row>
    <row r="22" spans="1:10" ht="15" customHeight="1" x14ac:dyDescent="0.15">
      <c r="A22" s="35"/>
      <c r="B22" s="37"/>
      <c r="C22" s="37" t="s">
        <v>371</v>
      </c>
      <c r="D22" s="45">
        <v>18</v>
      </c>
      <c r="E22" s="38">
        <f>round3_CuSOD!I2</f>
        <v>11</v>
      </c>
      <c r="F22" s="38">
        <f>round3_CuSOD!J2</f>
        <v>11</v>
      </c>
      <c r="G22" s="38">
        <f>round3_CuSOD!L2</f>
        <v>8</v>
      </c>
      <c r="H22" s="39">
        <f t="shared" si="0"/>
        <v>44.444444444444443</v>
      </c>
      <c r="I22" s="28"/>
      <c r="J22" s="10"/>
    </row>
    <row r="23" spans="1:10" ht="15" customHeight="1" x14ac:dyDescent="0.15">
      <c r="A23" s="35"/>
      <c r="B23" s="31" t="s">
        <v>362</v>
      </c>
      <c r="C23" s="32" t="s">
        <v>368</v>
      </c>
      <c r="D23" s="44">
        <v>18</v>
      </c>
      <c r="E23" s="33">
        <f>round3_MDH!I56</f>
        <v>4</v>
      </c>
      <c r="F23" s="33">
        <f>round3_MDH!J56</f>
        <v>4</v>
      </c>
      <c r="G23" s="33">
        <f>round3_MDH!L56</f>
        <v>5</v>
      </c>
      <c r="H23" s="34">
        <f t="shared" si="0"/>
        <v>27.777777777777779</v>
      </c>
      <c r="I23" s="28"/>
      <c r="J23" s="10"/>
    </row>
    <row r="24" spans="1:10" ht="15" customHeight="1" x14ac:dyDescent="0.15">
      <c r="A24" s="35"/>
      <c r="B24" s="36"/>
      <c r="C24" s="32" t="s">
        <v>369</v>
      </c>
      <c r="D24" s="44">
        <v>18</v>
      </c>
      <c r="E24" s="44">
        <f>round3_MDH!I38</f>
        <v>0</v>
      </c>
      <c r="F24" s="44">
        <f>round3_MDH!J38</f>
        <v>0</v>
      </c>
      <c r="G24" s="44">
        <f>round3_MDH!L38</f>
        <v>2</v>
      </c>
      <c r="H24" s="34">
        <f t="shared" si="0"/>
        <v>11.111111111111111</v>
      </c>
      <c r="I24" s="28"/>
      <c r="J24" s="10"/>
    </row>
    <row r="25" spans="1:10" ht="15" customHeight="1" x14ac:dyDescent="0.15">
      <c r="A25" s="35"/>
      <c r="B25" s="36"/>
      <c r="C25" s="32" t="s">
        <v>370</v>
      </c>
      <c r="D25" s="44">
        <v>18</v>
      </c>
      <c r="E25" s="33">
        <f>round3_MDH!I20</f>
        <v>18</v>
      </c>
      <c r="F25" s="33">
        <f>round3_MDH!J20</f>
        <v>18</v>
      </c>
      <c r="G25" s="33">
        <f>round3_MDH!L20</f>
        <v>18</v>
      </c>
      <c r="H25" s="34">
        <f t="shared" si="0"/>
        <v>100</v>
      </c>
      <c r="I25" s="28"/>
      <c r="J25" s="10"/>
    </row>
    <row r="26" spans="1:10" ht="15" customHeight="1" x14ac:dyDescent="0.15">
      <c r="A26" s="46"/>
      <c r="B26" s="32"/>
      <c r="C26" s="32" t="s">
        <v>371</v>
      </c>
      <c r="D26" s="44">
        <v>18</v>
      </c>
      <c r="E26" s="33">
        <f>round3_MDH!I2</f>
        <v>14</v>
      </c>
      <c r="F26" s="33">
        <f>round3_MDH!J2</f>
        <v>12</v>
      </c>
      <c r="G26" s="33">
        <f>round3_MDH!L2</f>
        <v>12</v>
      </c>
      <c r="H26" s="34">
        <f t="shared" si="0"/>
        <v>66.666666666666671</v>
      </c>
      <c r="I26" s="10"/>
      <c r="J26" s="10"/>
    </row>
    <row r="29" spans="1:10" ht="13" x14ac:dyDescent="0.15">
      <c r="C29" s="47" t="s">
        <v>356</v>
      </c>
      <c r="D29" s="95" t="s">
        <v>372</v>
      </c>
      <c r="E29" s="96"/>
      <c r="F29" s="96"/>
      <c r="G29" s="96"/>
      <c r="H29" s="97"/>
    </row>
    <row r="30" spans="1:10" ht="13" x14ac:dyDescent="0.15">
      <c r="C30" s="47" t="s">
        <v>357</v>
      </c>
      <c r="D30" s="95" t="s">
        <v>373</v>
      </c>
      <c r="E30" s="96"/>
      <c r="F30" s="96"/>
      <c r="G30" s="96"/>
      <c r="H30" s="97"/>
    </row>
    <row r="31" spans="1:10" ht="13" x14ac:dyDescent="0.15">
      <c r="C31" s="47" t="s">
        <v>358</v>
      </c>
      <c r="D31" s="95" t="s">
        <v>374</v>
      </c>
      <c r="E31" s="96"/>
      <c r="F31" s="96"/>
      <c r="G31" s="96"/>
      <c r="H31" s="97"/>
    </row>
  </sheetData>
  <mergeCells count="3">
    <mergeCell ref="D29:H29"/>
    <mergeCell ref="D30:H30"/>
    <mergeCell ref="D31:H31"/>
  </mergeCells>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7"/>
  <sheetViews>
    <sheetView workbookViewId="0">
      <selection activeCell="A7" sqref="A7"/>
    </sheetView>
  </sheetViews>
  <sheetFormatPr baseColWidth="10" defaultColWidth="12.5" defaultRowHeight="15" customHeight="1" x14ac:dyDescent="0.15"/>
  <sheetData>
    <row r="1" spans="1:1" ht="15" customHeight="1" x14ac:dyDescent="0.2">
      <c r="A1" s="48" t="s">
        <v>375</v>
      </c>
    </row>
    <row r="3" spans="1:1" ht="15" customHeight="1" x14ac:dyDescent="0.2">
      <c r="A3" s="48" t="s">
        <v>376</v>
      </c>
    </row>
    <row r="5" spans="1:1" ht="13" x14ac:dyDescent="0.15">
      <c r="A5" s="10" t="s">
        <v>377</v>
      </c>
    </row>
    <row r="7" spans="1:1" ht="13" x14ac:dyDescent="0.15">
      <c r="A7" s="10" t="s">
        <v>378</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51F85-18BD-4049-928C-14DD6D5BAECB}">
  <dimension ref="A1:R295"/>
  <sheetViews>
    <sheetView zoomScaleNormal="55" workbookViewId="0">
      <pane ySplit="1" topLeftCell="A82" activePane="bottomLeft" state="frozen"/>
      <selection pane="bottomLeft" activeCell="J202" sqref="J202"/>
    </sheetView>
  </sheetViews>
  <sheetFormatPr baseColWidth="10" defaultColWidth="8.83203125" defaultRowHeight="13" x14ac:dyDescent="0.15"/>
  <cols>
    <col min="1" max="1" width="36.1640625" customWidth="1"/>
    <col min="4" max="4" width="24.33203125" customWidth="1"/>
    <col min="8" max="8" width="9.5" customWidth="1"/>
    <col min="9" max="9" width="9.6640625" customWidth="1"/>
    <col min="10" max="10" width="9.83203125" customWidth="1"/>
    <col min="11" max="11" width="10.5" bestFit="1" customWidth="1"/>
    <col min="14" max="14" width="27.83203125" customWidth="1"/>
    <col min="15" max="15" width="15.6640625" customWidth="1"/>
    <col min="16" max="16" width="14.5" customWidth="1"/>
    <col min="17" max="17" width="33" customWidth="1"/>
  </cols>
  <sheetData>
    <row r="1" spans="1:18" x14ac:dyDescent="0.15">
      <c r="A1" s="49" t="s">
        <v>379</v>
      </c>
      <c r="B1" s="50" t="s">
        <v>380</v>
      </c>
      <c r="C1" s="50" t="s">
        <v>381</v>
      </c>
      <c r="D1" s="50" t="s">
        <v>1</v>
      </c>
      <c r="E1" s="51" t="s">
        <v>382</v>
      </c>
      <c r="F1" s="51" t="s">
        <v>383</v>
      </c>
      <c r="G1" s="51" t="s">
        <v>384</v>
      </c>
      <c r="H1" s="51" t="s">
        <v>410</v>
      </c>
      <c r="I1" s="51" t="s">
        <v>430</v>
      </c>
      <c r="J1" s="51" t="s">
        <v>431</v>
      </c>
      <c r="K1" s="51" t="s">
        <v>385</v>
      </c>
      <c r="L1" s="50" t="s">
        <v>386</v>
      </c>
      <c r="M1" s="51" t="s">
        <v>387</v>
      </c>
      <c r="N1" s="52" t="s">
        <v>388</v>
      </c>
      <c r="O1" s="52" t="s">
        <v>389</v>
      </c>
      <c r="P1" s="86" t="s">
        <v>421</v>
      </c>
      <c r="Q1" s="86" t="s">
        <v>422</v>
      </c>
      <c r="R1" s="86" t="s">
        <v>433</v>
      </c>
    </row>
    <row r="2" spans="1:18" ht="15" x14ac:dyDescent="0.2">
      <c r="A2" s="53" t="s">
        <v>30</v>
      </c>
      <c r="B2" s="54" t="s">
        <v>390</v>
      </c>
      <c r="C2" s="54" t="s">
        <v>391</v>
      </c>
      <c r="D2" s="54" t="s">
        <v>119</v>
      </c>
      <c r="E2" s="55">
        <v>0</v>
      </c>
      <c r="F2" s="55">
        <v>21.1</v>
      </c>
      <c r="G2" s="55">
        <v>0</v>
      </c>
      <c r="H2" s="55"/>
      <c r="I2" s="55"/>
      <c r="J2" s="55"/>
      <c r="K2" s="56">
        <v>7.0333329999999998</v>
      </c>
      <c r="L2" s="25">
        <v>20</v>
      </c>
      <c r="M2" s="16" t="s">
        <v>392</v>
      </c>
      <c r="N2" s="57">
        <v>0.35166700000000001</v>
      </c>
      <c r="O2" s="57" t="e">
        <v>#N/A</v>
      </c>
      <c r="P2" t="e">
        <f>IF($M2="µg",$K2/$L2, NA())</f>
        <v>#N/A</v>
      </c>
      <c r="R2" s="91" t="s">
        <v>4</v>
      </c>
    </row>
    <row r="3" spans="1:18" ht="15" x14ac:dyDescent="0.2">
      <c r="A3" s="53" t="s">
        <v>39</v>
      </c>
      <c r="B3" s="54" t="s">
        <v>390</v>
      </c>
      <c r="C3" s="54" t="s">
        <v>391</v>
      </c>
      <c r="D3" s="54" t="s">
        <v>119</v>
      </c>
      <c r="E3" s="55">
        <v>0</v>
      </c>
      <c r="F3" s="55">
        <v>21.4</v>
      </c>
      <c r="G3" s="55">
        <v>0</v>
      </c>
      <c r="H3" s="55"/>
      <c r="I3" s="55"/>
      <c r="J3" s="55"/>
      <c r="K3" s="56">
        <v>7.1333330000000004</v>
      </c>
      <c r="L3" s="25">
        <v>20</v>
      </c>
      <c r="M3" s="16" t="s">
        <v>392</v>
      </c>
      <c r="N3" s="58">
        <v>0.35666700000000001</v>
      </c>
      <c r="O3" s="59" t="e">
        <v>#N/A</v>
      </c>
      <c r="P3" t="e">
        <f t="shared" ref="P3:P66" si="0">IF($M3="µg",$K3/$L3, NA())</f>
        <v>#N/A</v>
      </c>
      <c r="R3" s="91" t="s">
        <v>4</v>
      </c>
    </row>
    <row r="4" spans="1:18" ht="15" x14ac:dyDescent="0.2">
      <c r="A4" s="53" t="s">
        <v>28</v>
      </c>
      <c r="B4" s="54" t="s">
        <v>390</v>
      </c>
      <c r="C4" s="54" t="s">
        <v>391</v>
      </c>
      <c r="D4" s="54" t="s">
        <v>119</v>
      </c>
      <c r="E4" s="55">
        <v>0</v>
      </c>
      <c r="F4" s="55">
        <v>0</v>
      </c>
      <c r="G4" s="55">
        <v>0</v>
      </c>
      <c r="H4" s="55"/>
      <c r="I4" s="55"/>
      <c r="J4" s="55"/>
      <c r="K4" s="56">
        <v>0</v>
      </c>
      <c r="L4" s="25">
        <v>20</v>
      </c>
      <c r="M4" s="16" t="s">
        <v>392</v>
      </c>
      <c r="N4" s="58">
        <v>0</v>
      </c>
      <c r="O4" s="59" t="e">
        <v>#N/A</v>
      </c>
      <c r="P4" t="e">
        <f t="shared" si="0"/>
        <v>#N/A</v>
      </c>
      <c r="R4" s="91" t="s">
        <v>4</v>
      </c>
    </row>
    <row r="5" spans="1:18" ht="15" x14ac:dyDescent="0.2">
      <c r="A5" s="53" t="s">
        <v>42</v>
      </c>
      <c r="B5" s="54" t="s">
        <v>390</v>
      </c>
      <c r="C5" s="54" t="s">
        <v>391</v>
      </c>
      <c r="D5" s="54" t="s">
        <v>119</v>
      </c>
      <c r="E5" s="55">
        <v>0</v>
      </c>
      <c r="F5" s="55">
        <v>0</v>
      </c>
      <c r="G5" s="55">
        <v>0.2</v>
      </c>
      <c r="H5" s="55"/>
      <c r="I5" s="55"/>
      <c r="J5" s="55"/>
      <c r="K5" s="56">
        <v>6.6667000000000004E-2</v>
      </c>
      <c r="L5" s="25">
        <v>20</v>
      </c>
      <c r="M5" s="16" t="s">
        <v>392</v>
      </c>
      <c r="N5" s="58">
        <v>3.333E-3</v>
      </c>
      <c r="O5" s="59" t="e">
        <v>#N/A</v>
      </c>
      <c r="P5" t="e">
        <f t="shared" si="0"/>
        <v>#N/A</v>
      </c>
      <c r="R5" s="91" t="s">
        <v>4</v>
      </c>
    </row>
    <row r="6" spans="1:18" ht="15" x14ac:dyDescent="0.2">
      <c r="A6" s="53" t="s">
        <v>41</v>
      </c>
      <c r="B6" s="54" t="s">
        <v>390</v>
      </c>
      <c r="C6" s="54" t="s">
        <v>391</v>
      </c>
      <c r="D6" s="54" t="s">
        <v>119</v>
      </c>
      <c r="E6" s="55">
        <v>0</v>
      </c>
      <c r="F6" s="55">
        <v>0</v>
      </c>
      <c r="G6" s="55">
        <v>0</v>
      </c>
      <c r="H6" s="55"/>
      <c r="I6" s="55"/>
      <c r="J6" s="55"/>
      <c r="K6" s="56">
        <v>0</v>
      </c>
      <c r="L6" s="25">
        <v>20</v>
      </c>
      <c r="M6" s="16" t="s">
        <v>392</v>
      </c>
      <c r="N6" s="58">
        <v>0</v>
      </c>
      <c r="O6" s="59" t="e">
        <v>#N/A</v>
      </c>
      <c r="P6" t="e">
        <f t="shared" si="0"/>
        <v>#N/A</v>
      </c>
      <c r="R6" s="91" t="s">
        <v>4</v>
      </c>
    </row>
    <row r="7" spans="1:18" ht="15" x14ac:dyDescent="0.2">
      <c r="A7" s="53" t="s">
        <v>32</v>
      </c>
      <c r="B7" s="54" t="s">
        <v>390</v>
      </c>
      <c r="C7" s="54" t="s">
        <v>391</v>
      </c>
      <c r="D7" s="54" t="s">
        <v>119</v>
      </c>
      <c r="E7" s="55">
        <v>0</v>
      </c>
      <c r="F7" s="55">
        <v>0</v>
      </c>
      <c r="G7" s="55">
        <v>2.4</v>
      </c>
      <c r="H7" s="55"/>
      <c r="I7" s="55"/>
      <c r="J7" s="55"/>
      <c r="K7" s="56">
        <v>0.8</v>
      </c>
      <c r="L7" s="25">
        <v>20</v>
      </c>
      <c r="M7" s="16" t="s">
        <v>392</v>
      </c>
      <c r="N7" s="58">
        <v>0.04</v>
      </c>
      <c r="O7" s="59" t="e">
        <v>#N/A</v>
      </c>
      <c r="P7" t="e">
        <f t="shared" si="0"/>
        <v>#N/A</v>
      </c>
      <c r="R7" s="91" t="s">
        <v>4</v>
      </c>
    </row>
    <row r="8" spans="1:18" ht="15" x14ac:dyDescent="0.2">
      <c r="A8" s="53" t="s">
        <v>29</v>
      </c>
      <c r="B8" s="54" t="s">
        <v>390</v>
      </c>
      <c r="C8" s="54" t="s">
        <v>391</v>
      </c>
      <c r="D8" s="54" t="s">
        <v>119</v>
      </c>
      <c r="E8" s="55">
        <v>0</v>
      </c>
      <c r="F8" s="55">
        <v>0</v>
      </c>
      <c r="G8" s="55">
        <v>0</v>
      </c>
      <c r="H8" s="55"/>
      <c r="I8" s="55"/>
      <c r="J8" s="55"/>
      <c r="K8" s="56">
        <v>0</v>
      </c>
      <c r="L8" s="25">
        <v>20</v>
      </c>
      <c r="M8" s="16" t="s">
        <v>392</v>
      </c>
      <c r="N8" s="58">
        <v>0</v>
      </c>
      <c r="O8" s="59" t="e">
        <v>#N/A</v>
      </c>
      <c r="P8" t="e">
        <f t="shared" si="0"/>
        <v>#N/A</v>
      </c>
      <c r="R8" s="91" t="s">
        <v>4</v>
      </c>
    </row>
    <row r="9" spans="1:18" ht="15" x14ac:dyDescent="0.2">
      <c r="A9" s="53" t="s">
        <v>31</v>
      </c>
      <c r="B9" s="54" t="s">
        <v>390</v>
      </c>
      <c r="C9" s="54" t="s">
        <v>391</v>
      </c>
      <c r="D9" s="54" t="s">
        <v>119</v>
      </c>
      <c r="E9" s="55">
        <v>7.7</v>
      </c>
      <c r="F9" s="55">
        <v>0</v>
      </c>
      <c r="G9" s="55">
        <v>0.4</v>
      </c>
      <c r="H9" s="55"/>
      <c r="I9" s="55"/>
      <c r="J9" s="55"/>
      <c r="K9" s="56">
        <v>2.7</v>
      </c>
      <c r="L9" s="25">
        <v>20</v>
      </c>
      <c r="M9" s="16" t="s">
        <v>392</v>
      </c>
      <c r="N9" s="58">
        <v>0.13500000000000001</v>
      </c>
      <c r="O9" s="59" t="e">
        <v>#N/A</v>
      </c>
      <c r="P9" t="e">
        <f t="shared" si="0"/>
        <v>#N/A</v>
      </c>
      <c r="R9" s="91" t="s">
        <v>4</v>
      </c>
    </row>
    <row r="10" spans="1:18" ht="15" x14ac:dyDescent="0.2">
      <c r="A10" s="53" t="s">
        <v>27</v>
      </c>
      <c r="B10" s="54" t="s">
        <v>390</v>
      </c>
      <c r="C10" s="54" t="s">
        <v>391</v>
      </c>
      <c r="D10" s="54" t="s">
        <v>119</v>
      </c>
      <c r="E10" s="55">
        <v>0</v>
      </c>
      <c r="F10" s="55">
        <v>0</v>
      </c>
      <c r="G10" s="55">
        <v>0</v>
      </c>
      <c r="H10" s="55"/>
      <c r="I10" s="55"/>
      <c r="J10" s="55"/>
      <c r="K10" s="56">
        <v>0</v>
      </c>
      <c r="L10" s="25">
        <v>20</v>
      </c>
      <c r="M10" s="16" t="s">
        <v>392</v>
      </c>
      <c r="N10" s="58">
        <v>0</v>
      </c>
      <c r="O10" s="59" t="e">
        <v>#N/A</v>
      </c>
      <c r="P10" t="e">
        <f t="shared" si="0"/>
        <v>#N/A</v>
      </c>
      <c r="R10" s="91" t="s">
        <v>4</v>
      </c>
    </row>
    <row r="11" spans="1:18" ht="15" x14ac:dyDescent="0.2">
      <c r="A11" s="53" t="s">
        <v>35</v>
      </c>
      <c r="B11" s="54" t="s">
        <v>390</v>
      </c>
      <c r="C11" s="54" t="s">
        <v>391</v>
      </c>
      <c r="D11" s="54" t="s">
        <v>119</v>
      </c>
      <c r="E11" s="55">
        <v>6.3</v>
      </c>
      <c r="F11" s="55">
        <v>0</v>
      </c>
      <c r="G11" s="55">
        <v>0</v>
      </c>
      <c r="H11" s="55"/>
      <c r="I11" s="55"/>
      <c r="J11" s="55"/>
      <c r="K11" s="56">
        <v>2.1</v>
      </c>
      <c r="L11" s="25">
        <v>20</v>
      </c>
      <c r="M11" s="16" t="s">
        <v>392</v>
      </c>
      <c r="N11" s="58">
        <v>0.105</v>
      </c>
      <c r="O11" s="59" t="e">
        <v>#N/A</v>
      </c>
      <c r="P11" t="e">
        <f t="shared" si="0"/>
        <v>#N/A</v>
      </c>
      <c r="R11" s="91" t="s">
        <v>4</v>
      </c>
    </row>
    <row r="12" spans="1:18" ht="15" x14ac:dyDescent="0.2">
      <c r="A12" s="53" t="s">
        <v>36</v>
      </c>
      <c r="B12" s="54" t="s">
        <v>390</v>
      </c>
      <c r="C12" s="54" t="s">
        <v>391</v>
      </c>
      <c r="D12" s="54" t="s">
        <v>119</v>
      </c>
      <c r="E12" s="55">
        <v>0</v>
      </c>
      <c r="F12" s="55">
        <v>19.8</v>
      </c>
      <c r="G12" s="55">
        <v>0</v>
      </c>
      <c r="H12" s="55"/>
      <c r="I12" s="55"/>
      <c r="J12" s="55"/>
      <c r="K12" s="56">
        <v>6.6</v>
      </c>
      <c r="L12" s="25">
        <v>20</v>
      </c>
      <c r="M12" s="16" t="s">
        <v>392</v>
      </c>
      <c r="N12" s="58">
        <v>0.33</v>
      </c>
      <c r="O12" s="59" t="e">
        <v>#N/A</v>
      </c>
      <c r="P12" t="e">
        <f t="shared" si="0"/>
        <v>#N/A</v>
      </c>
      <c r="R12" s="91" t="s">
        <v>4</v>
      </c>
    </row>
    <row r="13" spans="1:18" ht="15" x14ac:dyDescent="0.2">
      <c r="A13" s="53" t="s">
        <v>33</v>
      </c>
      <c r="B13" s="54" t="s">
        <v>390</v>
      </c>
      <c r="C13" s="54" t="s">
        <v>391</v>
      </c>
      <c r="D13" s="54" t="s">
        <v>119</v>
      </c>
      <c r="E13" s="55">
        <v>0</v>
      </c>
      <c r="F13" s="55">
        <v>6.1</v>
      </c>
      <c r="G13" s="55">
        <v>0</v>
      </c>
      <c r="H13" s="55"/>
      <c r="I13" s="55"/>
      <c r="J13" s="55"/>
      <c r="K13" s="56">
        <v>2.0333329999999998</v>
      </c>
      <c r="L13" s="25">
        <v>20</v>
      </c>
      <c r="M13" s="16" t="s">
        <v>392</v>
      </c>
      <c r="N13" s="58">
        <v>0.10166699999999999</v>
      </c>
      <c r="O13" s="59" t="e">
        <v>#N/A</v>
      </c>
      <c r="P13" t="e">
        <f t="shared" si="0"/>
        <v>#N/A</v>
      </c>
      <c r="R13" s="91" t="s">
        <v>4</v>
      </c>
    </row>
    <row r="14" spans="1:18" ht="15" x14ac:dyDescent="0.2">
      <c r="A14" s="53" t="s">
        <v>34</v>
      </c>
      <c r="B14" s="54" t="s">
        <v>390</v>
      </c>
      <c r="C14" s="54" t="s">
        <v>391</v>
      </c>
      <c r="D14" s="54" t="s">
        <v>119</v>
      </c>
      <c r="E14" s="55">
        <v>0</v>
      </c>
      <c r="F14" s="55">
        <v>0</v>
      </c>
      <c r="G14" s="55">
        <v>3.1</v>
      </c>
      <c r="H14" s="55"/>
      <c r="I14" s="55"/>
      <c r="J14" s="55"/>
      <c r="K14" s="56">
        <v>1.0333330000000001</v>
      </c>
      <c r="L14" s="25">
        <v>20</v>
      </c>
      <c r="M14" s="16" t="s">
        <v>392</v>
      </c>
      <c r="N14" s="58">
        <v>5.1666999999999998E-2</v>
      </c>
      <c r="O14" s="59" t="e">
        <v>#N/A</v>
      </c>
      <c r="P14" t="e">
        <f t="shared" si="0"/>
        <v>#N/A</v>
      </c>
      <c r="R14" s="91" t="s">
        <v>4</v>
      </c>
    </row>
    <row r="15" spans="1:18" ht="15" x14ac:dyDescent="0.2">
      <c r="A15" s="53" t="s">
        <v>38</v>
      </c>
      <c r="B15" s="54" t="s">
        <v>390</v>
      </c>
      <c r="C15" s="54" t="s">
        <v>391</v>
      </c>
      <c r="D15" s="54" t="s">
        <v>119</v>
      </c>
      <c r="E15" s="55">
        <v>0</v>
      </c>
      <c r="F15" s="55">
        <v>0</v>
      </c>
      <c r="G15" s="55">
        <v>0</v>
      </c>
      <c r="H15" s="55"/>
      <c r="I15" s="55"/>
      <c r="J15" s="55"/>
      <c r="K15" s="56">
        <v>0</v>
      </c>
      <c r="L15" s="25">
        <v>20</v>
      </c>
      <c r="M15" s="16" t="s">
        <v>392</v>
      </c>
      <c r="N15" s="58">
        <v>0</v>
      </c>
      <c r="O15" s="59" t="e">
        <v>#N/A</v>
      </c>
      <c r="P15" t="e">
        <f t="shared" si="0"/>
        <v>#N/A</v>
      </c>
      <c r="R15" s="91" t="s">
        <v>4</v>
      </c>
    </row>
    <row r="16" spans="1:18" ht="15" x14ac:dyDescent="0.2">
      <c r="A16" s="53" t="s">
        <v>25</v>
      </c>
      <c r="B16" s="54" t="s">
        <v>390</v>
      </c>
      <c r="C16" s="54" t="s">
        <v>391</v>
      </c>
      <c r="D16" s="54" t="s">
        <v>119</v>
      </c>
      <c r="E16" s="55">
        <v>0</v>
      </c>
      <c r="F16" s="55">
        <v>0</v>
      </c>
      <c r="G16" s="55">
        <v>0</v>
      </c>
      <c r="H16" s="55"/>
      <c r="I16" s="55"/>
      <c r="J16" s="55"/>
      <c r="K16" s="56">
        <v>0</v>
      </c>
      <c r="L16" s="25">
        <v>20</v>
      </c>
      <c r="M16" s="16" t="s">
        <v>392</v>
      </c>
      <c r="N16" s="58">
        <v>0</v>
      </c>
      <c r="O16" s="59" t="e">
        <v>#N/A</v>
      </c>
      <c r="P16" t="e">
        <f t="shared" si="0"/>
        <v>#N/A</v>
      </c>
      <c r="R16" s="91" t="s">
        <v>4</v>
      </c>
    </row>
    <row r="17" spans="1:18" ht="15" x14ac:dyDescent="0.2">
      <c r="A17" s="53" t="s">
        <v>37</v>
      </c>
      <c r="B17" s="54" t="s">
        <v>390</v>
      </c>
      <c r="C17" s="54" t="s">
        <v>391</v>
      </c>
      <c r="D17" s="54" t="s">
        <v>119</v>
      </c>
      <c r="E17" s="55">
        <v>0</v>
      </c>
      <c r="F17" s="55">
        <v>0</v>
      </c>
      <c r="G17" s="55">
        <v>0</v>
      </c>
      <c r="H17" s="55"/>
      <c r="I17" s="55"/>
      <c r="J17" s="55"/>
      <c r="K17" s="56">
        <v>0</v>
      </c>
      <c r="L17" s="25">
        <v>20</v>
      </c>
      <c r="M17" s="16" t="s">
        <v>392</v>
      </c>
      <c r="N17" s="58">
        <v>0</v>
      </c>
      <c r="O17" s="59" t="e">
        <v>#N/A</v>
      </c>
      <c r="P17" t="e">
        <f t="shared" si="0"/>
        <v>#N/A</v>
      </c>
      <c r="R17" s="91" t="s">
        <v>4</v>
      </c>
    </row>
    <row r="18" spans="1:18" ht="15" x14ac:dyDescent="0.2">
      <c r="A18" s="53" t="s">
        <v>40</v>
      </c>
      <c r="B18" s="54" t="s">
        <v>390</v>
      </c>
      <c r="C18" s="54" t="s">
        <v>391</v>
      </c>
      <c r="D18" s="54" t="s">
        <v>119</v>
      </c>
      <c r="E18" s="55">
        <v>0</v>
      </c>
      <c r="F18" s="55">
        <v>0</v>
      </c>
      <c r="G18" s="55">
        <v>0</v>
      </c>
      <c r="H18" s="55"/>
      <c r="I18" s="55"/>
      <c r="J18" s="55"/>
      <c r="K18" s="56">
        <v>0</v>
      </c>
      <c r="L18" s="25">
        <v>20</v>
      </c>
      <c r="M18" s="16" t="s">
        <v>392</v>
      </c>
      <c r="N18" s="58">
        <v>0</v>
      </c>
      <c r="O18" s="59" t="e">
        <v>#N/A</v>
      </c>
      <c r="P18" t="e">
        <f t="shared" si="0"/>
        <v>#N/A</v>
      </c>
      <c r="R18" s="91" t="s">
        <v>4</v>
      </c>
    </row>
    <row r="19" spans="1:18" ht="15" x14ac:dyDescent="0.2">
      <c r="A19" s="53" t="s">
        <v>393</v>
      </c>
      <c r="B19" s="54" t="s">
        <v>390</v>
      </c>
      <c r="C19" s="54" t="s">
        <v>391</v>
      </c>
      <c r="D19" s="54" t="s">
        <v>119</v>
      </c>
      <c r="E19" s="55">
        <v>49.4</v>
      </c>
      <c r="F19" s="55">
        <v>55.2</v>
      </c>
      <c r="G19" s="55">
        <v>51.9</v>
      </c>
      <c r="H19" s="55"/>
      <c r="I19" s="55"/>
      <c r="J19" s="55"/>
      <c r="K19" s="56">
        <v>52.166670000000003</v>
      </c>
      <c r="L19" s="25">
        <v>2</v>
      </c>
      <c r="M19" s="16" t="s">
        <v>392</v>
      </c>
      <c r="N19" s="58">
        <v>26.08333</v>
      </c>
      <c r="O19" s="59" t="e">
        <v>#N/A</v>
      </c>
      <c r="P19" t="e">
        <f t="shared" si="0"/>
        <v>#N/A</v>
      </c>
      <c r="R19" s="91"/>
    </row>
    <row r="20" spans="1:18" ht="15" x14ac:dyDescent="0.2">
      <c r="A20" s="53" t="s">
        <v>394</v>
      </c>
      <c r="B20" s="54" t="s">
        <v>390</v>
      </c>
      <c r="C20" s="54" t="s">
        <v>391</v>
      </c>
      <c r="D20" s="54" t="s">
        <v>119</v>
      </c>
      <c r="E20" s="55">
        <v>74</v>
      </c>
      <c r="F20" s="55">
        <v>73.3</v>
      </c>
      <c r="G20" s="55">
        <v>71.3</v>
      </c>
      <c r="H20" s="55"/>
      <c r="I20" s="55"/>
      <c r="J20" s="55"/>
      <c r="K20" s="56">
        <v>72.866669999999999</v>
      </c>
      <c r="L20" s="25">
        <v>2</v>
      </c>
      <c r="M20" s="16" t="s">
        <v>392</v>
      </c>
      <c r="N20" s="58">
        <v>36.433329999999998</v>
      </c>
      <c r="O20" s="59" t="e">
        <v>#N/A</v>
      </c>
      <c r="P20" t="e">
        <f t="shared" si="0"/>
        <v>#N/A</v>
      </c>
      <c r="R20" s="91"/>
    </row>
    <row r="21" spans="1:18" ht="15" x14ac:dyDescent="0.2">
      <c r="A21" s="53" t="s">
        <v>395</v>
      </c>
      <c r="B21" s="54" t="s">
        <v>390</v>
      </c>
      <c r="C21" s="54" t="s">
        <v>391</v>
      </c>
      <c r="D21" s="54" t="s">
        <v>119</v>
      </c>
      <c r="E21" s="55">
        <v>60.6</v>
      </c>
      <c r="F21" s="55">
        <v>44.6</v>
      </c>
      <c r="G21" s="55">
        <v>57.8</v>
      </c>
      <c r="H21" s="55"/>
      <c r="I21" s="55"/>
      <c r="J21" s="55"/>
      <c r="K21" s="56">
        <v>54.333329999999997</v>
      </c>
      <c r="L21" s="25">
        <v>2</v>
      </c>
      <c r="M21" s="16" t="s">
        <v>392</v>
      </c>
      <c r="N21" s="58">
        <v>27.16667</v>
      </c>
      <c r="O21" s="59" t="e">
        <v>#N/A</v>
      </c>
      <c r="P21" t="e">
        <f t="shared" si="0"/>
        <v>#N/A</v>
      </c>
      <c r="R21" s="91"/>
    </row>
    <row r="22" spans="1:18" ht="15" x14ac:dyDescent="0.2">
      <c r="A22" s="53" t="s">
        <v>396</v>
      </c>
      <c r="B22" s="54" t="s">
        <v>390</v>
      </c>
      <c r="C22" s="54" t="s">
        <v>391</v>
      </c>
      <c r="D22" s="54" t="s">
        <v>119</v>
      </c>
      <c r="E22" s="55">
        <v>6.5</v>
      </c>
      <c r="F22" s="55">
        <v>0.4</v>
      </c>
      <c r="G22" s="55">
        <v>0</v>
      </c>
      <c r="H22" s="55"/>
      <c r="I22" s="55"/>
      <c r="J22" s="55"/>
      <c r="K22" s="56">
        <v>2.2999999999999998</v>
      </c>
      <c r="L22" s="25">
        <v>20</v>
      </c>
      <c r="M22" s="16" t="s">
        <v>392</v>
      </c>
      <c r="N22" s="58">
        <v>0.115</v>
      </c>
      <c r="O22" s="59" t="e">
        <v>#N/A</v>
      </c>
      <c r="P22" t="e">
        <f t="shared" si="0"/>
        <v>#N/A</v>
      </c>
      <c r="R22" s="91"/>
    </row>
    <row r="23" spans="1:18" ht="15" x14ac:dyDescent="0.2">
      <c r="A23" s="53" t="s">
        <v>19</v>
      </c>
      <c r="B23" s="54" t="s">
        <v>390</v>
      </c>
      <c r="C23" s="54" t="s">
        <v>391</v>
      </c>
      <c r="D23" s="54" t="s">
        <v>3</v>
      </c>
      <c r="E23" s="55">
        <v>30.9</v>
      </c>
      <c r="F23" s="55">
        <v>30.1</v>
      </c>
      <c r="G23" s="55">
        <v>27.7</v>
      </c>
      <c r="H23" s="55"/>
      <c r="I23" s="55"/>
      <c r="J23" s="55"/>
      <c r="K23" s="56">
        <v>29.566669999999998</v>
      </c>
      <c r="L23" s="25">
        <v>2</v>
      </c>
      <c r="M23" s="16" t="s">
        <v>392</v>
      </c>
      <c r="N23" s="58">
        <v>14.783329999999999</v>
      </c>
      <c r="O23" s="59" t="e">
        <v>#N/A</v>
      </c>
      <c r="P23" t="e">
        <f t="shared" si="0"/>
        <v>#N/A</v>
      </c>
      <c r="R23" s="91" t="s">
        <v>6</v>
      </c>
    </row>
    <row r="24" spans="1:18" ht="15" x14ac:dyDescent="0.2">
      <c r="A24" s="53" t="s">
        <v>21</v>
      </c>
      <c r="B24" s="54" t="s">
        <v>390</v>
      </c>
      <c r="C24" s="54" t="s">
        <v>391</v>
      </c>
      <c r="D24" s="54" t="s">
        <v>3</v>
      </c>
      <c r="E24" s="55">
        <v>38.9</v>
      </c>
      <c r="F24" s="55">
        <v>29.6</v>
      </c>
      <c r="G24" s="55">
        <v>26.9</v>
      </c>
      <c r="H24" s="55"/>
      <c r="I24" s="55"/>
      <c r="J24" s="55"/>
      <c r="K24" s="56">
        <v>31.8</v>
      </c>
      <c r="L24" s="25">
        <v>2</v>
      </c>
      <c r="M24" s="16" t="s">
        <v>392</v>
      </c>
      <c r="N24" s="58">
        <v>15.9</v>
      </c>
      <c r="O24" s="59" t="e">
        <v>#N/A</v>
      </c>
      <c r="P24" t="e">
        <f t="shared" si="0"/>
        <v>#N/A</v>
      </c>
      <c r="R24" s="91" t="s">
        <v>6</v>
      </c>
    </row>
    <row r="25" spans="1:18" ht="15" x14ac:dyDescent="0.2">
      <c r="A25" s="53" t="s">
        <v>17</v>
      </c>
      <c r="B25" s="54" t="s">
        <v>390</v>
      </c>
      <c r="C25" s="54" t="s">
        <v>391</v>
      </c>
      <c r="D25" s="54" t="s">
        <v>3</v>
      </c>
      <c r="E25" s="55">
        <v>-2.2999999999999998</v>
      </c>
      <c r="F25" s="55">
        <v>0.4</v>
      </c>
      <c r="G25" s="55">
        <v>0.1</v>
      </c>
      <c r="H25" s="55"/>
      <c r="I25" s="55"/>
      <c r="J25" s="55"/>
      <c r="K25" s="56">
        <v>-0.6</v>
      </c>
      <c r="L25" s="25">
        <v>20</v>
      </c>
      <c r="M25" s="16" t="s">
        <v>392</v>
      </c>
      <c r="N25" s="58">
        <v>-0.03</v>
      </c>
      <c r="O25" s="59" t="e">
        <v>#N/A</v>
      </c>
      <c r="P25" t="e">
        <f t="shared" si="0"/>
        <v>#N/A</v>
      </c>
      <c r="R25" s="91" t="s">
        <v>4</v>
      </c>
    </row>
    <row r="26" spans="1:18" ht="15" x14ac:dyDescent="0.2">
      <c r="A26" s="53" t="s">
        <v>12</v>
      </c>
      <c r="B26" s="54" t="s">
        <v>390</v>
      </c>
      <c r="C26" s="54" t="s">
        <v>391</v>
      </c>
      <c r="D26" s="54" t="s">
        <v>3</v>
      </c>
      <c r="E26" s="55">
        <v>24.5</v>
      </c>
      <c r="F26" s="55">
        <v>22.6</v>
      </c>
      <c r="G26" s="55">
        <v>23.4</v>
      </c>
      <c r="H26" s="55"/>
      <c r="I26" s="55"/>
      <c r="J26" s="55"/>
      <c r="K26" s="56">
        <v>23.5</v>
      </c>
      <c r="L26" s="25">
        <v>2</v>
      </c>
      <c r="M26" s="16" t="s">
        <v>392</v>
      </c>
      <c r="N26" s="58">
        <v>11.75</v>
      </c>
      <c r="O26" s="59" t="e">
        <v>#N/A</v>
      </c>
      <c r="P26" t="e">
        <f t="shared" si="0"/>
        <v>#N/A</v>
      </c>
      <c r="R26" s="91" t="s">
        <v>6</v>
      </c>
    </row>
    <row r="27" spans="1:18" ht="15" x14ac:dyDescent="0.2">
      <c r="A27" s="53" t="s">
        <v>2</v>
      </c>
      <c r="B27" s="54" t="s">
        <v>390</v>
      </c>
      <c r="C27" s="54" t="s">
        <v>391</v>
      </c>
      <c r="D27" s="54" t="s">
        <v>3</v>
      </c>
      <c r="E27" s="55">
        <v>-8.1999999999999993</v>
      </c>
      <c r="F27" s="55">
        <v>16.2</v>
      </c>
      <c r="G27" s="55">
        <v>1.4</v>
      </c>
      <c r="H27" s="55"/>
      <c r="I27" s="55"/>
      <c r="J27" s="55"/>
      <c r="K27" s="56">
        <v>3.1333329999999999</v>
      </c>
      <c r="L27" s="25">
        <v>20</v>
      </c>
      <c r="M27" s="16" t="s">
        <v>392</v>
      </c>
      <c r="N27" s="58">
        <v>0.156667</v>
      </c>
      <c r="O27" s="59" t="e">
        <v>#N/A</v>
      </c>
      <c r="P27" t="e">
        <f t="shared" si="0"/>
        <v>#N/A</v>
      </c>
      <c r="R27" s="91" t="s">
        <v>4</v>
      </c>
    </row>
    <row r="28" spans="1:18" ht="15" x14ac:dyDescent="0.2">
      <c r="A28" s="53" t="s">
        <v>8</v>
      </c>
      <c r="B28" s="54" t="s">
        <v>390</v>
      </c>
      <c r="C28" s="54" t="s">
        <v>391</v>
      </c>
      <c r="D28" s="54" t="s">
        <v>3</v>
      </c>
      <c r="E28" s="55">
        <v>3</v>
      </c>
      <c r="F28" s="55">
        <v>20.7</v>
      </c>
      <c r="G28" s="55">
        <v>0.4</v>
      </c>
      <c r="H28" s="55"/>
      <c r="I28" s="55"/>
      <c r="J28" s="55"/>
      <c r="K28" s="56">
        <v>8.0333330000000007</v>
      </c>
      <c r="L28" s="25">
        <v>20</v>
      </c>
      <c r="M28" s="16" t="s">
        <v>392</v>
      </c>
      <c r="N28" s="58">
        <v>0.401667</v>
      </c>
      <c r="O28" s="59" t="e">
        <v>#N/A</v>
      </c>
      <c r="P28" t="e">
        <f t="shared" si="0"/>
        <v>#N/A</v>
      </c>
      <c r="R28" s="91" t="s">
        <v>4</v>
      </c>
    </row>
    <row r="29" spans="1:18" ht="15" x14ac:dyDescent="0.2">
      <c r="A29" s="53" t="s">
        <v>10</v>
      </c>
      <c r="B29" s="54" t="s">
        <v>390</v>
      </c>
      <c r="C29" s="54" t="s">
        <v>391</v>
      </c>
      <c r="D29" s="54" t="s">
        <v>3</v>
      </c>
      <c r="E29" s="55">
        <v>53.4</v>
      </c>
      <c r="F29" s="55">
        <v>48.6</v>
      </c>
      <c r="G29" s="55">
        <v>63.8</v>
      </c>
      <c r="H29" s="55"/>
      <c r="I29" s="55"/>
      <c r="J29" s="55"/>
      <c r="K29" s="56">
        <v>55.266669999999998</v>
      </c>
      <c r="L29" s="25">
        <v>2</v>
      </c>
      <c r="M29" s="16" t="s">
        <v>392</v>
      </c>
      <c r="N29" s="58">
        <v>27.633330000000001</v>
      </c>
      <c r="O29" s="59" t="e">
        <v>#N/A</v>
      </c>
      <c r="P29" t="e">
        <f t="shared" si="0"/>
        <v>#N/A</v>
      </c>
      <c r="R29" s="91" t="s">
        <v>6</v>
      </c>
    </row>
    <row r="30" spans="1:18" ht="15" x14ac:dyDescent="0.2">
      <c r="A30" s="53" t="s">
        <v>14</v>
      </c>
      <c r="B30" s="54" t="s">
        <v>390</v>
      </c>
      <c r="C30" s="54" t="s">
        <v>391</v>
      </c>
      <c r="D30" s="54" t="s">
        <v>3</v>
      </c>
      <c r="E30" s="55">
        <v>-2.1</v>
      </c>
      <c r="F30" s="55">
        <v>-1.8</v>
      </c>
      <c r="G30" s="55">
        <v>-3.9</v>
      </c>
      <c r="H30" s="55"/>
      <c r="I30" s="55"/>
      <c r="J30" s="55"/>
      <c r="K30" s="56">
        <v>-2.6</v>
      </c>
      <c r="L30" s="25">
        <v>20</v>
      </c>
      <c r="M30" s="16" t="s">
        <v>392</v>
      </c>
      <c r="N30" s="58">
        <v>-0.13</v>
      </c>
      <c r="O30" s="59" t="e">
        <v>#N/A</v>
      </c>
      <c r="P30" t="e">
        <f t="shared" si="0"/>
        <v>#N/A</v>
      </c>
      <c r="R30" s="91" t="s">
        <v>4</v>
      </c>
    </row>
    <row r="31" spans="1:18" ht="15" x14ac:dyDescent="0.2">
      <c r="A31" s="53" t="s">
        <v>16</v>
      </c>
      <c r="B31" s="54" t="s">
        <v>390</v>
      </c>
      <c r="C31" s="54" t="s">
        <v>391</v>
      </c>
      <c r="D31" s="54" t="s">
        <v>3</v>
      </c>
      <c r="E31" s="55">
        <v>73.3</v>
      </c>
      <c r="F31" s="55">
        <v>78</v>
      </c>
      <c r="G31" s="55">
        <v>79.7</v>
      </c>
      <c r="H31" s="55"/>
      <c r="I31" s="55"/>
      <c r="J31" s="55"/>
      <c r="K31" s="56">
        <v>77</v>
      </c>
      <c r="L31" s="25">
        <v>2</v>
      </c>
      <c r="M31" s="16" t="s">
        <v>392</v>
      </c>
      <c r="N31" s="58">
        <v>38.5</v>
      </c>
      <c r="O31" s="59" t="e">
        <v>#N/A</v>
      </c>
      <c r="P31" t="e">
        <f t="shared" si="0"/>
        <v>#N/A</v>
      </c>
      <c r="R31" s="91" t="s">
        <v>6</v>
      </c>
    </row>
    <row r="32" spans="1:18" ht="15" x14ac:dyDescent="0.2">
      <c r="A32" s="53" t="s">
        <v>5</v>
      </c>
      <c r="B32" s="54" t="s">
        <v>390</v>
      </c>
      <c r="C32" s="54" t="s">
        <v>391</v>
      </c>
      <c r="D32" s="54" t="s">
        <v>3</v>
      </c>
      <c r="E32" s="55">
        <v>-13.4</v>
      </c>
      <c r="F32" s="55">
        <v>-16.2</v>
      </c>
      <c r="G32" s="55">
        <v>-15.7</v>
      </c>
      <c r="H32" s="55"/>
      <c r="I32" s="55"/>
      <c r="J32" s="55"/>
      <c r="K32" s="56">
        <v>-15.1</v>
      </c>
      <c r="L32" s="25">
        <v>20</v>
      </c>
      <c r="M32" s="16" t="s">
        <v>392</v>
      </c>
      <c r="N32" s="58">
        <v>-0.755</v>
      </c>
      <c r="O32" s="59" t="e">
        <v>#N/A</v>
      </c>
      <c r="P32" t="e">
        <f t="shared" si="0"/>
        <v>#N/A</v>
      </c>
      <c r="R32" s="91" t="s">
        <v>4</v>
      </c>
    </row>
    <row r="33" spans="1:18" ht="15" x14ac:dyDescent="0.2">
      <c r="A33" s="53" t="s">
        <v>9</v>
      </c>
      <c r="B33" s="54" t="s">
        <v>390</v>
      </c>
      <c r="C33" s="54" t="s">
        <v>391</v>
      </c>
      <c r="D33" s="54" t="s">
        <v>3</v>
      </c>
      <c r="E33" s="55">
        <v>3.5</v>
      </c>
      <c r="F33" s="55">
        <v>-12.3</v>
      </c>
      <c r="G33" s="55">
        <v>-8.1</v>
      </c>
      <c r="H33" s="55"/>
      <c r="I33" s="55"/>
      <c r="J33" s="55"/>
      <c r="K33" s="56">
        <v>-5.6333299999999999</v>
      </c>
      <c r="L33" s="25">
        <v>20</v>
      </c>
      <c r="M33" s="16" t="s">
        <v>392</v>
      </c>
      <c r="N33" s="58">
        <v>-0.281667</v>
      </c>
      <c r="O33" s="59" t="e">
        <v>#N/A</v>
      </c>
      <c r="P33" t="e">
        <f t="shared" si="0"/>
        <v>#N/A</v>
      </c>
      <c r="R33" s="91" t="s">
        <v>4</v>
      </c>
    </row>
    <row r="34" spans="1:18" ht="15" x14ac:dyDescent="0.2">
      <c r="A34" s="53" t="s">
        <v>13</v>
      </c>
      <c r="B34" s="54" t="s">
        <v>390</v>
      </c>
      <c r="C34" s="54" t="s">
        <v>391</v>
      </c>
      <c r="D34" s="54" t="s">
        <v>3</v>
      </c>
      <c r="E34" s="55">
        <v>-9.8000000000000007</v>
      </c>
      <c r="F34" s="55">
        <v>-12.6</v>
      </c>
      <c r="G34" s="55">
        <v>-13.4</v>
      </c>
      <c r="H34" s="55"/>
      <c r="I34" s="55"/>
      <c r="J34" s="55"/>
      <c r="K34" s="56">
        <v>-11.933299999999999</v>
      </c>
      <c r="L34" s="25">
        <v>20</v>
      </c>
      <c r="M34" s="16" t="s">
        <v>392</v>
      </c>
      <c r="N34" s="58">
        <v>-0.59666699999999995</v>
      </c>
      <c r="O34" s="59" t="e">
        <v>#N/A</v>
      </c>
      <c r="P34" t="e">
        <f t="shared" si="0"/>
        <v>#N/A</v>
      </c>
      <c r="R34" s="91" t="s">
        <v>4</v>
      </c>
    </row>
    <row r="35" spans="1:18" ht="15" x14ac:dyDescent="0.2">
      <c r="A35" s="53" t="s">
        <v>11</v>
      </c>
      <c r="B35" s="54" t="s">
        <v>390</v>
      </c>
      <c r="C35" s="54" t="s">
        <v>391</v>
      </c>
      <c r="D35" s="54" t="s">
        <v>3</v>
      </c>
      <c r="E35" s="55">
        <v>9.4</v>
      </c>
      <c r="F35" s="55">
        <v>-10.9</v>
      </c>
      <c r="G35" s="55">
        <v>-13.1</v>
      </c>
      <c r="H35" s="55"/>
      <c r="I35" s="55"/>
      <c r="J35" s="55"/>
      <c r="K35" s="56">
        <v>-4.8666700000000001</v>
      </c>
      <c r="L35" s="25">
        <v>20</v>
      </c>
      <c r="M35" s="16" t="s">
        <v>392</v>
      </c>
      <c r="N35" s="58">
        <v>-0.24333299999999999</v>
      </c>
      <c r="O35" s="59" t="e">
        <v>#N/A</v>
      </c>
      <c r="P35" t="e">
        <f t="shared" si="0"/>
        <v>#N/A</v>
      </c>
      <c r="R35" s="91" t="s">
        <v>4</v>
      </c>
    </row>
    <row r="36" spans="1:18" ht="15" x14ac:dyDescent="0.2">
      <c r="A36" s="53" t="s">
        <v>15</v>
      </c>
      <c r="B36" s="54" t="s">
        <v>390</v>
      </c>
      <c r="C36" s="54" t="s">
        <v>391</v>
      </c>
      <c r="D36" s="54" t="s">
        <v>3</v>
      </c>
      <c r="E36" s="55">
        <v>4.9000000000000004</v>
      </c>
      <c r="F36" s="55">
        <v>10.199999999999999</v>
      </c>
      <c r="G36" s="55">
        <v>14.7</v>
      </c>
      <c r="H36" s="55"/>
      <c r="I36" s="55"/>
      <c r="J36" s="55"/>
      <c r="K36" s="56">
        <v>9.9333329999999993</v>
      </c>
      <c r="L36" s="25">
        <v>20</v>
      </c>
      <c r="M36" s="16" t="s">
        <v>392</v>
      </c>
      <c r="N36" s="58">
        <v>0.49666700000000003</v>
      </c>
      <c r="O36" s="59" t="e">
        <v>#N/A</v>
      </c>
      <c r="P36" t="e">
        <f t="shared" si="0"/>
        <v>#N/A</v>
      </c>
      <c r="R36" s="91" t="s">
        <v>4</v>
      </c>
    </row>
    <row r="37" spans="1:18" ht="15" x14ac:dyDescent="0.2">
      <c r="A37" s="53" t="s">
        <v>22</v>
      </c>
      <c r="B37" s="54" t="s">
        <v>390</v>
      </c>
      <c r="C37" s="54" t="s">
        <v>391</v>
      </c>
      <c r="D37" s="54" t="s">
        <v>3</v>
      </c>
      <c r="E37" s="55">
        <v>29.9</v>
      </c>
      <c r="F37" s="55">
        <v>13</v>
      </c>
      <c r="G37" s="55">
        <v>4</v>
      </c>
      <c r="H37" s="55"/>
      <c r="I37" s="55"/>
      <c r="J37" s="55"/>
      <c r="K37" s="56">
        <v>15.633330000000001</v>
      </c>
      <c r="L37" s="25">
        <v>2</v>
      </c>
      <c r="M37" s="16" t="s">
        <v>392</v>
      </c>
      <c r="N37" s="58">
        <v>7.8166669999999998</v>
      </c>
      <c r="O37" s="59" t="e">
        <v>#N/A</v>
      </c>
      <c r="P37" t="e">
        <f t="shared" si="0"/>
        <v>#N/A</v>
      </c>
      <c r="R37" s="91" t="s">
        <v>6</v>
      </c>
    </row>
    <row r="38" spans="1:18" ht="15" x14ac:dyDescent="0.2">
      <c r="A38" s="53" t="s">
        <v>18</v>
      </c>
      <c r="B38" s="54" t="s">
        <v>390</v>
      </c>
      <c r="C38" s="54" t="s">
        <v>391</v>
      </c>
      <c r="D38" s="54" t="s">
        <v>3</v>
      </c>
      <c r="E38" s="55">
        <v>20.399999999999999</v>
      </c>
      <c r="F38" s="55">
        <v>4.5999999999999996</v>
      </c>
      <c r="G38" s="55">
        <v>25.4</v>
      </c>
      <c r="H38" s="55"/>
      <c r="I38" s="55"/>
      <c r="J38" s="55"/>
      <c r="K38" s="56">
        <v>16.8</v>
      </c>
      <c r="L38" s="25">
        <v>2</v>
      </c>
      <c r="M38" s="16" t="s">
        <v>392</v>
      </c>
      <c r="N38" s="58">
        <v>8.4</v>
      </c>
      <c r="O38" s="59" t="e">
        <v>#N/A</v>
      </c>
      <c r="P38" t="e">
        <f t="shared" si="0"/>
        <v>#N/A</v>
      </c>
      <c r="R38" s="91" t="s">
        <v>6</v>
      </c>
    </row>
    <row r="39" spans="1:18" ht="15" x14ac:dyDescent="0.2">
      <c r="A39" s="53" t="s">
        <v>20</v>
      </c>
      <c r="B39" s="54" t="s">
        <v>390</v>
      </c>
      <c r="C39" s="54" t="s">
        <v>391</v>
      </c>
      <c r="D39" s="54" t="s">
        <v>3</v>
      </c>
      <c r="E39" s="55">
        <v>28.3</v>
      </c>
      <c r="F39" s="55">
        <v>9.8000000000000007</v>
      </c>
      <c r="G39" s="55">
        <v>12.9</v>
      </c>
      <c r="H39" s="55"/>
      <c r="I39" s="55"/>
      <c r="J39" s="55"/>
      <c r="K39" s="56">
        <v>17</v>
      </c>
      <c r="L39" s="25">
        <v>2</v>
      </c>
      <c r="M39" s="16" t="s">
        <v>392</v>
      </c>
      <c r="N39" s="58">
        <v>8.5</v>
      </c>
      <c r="O39" s="59" t="e">
        <v>#N/A</v>
      </c>
      <c r="P39" t="e">
        <f t="shared" si="0"/>
        <v>#N/A</v>
      </c>
      <c r="R39" s="91" t="s">
        <v>6</v>
      </c>
    </row>
    <row r="40" spans="1:18" ht="15" x14ac:dyDescent="0.2">
      <c r="A40" s="53" t="s">
        <v>7</v>
      </c>
      <c r="B40" s="54" t="s">
        <v>390</v>
      </c>
      <c r="C40" s="54" t="s">
        <v>391</v>
      </c>
      <c r="D40" s="54" t="s">
        <v>3</v>
      </c>
      <c r="E40" s="55">
        <v>14.2</v>
      </c>
      <c r="F40" s="55">
        <v>22.3</v>
      </c>
      <c r="G40" s="55">
        <v>26.5</v>
      </c>
      <c r="H40" s="55"/>
      <c r="I40" s="55"/>
      <c r="J40" s="55"/>
      <c r="K40" s="56">
        <v>21</v>
      </c>
      <c r="L40" s="25">
        <v>2</v>
      </c>
      <c r="M40" s="16" t="s">
        <v>392</v>
      </c>
      <c r="N40" s="58">
        <v>10.5</v>
      </c>
      <c r="O40" s="59" t="e">
        <v>#N/A</v>
      </c>
      <c r="P40" t="e">
        <f t="shared" si="0"/>
        <v>#N/A</v>
      </c>
      <c r="R40" s="91" t="s">
        <v>6</v>
      </c>
    </row>
    <row r="41" spans="1:18" ht="15" x14ac:dyDescent="0.2">
      <c r="A41" s="53" t="s">
        <v>2</v>
      </c>
      <c r="B41" s="54" t="s">
        <v>390</v>
      </c>
      <c r="C41" s="54" t="s">
        <v>391</v>
      </c>
      <c r="D41" s="54" t="s">
        <v>3</v>
      </c>
      <c r="E41" s="55">
        <v>8.5</v>
      </c>
      <c r="F41" s="55">
        <v>0.3</v>
      </c>
      <c r="G41" s="55">
        <v>1.1000000000000001</v>
      </c>
      <c r="H41" s="55"/>
      <c r="I41" s="55"/>
      <c r="J41" s="55"/>
      <c r="K41" s="56">
        <v>3.3</v>
      </c>
      <c r="L41" s="25">
        <v>20</v>
      </c>
      <c r="M41" s="16" t="s">
        <v>392</v>
      </c>
      <c r="N41" s="58">
        <v>0.16500000000000001</v>
      </c>
      <c r="O41" s="59" t="e">
        <v>#N/A</v>
      </c>
      <c r="P41" t="e">
        <f t="shared" si="0"/>
        <v>#N/A</v>
      </c>
      <c r="R41" s="91" t="s">
        <v>4</v>
      </c>
    </row>
    <row r="42" spans="1:18" ht="15" x14ac:dyDescent="0.2">
      <c r="A42" s="53" t="s">
        <v>18</v>
      </c>
      <c r="B42" s="54" t="s">
        <v>390</v>
      </c>
      <c r="C42" s="54" t="s">
        <v>391</v>
      </c>
      <c r="D42" s="54" t="s">
        <v>3</v>
      </c>
      <c r="E42" s="55">
        <v>83.8</v>
      </c>
      <c r="F42" s="55">
        <v>89.5</v>
      </c>
      <c r="G42" s="55">
        <v>82.2</v>
      </c>
      <c r="H42" s="55"/>
      <c r="I42" s="55"/>
      <c r="J42" s="55"/>
      <c r="K42" s="56">
        <v>85.166669999999996</v>
      </c>
      <c r="L42" s="25">
        <v>2</v>
      </c>
      <c r="M42" s="16" t="s">
        <v>392</v>
      </c>
      <c r="N42" s="58">
        <v>42.583329999999997</v>
      </c>
      <c r="O42" s="59" t="e">
        <v>#N/A</v>
      </c>
      <c r="P42" t="e">
        <f t="shared" si="0"/>
        <v>#N/A</v>
      </c>
      <c r="R42" s="91" t="s">
        <v>6</v>
      </c>
    </row>
    <row r="43" spans="1:18" ht="15" x14ac:dyDescent="0.2">
      <c r="A43" s="53" t="s">
        <v>8</v>
      </c>
      <c r="B43" s="54" t="s">
        <v>390</v>
      </c>
      <c r="C43" s="54" t="s">
        <v>391</v>
      </c>
      <c r="D43" s="54" t="s">
        <v>3</v>
      </c>
      <c r="E43" s="55">
        <v>3.2</v>
      </c>
      <c r="F43" s="55">
        <v>-2</v>
      </c>
      <c r="G43" s="55">
        <v>13.7</v>
      </c>
      <c r="H43" s="55"/>
      <c r="I43" s="55"/>
      <c r="J43" s="55"/>
      <c r="K43" s="56">
        <v>4.9666670000000002</v>
      </c>
      <c r="L43" s="25">
        <v>20</v>
      </c>
      <c r="M43" s="16" t="s">
        <v>392</v>
      </c>
      <c r="N43" s="58">
        <v>0.248333</v>
      </c>
      <c r="O43" s="59" t="e">
        <v>#N/A</v>
      </c>
      <c r="P43" t="e">
        <f t="shared" si="0"/>
        <v>#N/A</v>
      </c>
      <c r="R43" s="91" t="s">
        <v>4</v>
      </c>
    </row>
    <row r="44" spans="1:18" ht="15" x14ac:dyDescent="0.2">
      <c r="A44" s="53" t="s">
        <v>20</v>
      </c>
      <c r="B44" s="54" t="s">
        <v>390</v>
      </c>
      <c r="C44" s="54" t="s">
        <v>391</v>
      </c>
      <c r="D44" s="54" t="s">
        <v>3</v>
      </c>
      <c r="E44" s="55">
        <v>62.3</v>
      </c>
      <c r="F44" s="55">
        <v>65.7</v>
      </c>
      <c r="G44" s="55">
        <v>56.1</v>
      </c>
      <c r="H44" s="55"/>
      <c r="I44" s="55"/>
      <c r="J44" s="55"/>
      <c r="K44" s="56">
        <v>61.366669999999999</v>
      </c>
      <c r="L44" s="25">
        <v>2</v>
      </c>
      <c r="M44" s="16" t="s">
        <v>392</v>
      </c>
      <c r="N44" s="58">
        <v>30.683330000000002</v>
      </c>
      <c r="O44" s="59" t="e">
        <v>#N/A</v>
      </c>
      <c r="P44" t="e">
        <f t="shared" si="0"/>
        <v>#N/A</v>
      </c>
      <c r="R44" s="91" t="s">
        <v>6</v>
      </c>
    </row>
    <row r="45" spans="1:18" ht="15" x14ac:dyDescent="0.2">
      <c r="A45" s="53" t="s">
        <v>14</v>
      </c>
      <c r="B45" s="54" t="s">
        <v>390</v>
      </c>
      <c r="C45" s="54" t="s">
        <v>391</v>
      </c>
      <c r="D45" s="54" t="s">
        <v>3</v>
      </c>
      <c r="E45" s="55">
        <v>13.9</v>
      </c>
      <c r="F45" s="55">
        <v>7.4</v>
      </c>
      <c r="G45" s="55">
        <v>3</v>
      </c>
      <c r="H45" s="55"/>
      <c r="I45" s="55"/>
      <c r="J45" s="55"/>
      <c r="K45" s="56">
        <v>8.1</v>
      </c>
      <c r="L45" s="25">
        <v>20</v>
      </c>
      <c r="M45" s="16" t="s">
        <v>392</v>
      </c>
      <c r="N45" s="58">
        <v>0.40500000000000003</v>
      </c>
      <c r="O45" s="59" t="e">
        <v>#N/A</v>
      </c>
      <c r="P45" t="e">
        <f t="shared" si="0"/>
        <v>#N/A</v>
      </c>
      <c r="R45" s="91" t="s">
        <v>4</v>
      </c>
    </row>
    <row r="46" spans="1:18" ht="15" x14ac:dyDescent="0.2">
      <c r="A46" s="53" t="s">
        <v>22</v>
      </c>
      <c r="B46" s="54" t="s">
        <v>390</v>
      </c>
      <c r="C46" s="54" t="s">
        <v>391</v>
      </c>
      <c r="D46" s="54" t="s">
        <v>3</v>
      </c>
      <c r="E46" s="55">
        <v>68.400000000000006</v>
      </c>
      <c r="F46" s="55">
        <v>69.900000000000006</v>
      </c>
      <c r="G46" s="55">
        <v>80.900000000000006</v>
      </c>
      <c r="H46" s="55"/>
      <c r="I46" s="55"/>
      <c r="J46" s="55"/>
      <c r="K46" s="56">
        <v>73.066670000000002</v>
      </c>
      <c r="L46" s="25">
        <v>2</v>
      </c>
      <c r="M46" s="16" t="s">
        <v>392</v>
      </c>
      <c r="N46" s="58">
        <v>36.533329999999999</v>
      </c>
      <c r="O46" s="59" t="e">
        <v>#N/A</v>
      </c>
      <c r="P46" t="e">
        <f t="shared" si="0"/>
        <v>#N/A</v>
      </c>
      <c r="R46" s="91" t="s">
        <v>6</v>
      </c>
    </row>
    <row r="47" spans="1:18" ht="15" x14ac:dyDescent="0.2">
      <c r="A47" s="53" t="s">
        <v>17</v>
      </c>
      <c r="B47" s="54" t="s">
        <v>390</v>
      </c>
      <c r="C47" s="54" t="s">
        <v>391</v>
      </c>
      <c r="D47" s="54" t="s">
        <v>3</v>
      </c>
      <c r="E47" s="55">
        <v>1.4</v>
      </c>
      <c r="F47" s="55">
        <v>15.3</v>
      </c>
      <c r="G47" s="55">
        <v>8.1999999999999993</v>
      </c>
      <c r="H47" s="55"/>
      <c r="I47" s="55"/>
      <c r="J47" s="55"/>
      <c r="K47" s="56">
        <v>8.3000000000000007</v>
      </c>
      <c r="L47" s="25">
        <v>20</v>
      </c>
      <c r="M47" s="16" t="s">
        <v>392</v>
      </c>
      <c r="N47" s="58">
        <v>0.41499999999999998</v>
      </c>
      <c r="O47" s="59" t="e">
        <v>#N/A</v>
      </c>
      <c r="P47" t="e">
        <f t="shared" si="0"/>
        <v>#N/A</v>
      </c>
      <c r="R47" s="91" t="s">
        <v>4</v>
      </c>
    </row>
    <row r="48" spans="1:18" ht="15" x14ac:dyDescent="0.2">
      <c r="A48" s="53" t="s">
        <v>5</v>
      </c>
      <c r="B48" s="54" t="s">
        <v>390</v>
      </c>
      <c r="C48" s="54" t="s">
        <v>391</v>
      </c>
      <c r="D48" s="54" t="s">
        <v>3</v>
      </c>
      <c r="E48" s="55">
        <v>11.3</v>
      </c>
      <c r="F48" s="55">
        <v>-1.7</v>
      </c>
      <c r="G48" s="55">
        <v>4.8</v>
      </c>
      <c r="H48" s="55"/>
      <c r="I48" s="55"/>
      <c r="J48" s="55"/>
      <c r="K48" s="56">
        <v>4.8</v>
      </c>
      <c r="L48" s="25">
        <v>20</v>
      </c>
      <c r="M48" s="16" t="s">
        <v>392</v>
      </c>
      <c r="N48" s="58">
        <v>0.24</v>
      </c>
      <c r="O48" s="59" t="e">
        <v>#N/A</v>
      </c>
      <c r="P48" t="e">
        <f t="shared" si="0"/>
        <v>#N/A</v>
      </c>
      <c r="R48" s="91" t="s">
        <v>4</v>
      </c>
    </row>
    <row r="49" spans="1:18" ht="15" x14ac:dyDescent="0.2">
      <c r="A49" s="53" t="s">
        <v>9</v>
      </c>
      <c r="B49" s="54" t="s">
        <v>390</v>
      </c>
      <c r="C49" s="54" t="s">
        <v>391</v>
      </c>
      <c r="D49" s="54" t="s">
        <v>3</v>
      </c>
      <c r="E49" s="55">
        <v>5.8</v>
      </c>
      <c r="F49" s="55">
        <v>-3.8</v>
      </c>
      <c r="G49" s="55">
        <v>0.6</v>
      </c>
      <c r="H49" s="55"/>
      <c r="I49" s="55"/>
      <c r="J49" s="55"/>
      <c r="K49" s="56">
        <v>0.86666699999999997</v>
      </c>
      <c r="L49" s="25">
        <v>20</v>
      </c>
      <c r="M49" s="16" t="s">
        <v>392</v>
      </c>
      <c r="N49" s="58">
        <v>4.3333000000000003E-2</v>
      </c>
      <c r="O49" s="59" t="e">
        <v>#N/A</v>
      </c>
      <c r="P49" t="e">
        <f t="shared" si="0"/>
        <v>#N/A</v>
      </c>
      <c r="R49" s="91" t="s">
        <v>4</v>
      </c>
    </row>
    <row r="50" spans="1:18" ht="15" x14ac:dyDescent="0.2">
      <c r="A50" s="53" t="s">
        <v>11</v>
      </c>
      <c r="B50" s="54" t="s">
        <v>390</v>
      </c>
      <c r="C50" s="54" t="s">
        <v>391</v>
      </c>
      <c r="D50" s="54" t="s">
        <v>3</v>
      </c>
      <c r="E50" s="55">
        <v>7.1</v>
      </c>
      <c r="F50" s="55">
        <v>7.4</v>
      </c>
      <c r="G50" s="55">
        <v>-1</v>
      </c>
      <c r="H50" s="55"/>
      <c r="I50" s="55"/>
      <c r="J50" s="55"/>
      <c r="K50" s="56">
        <v>4.5</v>
      </c>
      <c r="L50" s="25">
        <v>20</v>
      </c>
      <c r="M50" s="16" t="s">
        <v>392</v>
      </c>
      <c r="N50" s="58">
        <v>0.22500000000000001</v>
      </c>
      <c r="O50" s="59" t="e">
        <v>#N/A</v>
      </c>
      <c r="P50" t="e">
        <f t="shared" si="0"/>
        <v>#N/A</v>
      </c>
      <c r="R50" s="91" t="s">
        <v>4</v>
      </c>
    </row>
    <row r="51" spans="1:18" ht="15" x14ac:dyDescent="0.2">
      <c r="A51" s="53" t="s">
        <v>13</v>
      </c>
      <c r="B51" s="54" t="s">
        <v>390</v>
      </c>
      <c r="C51" s="54" t="s">
        <v>391</v>
      </c>
      <c r="D51" s="54" t="s">
        <v>3</v>
      </c>
      <c r="E51" s="55">
        <v>5.8</v>
      </c>
      <c r="F51" s="55">
        <v>9.5</v>
      </c>
      <c r="G51" s="55">
        <v>3.2</v>
      </c>
      <c r="H51" s="55"/>
      <c r="I51" s="55"/>
      <c r="J51" s="55"/>
      <c r="K51" s="56">
        <v>6.1666670000000003</v>
      </c>
      <c r="L51" s="25">
        <v>20</v>
      </c>
      <c r="M51" s="16" t="s">
        <v>392</v>
      </c>
      <c r="N51" s="58">
        <v>0.30833300000000002</v>
      </c>
      <c r="O51" s="59" t="e">
        <v>#N/A</v>
      </c>
      <c r="P51" t="e">
        <f t="shared" si="0"/>
        <v>#N/A</v>
      </c>
      <c r="R51" s="91" t="s">
        <v>4</v>
      </c>
    </row>
    <row r="52" spans="1:18" ht="15" x14ac:dyDescent="0.2">
      <c r="A52" s="53" t="s">
        <v>395</v>
      </c>
      <c r="B52" s="54" t="s">
        <v>390</v>
      </c>
      <c r="C52" s="54" t="s">
        <v>391</v>
      </c>
      <c r="D52" s="54" t="s">
        <v>3</v>
      </c>
      <c r="E52" s="55">
        <v>82.2</v>
      </c>
      <c r="F52" s="55">
        <v>84.6</v>
      </c>
      <c r="G52" s="55">
        <v>82.7</v>
      </c>
      <c r="H52" s="55"/>
      <c r="I52" s="55"/>
      <c r="J52" s="55"/>
      <c r="K52" s="56">
        <v>83.166669999999996</v>
      </c>
      <c r="L52" s="25">
        <v>2</v>
      </c>
      <c r="M52" s="16" t="s">
        <v>392</v>
      </c>
      <c r="N52" s="58">
        <v>41.583329999999997</v>
      </c>
      <c r="O52" s="59" t="e">
        <v>#N/A</v>
      </c>
      <c r="P52" t="e">
        <f t="shared" si="0"/>
        <v>#N/A</v>
      </c>
      <c r="R52" s="91"/>
    </row>
    <row r="53" spans="1:18" ht="15" x14ac:dyDescent="0.2">
      <c r="A53" s="53" t="s">
        <v>396</v>
      </c>
      <c r="B53" s="54" t="s">
        <v>390</v>
      </c>
      <c r="C53" s="54" t="s">
        <v>391</v>
      </c>
      <c r="D53" s="54" t="s">
        <v>3</v>
      </c>
      <c r="E53" s="55">
        <v>-2.9</v>
      </c>
      <c r="F53" s="55">
        <v>3.3</v>
      </c>
      <c r="G53" s="55">
        <v>2.5</v>
      </c>
      <c r="H53" s="55"/>
      <c r="I53" s="55"/>
      <c r="J53" s="55"/>
      <c r="K53" s="56">
        <v>0.96666700000000005</v>
      </c>
      <c r="L53" s="25">
        <v>2</v>
      </c>
      <c r="M53" s="16" t="s">
        <v>392</v>
      </c>
      <c r="N53" s="58">
        <v>0.48333300000000001</v>
      </c>
      <c r="O53" s="59" t="e">
        <v>#N/A</v>
      </c>
      <c r="P53" t="e">
        <f t="shared" si="0"/>
        <v>#N/A</v>
      </c>
      <c r="R53" s="91"/>
    </row>
    <row r="54" spans="1:18" ht="15" x14ac:dyDescent="0.2">
      <c r="A54" s="60">
        <v>1201</v>
      </c>
      <c r="B54" s="54" t="s">
        <v>390</v>
      </c>
      <c r="C54" s="54" t="s">
        <v>391</v>
      </c>
      <c r="D54" s="54" t="s">
        <v>23</v>
      </c>
      <c r="E54" s="55">
        <v>0</v>
      </c>
      <c r="F54" s="55">
        <v>0</v>
      </c>
      <c r="G54" s="55">
        <v>0</v>
      </c>
      <c r="H54" s="55"/>
      <c r="I54" s="55"/>
      <c r="J54" s="55"/>
      <c r="K54" s="56">
        <v>0</v>
      </c>
      <c r="L54" s="25">
        <v>20</v>
      </c>
      <c r="M54" s="16" t="s">
        <v>392</v>
      </c>
      <c r="N54" s="58">
        <v>0</v>
      </c>
      <c r="O54" s="59" t="e">
        <v>#N/A</v>
      </c>
      <c r="P54" t="e">
        <f t="shared" si="0"/>
        <v>#N/A</v>
      </c>
      <c r="R54" s="91" t="s">
        <v>4</v>
      </c>
    </row>
    <row r="55" spans="1:18" ht="15" x14ac:dyDescent="0.2">
      <c r="A55" s="60">
        <v>1432</v>
      </c>
      <c r="B55" s="54" t="s">
        <v>390</v>
      </c>
      <c r="C55" s="54" t="s">
        <v>391</v>
      </c>
      <c r="D55" s="54" t="s">
        <v>23</v>
      </c>
      <c r="E55" s="55">
        <v>0</v>
      </c>
      <c r="F55" s="55">
        <v>0</v>
      </c>
      <c r="G55" s="55">
        <v>0</v>
      </c>
      <c r="H55" s="55"/>
      <c r="I55" s="55"/>
      <c r="J55" s="55"/>
      <c r="K55" s="56">
        <v>0</v>
      </c>
      <c r="L55" s="25">
        <v>20</v>
      </c>
      <c r="M55" s="16" t="s">
        <v>392</v>
      </c>
      <c r="N55" s="58">
        <v>0</v>
      </c>
      <c r="O55" s="59" t="e">
        <v>#N/A</v>
      </c>
      <c r="P55" t="e">
        <f t="shared" si="0"/>
        <v>#N/A</v>
      </c>
      <c r="R55" s="91" t="s">
        <v>4</v>
      </c>
    </row>
    <row r="56" spans="1:18" ht="15" x14ac:dyDescent="0.2">
      <c r="A56" s="60">
        <v>1949</v>
      </c>
      <c r="B56" s="54" t="s">
        <v>390</v>
      </c>
      <c r="C56" s="54" t="s">
        <v>391</v>
      </c>
      <c r="D56" s="54" t="s">
        <v>23</v>
      </c>
      <c r="E56" s="55">
        <v>0</v>
      </c>
      <c r="F56" s="55">
        <v>0</v>
      </c>
      <c r="G56" s="55">
        <v>0</v>
      </c>
      <c r="H56" s="55"/>
      <c r="I56" s="55"/>
      <c r="J56" s="55"/>
      <c r="K56" s="56">
        <v>0</v>
      </c>
      <c r="L56" s="25">
        <v>20</v>
      </c>
      <c r="M56" s="16" t="s">
        <v>392</v>
      </c>
      <c r="N56" s="58">
        <v>0</v>
      </c>
      <c r="O56" s="59" t="e">
        <v>#N/A</v>
      </c>
      <c r="P56" t="e">
        <f t="shared" si="0"/>
        <v>#N/A</v>
      </c>
      <c r="R56" s="91" t="s">
        <v>4</v>
      </c>
    </row>
    <row r="57" spans="1:18" ht="15" x14ac:dyDescent="0.2">
      <c r="A57" s="60">
        <v>2417</v>
      </c>
      <c r="B57" s="54" t="s">
        <v>390</v>
      </c>
      <c r="C57" s="54" t="s">
        <v>391</v>
      </c>
      <c r="D57" s="54" t="s">
        <v>23</v>
      </c>
      <c r="E57" s="55">
        <v>0</v>
      </c>
      <c r="F57" s="55">
        <v>0</v>
      </c>
      <c r="G57" s="55">
        <v>0</v>
      </c>
      <c r="H57" s="55"/>
      <c r="I57" s="55"/>
      <c r="J57" s="55"/>
      <c r="K57" s="56">
        <v>0</v>
      </c>
      <c r="L57" s="25">
        <v>20</v>
      </c>
      <c r="M57" s="16" t="s">
        <v>392</v>
      </c>
      <c r="N57" s="58">
        <v>0</v>
      </c>
      <c r="O57" s="59" t="e">
        <v>#N/A</v>
      </c>
      <c r="P57" t="e">
        <f t="shared" si="0"/>
        <v>#N/A</v>
      </c>
      <c r="R57" s="91" t="s">
        <v>4</v>
      </c>
    </row>
    <row r="58" spans="1:18" ht="15" x14ac:dyDescent="0.2">
      <c r="A58" s="60">
        <v>2931</v>
      </c>
      <c r="B58" s="54" t="s">
        <v>390</v>
      </c>
      <c r="C58" s="54" t="s">
        <v>391</v>
      </c>
      <c r="D58" s="54" t="s">
        <v>23</v>
      </c>
      <c r="E58" s="55">
        <v>0</v>
      </c>
      <c r="F58" s="55">
        <v>0</v>
      </c>
      <c r="G58" s="55">
        <v>0</v>
      </c>
      <c r="H58" s="55"/>
      <c r="I58" s="55"/>
      <c r="J58" s="55"/>
      <c r="K58" s="56">
        <v>0</v>
      </c>
      <c r="L58" s="25">
        <v>20</v>
      </c>
      <c r="M58" s="16" t="s">
        <v>392</v>
      </c>
      <c r="N58" s="58">
        <v>0</v>
      </c>
      <c r="O58" s="59" t="e">
        <v>#N/A</v>
      </c>
      <c r="P58" t="e">
        <f t="shared" si="0"/>
        <v>#N/A</v>
      </c>
      <c r="R58" s="91" t="s">
        <v>4</v>
      </c>
    </row>
    <row r="59" spans="1:18" ht="15" x14ac:dyDescent="0.2">
      <c r="A59" s="60">
        <v>3209</v>
      </c>
      <c r="B59" s="54" t="s">
        <v>390</v>
      </c>
      <c r="C59" s="54" t="s">
        <v>391</v>
      </c>
      <c r="D59" s="54" t="s">
        <v>23</v>
      </c>
      <c r="E59" s="55">
        <v>0</v>
      </c>
      <c r="F59" s="55">
        <v>0</v>
      </c>
      <c r="G59" s="55">
        <v>0</v>
      </c>
      <c r="H59" s="55"/>
      <c r="I59" s="55"/>
      <c r="J59" s="55"/>
      <c r="K59" s="56">
        <v>0</v>
      </c>
      <c r="L59" s="25">
        <v>20</v>
      </c>
      <c r="M59" s="16" t="s">
        <v>392</v>
      </c>
      <c r="N59" s="58">
        <v>0</v>
      </c>
      <c r="O59" s="59" t="e">
        <v>#N/A</v>
      </c>
      <c r="P59" t="e">
        <f t="shared" si="0"/>
        <v>#N/A</v>
      </c>
      <c r="R59" s="91" t="s">
        <v>4</v>
      </c>
    </row>
    <row r="60" spans="1:18" ht="15" x14ac:dyDescent="0.2">
      <c r="A60" s="60">
        <v>4242</v>
      </c>
      <c r="B60" s="54" t="s">
        <v>390</v>
      </c>
      <c r="C60" s="54" t="s">
        <v>391</v>
      </c>
      <c r="D60" s="54" t="s">
        <v>23</v>
      </c>
      <c r="E60" s="55">
        <v>0</v>
      </c>
      <c r="F60" s="55">
        <v>0</v>
      </c>
      <c r="G60" s="55">
        <v>0</v>
      </c>
      <c r="H60" s="55"/>
      <c r="I60" s="55"/>
      <c r="J60" s="55"/>
      <c r="K60" s="56">
        <v>0</v>
      </c>
      <c r="L60" s="25">
        <v>20</v>
      </c>
      <c r="M60" s="16" t="s">
        <v>392</v>
      </c>
      <c r="N60" s="58">
        <v>0</v>
      </c>
      <c r="O60" s="59" t="e">
        <v>#N/A</v>
      </c>
      <c r="P60" t="e">
        <f t="shared" si="0"/>
        <v>#N/A</v>
      </c>
      <c r="R60" s="91" t="s">
        <v>4</v>
      </c>
    </row>
    <row r="61" spans="1:18" ht="15" x14ac:dyDescent="0.2">
      <c r="A61" s="60">
        <v>4779</v>
      </c>
      <c r="B61" s="54" t="s">
        <v>390</v>
      </c>
      <c r="C61" s="54" t="s">
        <v>391</v>
      </c>
      <c r="D61" s="54" t="s">
        <v>23</v>
      </c>
      <c r="E61" s="55">
        <v>0</v>
      </c>
      <c r="F61" s="55">
        <v>0</v>
      </c>
      <c r="G61" s="55">
        <v>0</v>
      </c>
      <c r="H61" s="55"/>
      <c r="I61" s="55"/>
      <c r="J61" s="55"/>
      <c r="K61" s="56">
        <v>0</v>
      </c>
      <c r="L61" s="25">
        <v>20</v>
      </c>
      <c r="M61" s="16" t="s">
        <v>392</v>
      </c>
      <c r="N61" s="58">
        <v>0</v>
      </c>
      <c r="O61" s="59" t="e">
        <v>#N/A</v>
      </c>
      <c r="P61" t="e">
        <f t="shared" si="0"/>
        <v>#N/A</v>
      </c>
      <c r="R61" s="91" t="s">
        <v>4</v>
      </c>
    </row>
    <row r="62" spans="1:18" ht="15" x14ac:dyDescent="0.2">
      <c r="A62" s="60">
        <v>187</v>
      </c>
      <c r="B62" s="54" t="s">
        <v>390</v>
      </c>
      <c r="C62" s="54" t="s">
        <v>391</v>
      </c>
      <c r="D62" s="54" t="s">
        <v>23</v>
      </c>
      <c r="E62" s="55">
        <v>0</v>
      </c>
      <c r="F62" s="55">
        <v>0</v>
      </c>
      <c r="G62" s="55">
        <v>0</v>
      </c>
      <c r="H62" s="55"/>
      <c r="I62" s="55"/>
      <c r="J62" s="55"/>
      <c r="K62" s="56">
        <v>0</v>
      </c>
      <c r="L62" s="25">
        <v>20</v>
      </c>
      <c r="M62" s="16" t="s">
        <v>392</v>
      </c>
      <c r="N62" s="58">
        <v>0</v>
      </c>
      <c r="O62" s="59" t="e">
        <v>#N/A</v>
      </c>
      <c r="P62" t="e">
        <f t="shared" si="0"/>
        <v>#N/A</v>
      </c>
      <c r="R62" s="91" t="s">
        <v>4</v>
      </c>
    </row>
    <row r="63" spans="1:18" ht="15" x14ac:dyDescent="0.2">
      <c r="A63" s="60">
        <v>196</v>
      </c>
      <c r="B63" s="54" t="s">
        <v>390</v>
      </c>
      <c r="C63" s="54" t="s">
        <v>391</v>
      </c>
      <c r="D63" s="54" t="s">
        <v>23</v>
      </c>
      <c r="E63" s="55">
        <v>0</v>
      </c>
      <c r="F63" s="55">
        <v>0</v>
      </c>
      <c r="G63" s="55">
        <v>0</v>
      </c>
      <c r="H63" s="55"/>
      <c r="I63" s="55"/>
      <c r="J63" s="55"/>
      <c r="K63" s="56">
        <v>0</v>
      </c>
      <c r="L63" s="25">
        <v>20</v>
      </c>
      <c r="M63" s="16" t="s">
        <v>392</v>
      </c>
      <c r="N63" s="58">
        <v>0</v>
      </c>
      <c r="O63" s="59" t="e">
        <v>#N/A</v>
      </c>
      <c r="P63" t="e">
        <f t="shared" si="0"/>
        <v>#N/A</v>
      </c>
      <c r="R63" s="91" t="s">
        <v>4</v>
      </c>
    </row>
    <row r="64" spans="1:18" ht="15" x14ac:dyDescent="0.2">
      <c r="A64" s="60">
        <v>309</v>
      </c>
      <c r="B64" s="54" t="s">
        <v>390</v>
      </c>
      <c r="C64" s="54" t="s">
        <v>391</v>
      </c>
      <c r="D64" s="54" t="s">
        <v>23</v>
      </c>
      <c r="E64" s="55">
        <v>11.5</v>
      </c>
      <c r="F64" s="55">
        <v>4.9000000000000004</v>
      </c>
      <c r="G64" s="55">
        <v>5.6</v>
      </c>
      <c r="H64" s="55"/>
      <c r="I64" s="55"/>
      <c r="J64" s="55"/>
      <c r="K64" s="56">
        <v>7.3333329999999997</v>
      </c>
      <c r="L64" s="25">
        <v>20</v>
      </c>
      <c r="M64" s="16" t="s">
        <v>392</v>
      </c>
      <c r="N64" s="58">
        <v>0.36666700000000002</v>
      </c>
      <c r="O64" s="59" t="e">
        <v>#N/A</v>
      </c>
      <c r="P64" t="e">
        <f t="shared" si="0"/>
        <v>#N/A</v>
      </c>
      <c r="R64" s="91" t="s">
        <v>4</v>
      </c>
    </row>
    <row r="65" spans="1:18" ht="15" x14ac:dyDescent="0.2">
      <c r="A65" s="60">
        <v>951</v>
      </c>
      <c r="B65" s="54" t="s">
        <v>390</v>
      </c>
      <c r="C65" s="54" t="s">
        <v>391</v>
      </c>
      <c r="D65" s="54" t="s">
        <v>23</v>
      </c>
      <c r="E65" s="55">
        <v>0</v>
      </c>
      <c r="F65" s="55">
        <v>0</v>
      </c>
      <c r="G65" s="55">
        <v>0</v>
      </c>
      <c r="H65" s="55"/>
      <c r="I65" s="55"/>
      <c r="J65" s="55"/>
      <c r="K65" s="56">
        <v>0</v>
      </c>
      <c r="L65" s="25">
        <v>20</v>
      </c>
      <c r="M65" s="16" t="s">
        <v>392</v>
      </c>
      <c r="N65" s="58">
        <v>0</v>
      </c>
      <c r="O65" s="59" t="e">
        <v>#N/A</v>
      </c>
      <c r="P65" t="e">
        <f t="shared" si="0"/>
        <v>#N/A</v>
      </c>
      <c r="R65" s="91" t="s">
        <v>4</v>
      </c>
    </row>
    <row r="66" spans="1:18" ht="15" x14ac:dyDescent="0.2">
      <c r="A66" s="60">
        <v>1505</v>
      </c>
      <c r="B66" s="54" t="s">
        <v>390</v>
      </c>
      <c r="C66" s="54" t="s">
        <v>391</v>
      </c>
      <c r="D66" s="54" t="s">
        <v>23</v>
      </c>
      <c r="E66" s="55">
        <v>6.9</v>
      </c>
      <c r="F66" s="55">
        <v>5.4</v>
      </c>
      <c r="G66" s="55">
        <v>4.5999999999999996</v>
      </c>
      <c r="H66" s="55"/>
      <c r="I66" s="55"/>
      <c r="J66" s="55"/>
      <c r="K66" s="56">
        <v>5.6333330000000004</v>
      </c>
      <c r="L66" s="25">
        <v>20</v>
      </c>
      <c r="M66" s="16" t="s">
        <v>392</v>
      </c>
      <c r="N66" s="58">
        <v>0.281667</v>
      </c>
      <c r="O66" s="59" t="e">
        <v>#N/A</v>
      </c>
      <c r="P66" t="e">
        <f t="shared" si="0"/>
        <v>#N/A</v>
      </c>
      <c r="R66" s="91" t="s">
        <v>4</v>
      </c>
    </row>
    <row r="67" spans="1:18" ht="15" x14ac:dyDescent="0.2">
      <c r="A67" s="60">
        <v>2546</v>
      </c>
      <c r="B67" s="54" t="s">
        <v>390</v>
      </c>
      <c r="C67" s="54" t="s">
        <v>391</v>
      </c>
      <c r="D67" s="54" t="s">
        <v>23</v>
      </c>
      <c r="E67" s="55">
        <v>4.5999999999999996</v>
      </c>
      <c r="F67" s="55">
        <v>1.9</v>
      </c>
      <c r="G67" s="55">
        <v>2.9</v>
      </c>
      <c r="H67" s="55"/>
      <c r="I67" s="55"/>
      <c r="J67" s="55"/>
      <c r="K67" s="56">
        <v>3.1333329999999999</v>
      </c>
      <c r="L67" s="25">
        <v>20</v>
      </c>
      <c r="M67" s="16" t="s">
        <v>392</v>
      </c>
      <c r="N67" s="58">
        <v>0.156667</v>
      </c>
      <c r="O67" s="59" t="e">
        <v>#N/A</v>
      </c>
      <c r="P67" t="e">
        <f t="shared" ref="P67:P130" si="1">IF($M67="µg",$K67/$L67, NA())</f>
        <v>#N/A</v>
      </c>
      <c r="R67" s="91" t="s">
        <v>4</v>
      </c>
    </row>
    <row r="68" spans="1:18" ht="15" x14ac:dyDescent="0.2">
      <c r="A68" s="60">
        <v>2773</v>
      </c>
      <c r="B68" s="54" t="s">
        <v>390</v>
      </c>
      <c r="C68" s="54" t="s">
        <v>391</v>
      </c>
      <c r="D68" s="54" t="s">
        <v>23</v>
      </c>
      <c r="E68" s="55">
        <v>5.4</v>
      </c>
      <c r="F68" s="55">
        <v>3.6</v>
      </c>
      <c r="G68" s="55">
        <v>0</v>
      </c>
      <c r="H68" s="55"/>
      <c r="I68" s="55"/>
      <c r="J68" s="55"/>
      <c r="K68" s="56">
        <v>3</v>
      </c>
      <c r="L68" s="25">
        <v>20</v>
      </c>
      <c r="M68" s="16" t="s">
        <v>392</v>
      </c>
      <c r="N68" s="58">
        <v>0.15</v>
      </c>
      <c r="O68" s="59" t="e">
        <v>#N/A</v>
      </c>
      <c r="P68" t="e">
        <f t="shared" si="1"/>
        <v>#N/A</v>
      </c>
      <c r="R68" s="91" t="s">
        <v>4</v>
      </c>
    </row>
    <row r="69" spans="1:18" ht="15" x14ac:dyDescent="0.2">
      <c r="A69" s="60">
        <v>4671</v>
      </c>
      <c r="B69" s="54" t="s">
        <v>390</v>
      </c>
      <c r="C69" s="54" t="s">
        <v>391</v>
      </c>
      <c r="D69" s="54" t="s">
        <v>23</v>
      </c>
      <c r="E69" s="55">
        <v>1.6</v>
      </c>
      <c r="F69" s="55">
        <v>4.0999999999999996</v>
      </c>
      <c r="G69" s="55">
        <v>4.4000000000000004</v>
      </c>
      <c r="H69" s="55"/>
      <c r="I69" s="55"/>
      <c r="J69" s="55"/>
      <c r="K69" s="56">
        <v>3.3666670000000001</v>
      </c>
      <c r="L69" s="25">
        <v>20</v>
      </c>
      <c r="M69" s="16" t="s">
        <v>392</v>
      </c>
      <c r="N69" s="58">
        <v>0.16833300000000001</v>
      </c>
      <c r="O69" s="59" t="e">
        <v>#N/A</v>
      </c>
      <c r="P69" t="e">
        <f t="shared" si="1"/>
        <v>#N/A</v>
      </c>
      <c r="R69" s="91" t="s">
        <v>4</v>
      </c>
    </row>
    <row r="70" spans="1:18" ht="15" x14ac:dyDescent="0.2">
      <c r="A70" s="60">
        <v>4798</v>
      </c>
      <c r="B70" s="54" t="s">
        <v>390</v>
      </c>
      <c r="C70" s="54" t="s">
        <v>391</v>
      </c>
      <c r="D70" s="54" t="s">
        <v>23</v>
      </c>
      <c r="E70" s="55">
        <v>2.1</v>
      </c>
      <c r="F70" s="55">
        <v>11.7</v>
      </c>
      <c r="G70" s="55">
        <v>17.3</v>
      </c>
      <c r="H70" s="55"/>
      <c r="I70" s="55"/>
      <c r="J70" s="55"/>
      <c r="K70" s="56">
        <v>10.366669999999999</v>
      </c>
      <c r="L70" s="25">
        <v>20</v>
      </c>
      <c r="M70" s="16" t="s">
        <v>392</v>
      </c>
      <c r="N70" s="58">
        <v>0.51833300000000004</v>
      </c>
      <c r="O70" s="59" t="e">
        <v>#N/A</v>
      </c>
      <c r="P70" t="e">
        <f t="shared" si="1"/>
        <v>#N/A</v>
      </c>
      <c r="R70" s="91" t="s">
        <v>4</v>
      </c>
    </row>
    <row r="71" spans="1:18" ht="15" x14ac:dyDescent="0.2">
      <c r="A71" s="60">
        <v>4803</v>
      </c>
      <c r="B71" s="54" t="s">
        <v>390</v>
      </c>
      <c r="C71" s="54" t="s">
        <v>391</v>
      </c>
      <c r="D71" s="54" t="s">
        <v>23</v>
      </c>
      <c r="E71" s="55">
        <v>2.4</v>
      </c>
      <c r="F71" s="55">
        <v>0</v>
      </c>
      <c r="G71" s="55">
        <v>0</v>
      </c>
      <c r="H71" s="55"/>
      <c r="I71" s="55"/>
      <c r="J71" s="55"/>
      <c r="K71" s="56">
        <v>0.8</v>
      </c>
      <c r="L71" s="25">
        <v>20</v>
      </c>
      <c r="M71" s="16" t="s">
        <v>392</v>
      </c>
      <c r="N71" s="58">
        <v>0.04</v>
      </c>
      <c r="O71" s="59" t="e">
        <v>#N/A</v>
      </c>
      <c r="P71" t="e">
        <f t="shared" si="1"/>
        <v>#N/A</v>
      </c>
      <c r="R71" s="91" t="s">
        <v>4</v>
      </c>
    </row>
    <row r="72" spans="1:18" ht="15" x14ac:dyDescent="0.2">
      <c r="A72" s="53" t="s">
        <v>395</v>
      </c>
      <c r="B72" s="54" t="s">
        <v>390</v>
      </c>
      <c r="C72" s="54" t="s">
        <v>391</v>
      </c>
      <c r="D72" s="54" t="s">
        <v>23</v>
      </c>
      <c r="E72" s="55">
        <v>56.2</v>
      </c>
      <c r="F72" s="55">
        <v>80.900000000000006</v>
      </c>
      <c r="G72" s="55">
        <v>49.7</v>
      </c>
      <c r="H72" s="55"/>
      <c r="I72" s="55"/>
      <c r="J72" s="55"/>
      <c r="K72" s="56">
        <v>62.266669999999998</v>
      </c>
      <c r="L72" s="25">
        <v>2</v>
      </c>
      <c r="M72" s="16" t="s">
        <v>392</v>
      </c>
      <c r="N72" s="58">
        <v>31.133330000000001</v>
      </c>
      <c r="O72" s="59" t="e">
        <v>#N/A</v>
      </c>
      <c r="P72" t="e">
        <f t="shared" si="1"/>
        <v>#N/A</v>
      </c>
      <c r="R72" s="91"/>
    </row>
    <row r="73" spans="1:18" ht="15" x14ac:dyDescent="0.2">
      <c r="A73" s="53" t="s">
        <v>396</v>
      </c>
      <c r="B73" s="54" t="s">
        <v>390</v>
      </c>
      <c r="C73" s="54" t="s">
        <v>391</v>
      </c>
      <c r="D73" s="54" t="s">
        <v>23</v>
      </c>
      <c r="E73" s="55">
        <v>0</v>
      </c>
      <c r="F73" s="55">
        <v>0</v>
      </c>
      <c r="G73" s="55">
        <v>6.1</v>
      </c>
      <c r="H73" s="55"/>
      <c r="I73" s="55"/>
      <c r="J73" s="55"/>
      <c r="K73" s="56">
        <v>2.0333329999999998</v>
      </c>
      <c r="L73" s="25">
        <v>2</v>
      </c>
      <c r="M73" s="16" t="s">
        <v>392</v>
      </c>
      <c r="N73" s="58">
        <v>1.016667</v>
      </c>
      <c r="O73" s="59" t="e">
        <v>#N/A</v>
      </c>
      <c r="P73" t="e">
        <f t="shared" si="1"/>
        <v>#N/A</v>
      </c>
      <c r="R73" s="91"/>
    </row>
    <row r="74" spans="1:18" ht="15" x14ac:dyDescent="0.2">
      <c r="A74" s="60">
        <v>5400</v>
      </c>
      <c r="B74" s="54" t="s">
        <v>390</v>
      </c>
      <c r="C74" s="54" t="s">
        <v>391</v>
      </c>
      <c r="D74" s="54" t="s">
        <v>24</v>
      </c>
      <c r="E74" s="55">
        <v>0</v>
      </c>
      <c r="F74" s="55">
        <v>12.2</v>
      </c>
      <c r="G74" s="55">
        <v>10</v>
      </c>
      <c r="H74" s="55"/>
      <c r="I74" s="55"/>
      <c r="J74" s="55"/>
      <c r="K74" s="56">
        <v>7.4</v>
      </c>
      <c r="L74" s="25">
        <v>20</v>
      </c>
      <c r="M74" s="16" t="s">
        <v>392</v>
      </c>
      <c r="N74" s="58">
        <v>0.37</v>
      </c>
      <c r="O74" s="59" t="e">
        <v>#N/A</v>
      </c>
      <c r="P74" t="e">
        <f t="shared" si="1"/>
        <v>#N/A</v>
      </c>
      <c r="R74" s="91" t="s">
        <v>6</v>
      </c>
    </row>
    <row r="75" spans="1:18" ht="15" x14ac:dyDescent="0.2">
      <c r="A75" s="60">
        <v>3484</v>
      </c>
      <c r="B75" s="54" t="s">
        <v>390</v>
      </c>
      <c r="C75" s="54" t="s">
        <v>391</v>
      </c>
      <c r="D75" s="54" t="s">
        <v>24</v>
      </c>
      <c r="E75" s="55">
        <v>0</v>
      </c>
      <c r="F75" s="55">
        <v>0</v>
      </c>
      <c r="G75" s="55">
        <v>0</v>
      </c>
      <c r="H75" s="55"/>
      <c r="I75" s="55"/>
      <c r="J75" s="55"/>
      <c r="K75" s="56">
        <v>0</v>
      </c>
      <c r="L75" s="25">
        <v>20</v>
      </c>
      <c r="M75" s="16" t="s">
        <v>392</v>
      </c>
      <c r="N75" s="58">
        <v>0</v>
      </c>
      <c r="O75" s="59" t="e">
        <v>#N/A</v>
      </c>
      <c r="P75" t="e">
        <f t="shared" si="1"/>
        <v>#N/A</v>
      </c>
      <c r="R75" s="91" t="s">
        <v>4</v>
      </c>
    </row>
    <row r="76" spans="1:18" ht="15" x14ac:dyDescent="0.2">
      <c r="A76" s="60">
        <v>6318</v>
      </c>
      <c r="B76" s="54" t="s">
        <v>390</v>
      </c>
      <c r="C76" s="54" t="s">
        <v>391</v>
      </c>
      <c r="D76" s="54" t="s">
        <v>24</v>
      </c>
      <c r="E76" s="55">
        <v>13.1</v>
      </c>
      <c r="F76" s="55">
        <v>6.3</v>
      </c>
      <c r="G76" s="55">
        <v>4.8</v>
      </c>
      <c r="H76" s="55"/>
      <c r="I76" s="55"/>
      <c r="J76" s="55"/>
      <c r="K76" s="56">
        <v>8.0666670000000007</v>
      </c>
      <c r="L76" s="25">
        <v>20</v>
      </c>
      <c r="M76" s="16" t="s">
        <v>392</v>
      </c>
      <c r="N76" s="58">
        <v>0.403333</v>
      </c>
      <c r="O76" s="59" t="e">
        <v>#N/A</v>
      </c>
      <c r="P76" t="e">
        <f t="shared" si="1"/>
        <v>#N/A</v>
      </c>
      <c r="R76" s="91" t="s">
        <v>4</v>
      </c>
    </row>
    <row r="77" spans="1:18" ht="15" x14ac:dyDescent="0.2">
      <c r="A77" s="60">
        <v>5078</v>
      </c>
      <c r="B77" s="54" t="s">
        <v>390</v>
      </c>
      <c r="C77" s="54" t="s">
        <v>391</v>
      </c>
      <c r="D77" s="54" t="s">
        <v>24</v>
      </c>
      <c r="E77" s="55">
        <v>0</v>
      </c>
      <c r="F77" s="55">
        <v>15.6</v>
      </c>
      <c r="G77" s="55">
        <v>30</v>
      </c>
      <c r="H77" s="55"/>
      <c r="I77" s="55"/>
      <c r="J77" s="55"/>
      <c r="K77" s="56">
        <v>15.2</v>
      </c>
      <c r="L77" s="25">
        <v>20</v>
      </c>
      <c r="M77" s="16" t="s">
        <v>392</v>
      </c>
      <c r="N77" s="58">
        <v>0.76</v>
      </c>
      <c r="O77" s="59" t="e">
        <v>#N/A</v>
      </c>
      <c r="P77" t="e">
        <f t="shared" si="1"/>
        <v>#N/A</v>
      </c>
      <c r="R77" s="91" t="s">
        <v>4</v>
      </c>
    </row>
    <row r="78" spans="1:18" ht="15" x14ac:dyDescent="0.2">
      <c r="A78" s="60">
        <v>6481</v>
      </c>
      <c r="B78" s="54" t="s">
        <v>390</v>
      </c>
      <c r="C78" s="54" t="s">
        <v>391</v>
      </c>
      <c r="D78" s="54" t="s">
        <v>24</v>
      </c>
      <c r="E78" s="55">
        <v>0</v>
      </c>
      <c r="F78" s="55">
        <v>0</v>
      </c>
      <c r="G78" s="55">
        <v>0</v>
      </c>
      <c r="H78" s="55"/>
      <c r="I78" s="55"/>
      <c r="J78" s="55"/>
      <c r="K78" s="56">
        <v>0</v>
      </c>
      <c r="L78" s="25">
        <v>20</v>
      </c>
      <c r="M78" s="16" t="s">
        <v>392</v>
      </c>
      <c r="N78" s="58">
        <v>0</v>
      </c>
      <c r="O78" s="59" t="e">
        <v>#N/A</v>
      </c>
      <c r="P78" t="e">
        <f t="shared" si="1"/>
        <v>#N/A</v>
      </c>
      <c r="R78" s="91" t="s">
        <v>6</v>
      </c>
    </row>
    <row r="79" spans="1:18" ht="15" x14ac:dyDescent="0.2">
      <c r="A79" s="60">
        <v>7843</v>
      </c>
      <c r="B79" s="54" t="s">
        <v>390</v>
      </c>
      <c r="C79" s="54" t="s">
        <v>391</v>
      </c>
      <c r="D79" s="54" t="s">
        <v>24</v>
      </c>
      <c r="E79" s="55">
        <v>0</v>
      </c>
      <c r="F79" s="55">
        <v>0</v>
      </c>
      <c r="G79" s="55">
        <v>0</v>
      </c>
      <c r="H79" s="55"/>
      <c r="I79" s="55"/>
      <c r="J79" s="55"/>
      <c r="K79" s="56">
        <v>0</v>
      </c>
      <c r="L79" s="25">
        <v>20</v>
      </c>
      <c r="M79" s="16" t="s">
        <v>392</v>
      </c>
      <c r="N79" s="58">
        <v>0</v>
      </c>
      <c r="O79" s="59" t="e">
        <v>#N/A</v>
      </c>
      <c r="P79" t="e">
        <f t="shared" si="1"/>
        <v>#N/A</v>
      </c>
      <c r="R79" s="91" t="s">
        <v>4</v>
      </c>
    </row>
    <row r="80" spans="1:18" ht="15" x14ac:dyDescent="0.2">
      <c r="A80" s="60">
        <v>7081</v>
      </c>
      <c r="B80" s="54" t="s">
        <v>390</v>
      </c>
      <c r="C80" s="54" t="s">
        <v>391</v>
      </c>
      <c r="D80" s="54" t="s">
        <v>24</v>
      </c>
      <c r="E80" s="55">
        <v>3.1</v>
      </c>
      <c r="F80" s="55">
        <v>8.5</v>
      </c>
      <c r="G80" s="55">
        <v>0</v>
      </c>
      <c r="H80" s="55"/>
      <c r="I80" s="55"/>
      <c r="J80" s="55"/>
      <c r="K80" s="56">
        <v>3.8666670000000001</v>
      </c>
      <c r="L80" s="25">
        <v>20</v>
      </c>
      <c r="M80" s="16" t="s">
        <v>392</v>
      </c>
      <c r="N80" s="58">
        <v>0.193333</v>
      </c>
      <c r="O80" s="59" t="e">
        <v>#N/A</v>
      </c>
      <c r="P80" t="e">
        <f t="shared" si="1"/>
        <v>#N/A</v>
      </c>
      <c r="R80" s="91" t="s">
        <v>4</v>
      </c>
    </row>
    <row r="81" spans="1:18" ht="15" x14ac:dyDescent="0.2">
      <c r="A81" s="60">
        <v>8777</v>
      </c>
      <c r="B81" s="54" t="s">
        <v>390</v>
      </c>
      <c r="C81" s="54" t="s">
        <v>391</v>
      </c>
      <c r="D81" s="54" t="s">
        <v>24</v>
      </c>
      <c r="E81" s="55">
        <v>1.9</v>
      </c>
      <c r="F81" s="55">
        <v>3.6</v>
      </c>
      <c r="G81" s="55">
        <v>2.4</v>
      </c>
      <c r="H81" s="55"/>
      <c r="I81" s="55"/>
      <c r="J81" s="55"/>
      <c r="K81" s="56">
        <v>2.6333329999999999</v>
      </c>
      <c r="L81" s="25">
        <v>20</v>
      </c>
      <c r="M81" s="16" t="s">
        <v>392</v>
      </c>
      <c r="N81" s="58">
        <v>0.13166700000000001</v>
      </c>
      <c r="O81" s="59" t="e">
        <v>#N/A</v>
      </c>
      <c r="P81" t="e">
        <f t="shared" si="1"/>
        <v>#N/A</v>
      </c>
      <c r="R81" s="91" t="s">
        <v>4</v>
      </c>
    </row>
    <row r="82" spans="1:18" ht="15" x14ac:dyDescent="0.2">
      <c r="A82" s="60">
        <v>9076</v>
      </c>
      <c r="B82" s="54" t="s">
        <v>390</v>
      </c>
      <c r="C82" s="54" t="s">
        <v>391</v>
      </c>
      <c r="D82" s="54" t="s">
        <v>24</v>
      </c>
      <c r="E82" s="55">
        <v>0</v>
      </c>
      <c r="F82" s="55">
        <v>0</v>
      </c>
      <c r="G82" s="55">
        <v>0</v>
      </c>
      <c r="H82" s="55"/>
      <c r="I82" s="55"/>
      <c r="J82" s="55"/>
      <c r="K82" s="56">
        <v>0</v>
      </c>
      <c r="L82" s="25">
        <v>20</v>
      </c>
      <c r="M82" s="16" t="s">
        <v>392</v>
      </c>
      <c r="N82" s="58">
        <v>0</v>
      </c>
      <c r="O82" s="59" t="e">
        <v>#N/A</v>
      </c>
      <c r="P82" t="e">
        <f t="shared" si="1"/>
        <v>#N/A</v>
      </c>
      <c r="R82" s="91" t="s">
        <v>4</v>
      </c>
    </row>
    <row r="83" spans="1:18" ht="15" x14ac:dyDescent="0.2">
      <c r="A83" s="60">
        <v>959</v>
      </c>
      <c r="B83" s="54" t="s">
        <v>390</v>
      </c>
      <c r="C83" s="54" t="s">
        <v>391</v>
      </c>
      <c r="D83" s="54" t="s">
        <v>24</v>
      </c>
      <c r="E83" s="55">
        <v>0</v>
      </c>
      <c r="F83" s="55">
        <v>0</v>
      </c>
      <c r="G83" s="55">
        <v>0</v>
      </c>
      <c r="H83" s="55"/>
      <c r="I83" s="55"/>
      <c r="J83" s="55"/>
      <c r="K83" s="56">
        <v>0</v>
      </c>
      <c r="L83" s="25">
        <v>20</v>
      </c>
      <c r="M83" s="16" t="s">
        <v>392</v>
      </c>
      <c r="N83" s="58">
        <v>0</v>
      </c>
      <c r="O83" s="59" t="e">
        <v>#N/A</v>
      </c>
      <c r="P83" t="e">
        <f t="shared" si="1"/>
        <v>#N/A</v>
      </c>
      <c r="R83" s="91" t="s">
        <v>4</v>
      </c>
    </row>
    <row r="84" spans="1:18" ht="15" x14ac:dyDescent="0.2">
      <c r="A84" s="60">
        <v>1419</v>
      </c>
      <c r="B84" s="54" t="s">
        <v>390</v>
      </c>
      <c r="C84" s="54" t="s">
        <v>391</v>
      </c>
      <c r="D84" s="54" t="s">
        <v>24</v>
      </c>
      <c r="E84" s="55">
        <v>0</v>
      </c>
      <c r="F84" s="55">
        <v>0</v>
      </c>
      <c r="G84" s="55">
        <v>0</v>
      </c>
      <c r="H84" s="55"/>
      <c r="I84" s="55"/>
      <c r="J84" s="55"/>
      <c r="K84" s="56">
        <v>0</v>
      </c>
      <c r="L84" s="25">
        <v>20</v>
      </c>
      <c r="M84" s="16" t="s">
        <v>392</v>
      </c>
      <c r="N84" s="58">
        <v>0</v>
      </c>
      <c r="O84" s="59" t="e">
        <v>#N/A</v>
      </c>
      <c r="P84" t="e">
        <f t="shared" si="1"/>
        <v>#N/A</v>
      </c>
      <c r="R84" s="91" t="s">
        <v>4</v>
      </c>
    </row>
    <row r="85" spans="1:18" ht="15" x14ac:dyDescent="0.2">
      <c r="A85" s="60">
        <v>2480</v>
      </c>
      <c r="B85" s="54" t="s">
        <v>390</v>
      </c>
      <c r="C85" s="54" t="s">
        <v>391</v>
      </c>
      <c r="D85" s="54" t="s">
        <v>24</v>
      </c>
      <c r="E85" s="55">
        <v>0</v>
      </c>
      <c r="F85" s="55">
        <v>0</v>
      </c>
      <c r="G85" s="55">
        <v>0</v>
      </c>
      <c r="H85" s="55"/>
      <c r="I85" s="55"/>
      <c r="J85" s="55"/>
      <c r="K85" s="56">
        <v>0</v>
      </c>
      <c r="L85" s="25">
        <v>20</v>
      </c>
      <c r="M85" s="16" t="s">
        <v>392</v>
      </c>
      <c r="N85" s="58">
        <v>0</v>
      </c>
      <c r="O85" s="59" t="e">
        <v>#N/A</v>
      </c>
      <c r="P85" t="e">
        <f t="shared" si="1"/>
        <v>#N/A</v>
      </c>
      <c r="R85" s="91" t="s">
        <v>4</v>
      </c>
    </row>
    <row r="86" spans="1:18" ht="15" x14ac:dyDescent="0.2">
      <c r="A86" s="60">
        <v>1358</v>
      </c>
      <c r="B86" s="54" t="s">
        <v>390</v>
      </c>
      <c r="C86" s="54" t="s">
        <v>391</v>
      </c>
      <c r="D86" s="54" t="s">
        <v>24</v>
      </c>
      <c r="E86" s="55">
        <v>0</v>
      </c>
      <c r="F86" s="55">
        <v>0</v>
      </c>
      <c r="G86" s="55">
        <v>0</v>
      </c>
      <c r="H86" s="55"/>
      <c r="I86" s="55"/>
      <c r="J86" s="55"/>
      <c r="K86" s="56">
        <v>0</v>
      </c>
      <c r="L86" s="25">
        <v>20</v>
      </c>
      <c r="M86" s="16" t="s">
        <v>392</v>
      </c>
      <c r="N86" s="58">
        <v>0</v>
      </c>
      <c r="O86" s="59" t="e">
        <v>#N/A</v>
      </c>
      <c r="P86" t="e">
        <f t="shared" si="1"/>
        <v>#N/A</v>
      </c>
      <c r="R86" s="91" t="s">
        <v>4</v>
      </c>
    </row>
    <row r="87" spans="1:18" ht="15" x14ac:dyDescent="0.2">
      <c r="A87" s="60">
        <v>2833</v>
      </c>
      <c r="B87" s="54" t="s">
        <v>390</v>
      </c>
      <c r="C87" s="54" t="s">
        <v>391</v>
      </c>
      <c r="D87" s="54" t="s">
        <v>24</v>
      </c>
      <c r="E87" s="55">
        <v>0</v>
      </c>
      <c r="F87" s="55">
        <v>0</v>
      </c>
      <c r="G87" s="55">
        <v>0</v>
      </c>
      <c r="H87" s="55"/>
      <c r="I87" s="55"/>
      <c r="J87" s="55"/>
      <c r="K87" s="56">
        <v>0</v>
      </c>
      <c r="L87" s="25">
        <v>20</v>
      </c>
      <c r="M87" s="16" t="s">
        <v>392</v>
      </c>
      <c r="N87" s="58">
        <v>0</v>
      </c>
      <c r="O87" s="59" t="e">
        <v>#N/A</v>
      </c>
      <c r="P87" t="e">
        <f t="shared" si="1"/>
        <v>#N/A</v>
      </c>
      <c r="R87" s="91" t="s">
        <v>4</v>
      </c>
    </row>
    <row r="88" spans="1:18" ht="15" x14ac:dyDescent="0.2">
      <c r="A88" s="60">
        <v>2849</v>
      </c>
      <c r="B88" s="54" t="s">
        <v>390</v>
      </c>
      <c r="C88" s="54" t="s">
        <v>391</v>
      </c>
      <c r="D88" s="54" t="s">
        <v>24</v>
      </c>
      <c r="E88" s="55">
        <v>0</v>
      </c>
      <c r="F88" s="55">
        <v>0</v>
      </c>
      <c r="G88" s="55">
        <v>0</v>
      </c>
      <c r="H88" s="55"/>
      <c r="I88" s="55"/>
      <c r="J88" s="55"/>
      <c r="K88" s="56">
        <v>0</v>
      </c>
      <c r="L88" s="25">
        <v>20</v>
      </c>
      <c r="M88" s="16" t="s">
        <v>392</v>
      </c>
      <c r="N88" s="58">
        <v>0</v>
      </c>
      <c r="O88" s="59" t="e">
        <v>#N/A</v>
      </c>
      <c r="P88" t="e">
        <f t="shared" si="1"/>
        <v>#N/A</v>
      </c>
      <c r="R88" s="91" t="s">
        <v>4</v>
      </c>
    </row>
    <row r="89" spans="1:18" ht="15" x14ac:dyDescent="0.2">
      <c r="A89" s="60">
        <v>3096</v>
      </c>
      <c r="B89" s="54" t="s">
        <v>390</v>
      </c>
      <c r="C89" s="54" t="s">
        <v>391</v>
      </c>
      <c r="D89" s="54" t="s">
        <v>24</v>
      </c>
      <c r="E89" s="55">
        <v>0</v>
      </c>
      <c r="F89" s="55">
        <v>0</v>
      </c>
      <c r="G89" s="55">
        <v>0</v>
      </c>
      <c r="H89" s="55"/>
      <c r="I89" s="55"/>
      <c r="J89" s="55"/>
      <c r="K89" s="56">
        <v>0</v>
      </c>
      <c r="L89" s="25">
        <v>20</v>
      </c>
      <c r="M89" s="16" t="s">
        <v>392</v>
      </c>
      <c r="N89" s="58">
        <v>0</v>
      </c>
      <c r="O89" s="59" t="e">
        <v>#N/A</v>
      </c>
      <c r="P89" t="e">
        <f t="shared" si="1"/>
        <v>#N/A</v>
      </c>
      <c r="R89" s="91" t="s">
        <v>4</v>
      </c>
    </row>
    <row r="90" spans="1:18" ht="15" x14ac:dyDescent="0.2">
      <c r="A90" s="60">
        <v>5007</v>
      </c>
      <c r="B90" s="54" t="s">
        <v>390</v>
      </c>
      <c r="C90" s="54" t="s">
        <v>391</v>
      </c>
      <c r="D90" s="54" t="s">
        <v>24</v>
      </c>
      <c r="E90" s="55">
        <v>0</v>
      </c>
      <c r="F90" s="55">
        <v>0</v>
      </c>
      <c r="G90" s="55">
        <v>0</v>
      </c>
      <c r="H90" s="55"/>
      <c r="I90" s="55"/>
      <c r="J90" s="55"/>
      <c r="K90" s="56">
        <v>0</v>
      </c>
      <c r="L90" s="25">
        <v>20</v>
      </c>
      <c r="M90" s="16" t="s">
        <v>392</v>
      </c>
      <c r="N90" s="58">
        <v>0</v>
      </c>
      <c r="O90" s="59" t="e">
        <v>#N/A</v>
      </c>
      <c r="P90" t="e">
        <f t="shared" si="1"/>
        <v>#N/A</v>
      </c>
      <c r="R90" s="91" t="s">
        <v>4</v>
      </c>
    </row>
    <row r="91" spans="1:18" ht="15" x14ac:dyDescent="0.2">
      <c r="A91" s="60">
        <v>5372</v>
      </c>
      <c r="B91" s="54" t="s">
        <v>390</v>
      </c>
      <c r="C91" s="54" t="s">
        <v>391</v>
      </c>
      <c r="D91" s="54" t="s">
        <v>24</v>
      </c>
      <c r="E91" s="55">
        <v>0</v>
      </c>
      <c r="F91" s="55">
        <v>0</v>
      </c>
      <c r="G91" s="55">
        <v>0</v>
      </c>
      <c r="H91" s="55"/>
      <c r="I91" s="55"/>
      <c r="J91" s="55"/>
      <c r="K91" s="56">
        <v>0</v>
      </c>
      <c r="L91" s="25">
        <v>20</v>
      </c>
      <c r="M91" s="16" t="s">
        <v>392</v>
      </c>
      <c r="N91" s="58">
        <v>0</v>
      </c>
      <c r="O91" s="59" t="e">
        <v>#N/A</v>
      </c>
      <c r="P91" t="e">
        <f t="shared" si="1"/>
        <v>#N/A</v>
      </c>
      <c r="R91" s="91" t="s">
        <v>4</v>
      </c>
    </row>
    <row r="92" spans="1:18" ht="15" x14ac:dyDescent="0.2">
      <c r="A92" s="60">
        <v>5400</v>
      </c>
      <c r="B92" s="54" t="s">
        <v>390</v>
      </c>
      <c r="C92" s="54" t="s">
        <v>391</v>
      </c>
      <c r="D92" s="54" t="s">
        <v>24</v>
      </c>
      <c r="E92" s="55">
        <v>21.3</v>
      </c>
      <c r="F92" s="55">
        <v>14.5</v>
      </c>
      <c r="G92" s="55">
        <v>21.3</v>
      </c>
      <c r="H92" s="55"/>
      <c r="I92" s="55"/>
      <c r="J92" s="55"/>
      <c r="K92" s="56">
        <v>19.033329999999999</v>
      </c>
      <c r="L92" s="25">
        <v>2</v>
      </c>
      <c r="M92" s="16" t="s">
        <v>392</v>
      </c>
      <c r="N92" s="58">
        <v>9.516667</v>
      </c>
      <c r="O92" s="59" t="e">
        <v>#N/A</v>
      </c>
      <c r="P92" t="e">
        <f t="shared" si="1"/>
        <v>#N/A</v>
      </c>
      <c r="R92" s="91" t="s">
        <v>6</v>
      </c>
    </row>
    <row r="93" spans="1:18" ht="15" x14ac:dyDescent="0.2">
      <c r="A93" s="60">
        <v>6481</v>
      </c>
      <c r="B93" s="54" t="s">
        <v>390</v>
      </c>
      <c r="C93" s="54" t="s">
        <v>391</v>
      </c>
      <c r="D93" s="54" t="s">
        <v>24</v>
      </c>
      <c r="E93" s="55">
        <v>19.5</v>
      </c>
      <c r="F93" s="55">
        <v>23.9</v>
      </c>
      <c r="G93" s="55">
        <v>20.7</v>
      </c>
      <c r="H93" s="55"/>
      <c r="I93" s="55"/>
      <c r="J93" s="55"/>
      <c r="K93" s="56">
        <v>21.366669999999999</v>
      </c>
      <c r="L93" s="25">
        <v>2</v>
      </c>
      <c r="M93" s="16" t="s">
        <v>392</v>
      </c>
      <c r="N93" s="58">
        <v>10.68333</v>
      </c>
      <c r="O93" s="59" t="e">
        <v>#N/A</v>
      </c>
      <c r="P93" t="e">
        <f t="shared" si="1"/>
        <v>#N/A</v>
      </c>
      <c r="R93" s="91" t="s">
        <v>6</v>
      </c>
    </row>
    <row r="94" spans="1:18" ht="15" x14ac:dyDescent="0.2">
      <c r="A94" s="53" t="s">
        <v>395</v>
      </c>
      <c r="B94" s="54" t="s">
        <v>390</v>
      </c>
      <c r="C94" s="54" t="s">
        <v>391</v>
      </c>
      <c r="D94" s="54" t="s">
        <v>24</v>
      </c>
      <c r="E94" s="55">
        <v>52.3</v>
      </c>
      <c r="F94" s="55">
        <v>57.4</v>
      </c>
      <c r="G94" s="55">
        <v>57.2</v>
      </c>
      <c r="H94" s="55"/>
      <c r="I94" s="55"/>
      <c r="J94" s="55"/>
      <c r="K94" s="56">
        <v>55.633330000000001</v>
      </c>
      <c r="L94" s="25">
        <v>2</v>
      </c>
      <c r="M94" s="16" t="s">
        <v>392</v>
      </c>
      <c r="N94" s="58">
        <v>27.816669999999998</v>
      </c>
      <c r="O94" s="59" t="e">
        <v>#N/A</v>
      </c>
      <c r="P94" t="e">
        <f t="shared" si="1"/>
        <v>#N/A</v>
      </c>
      <c r="R94" s="91"/>
    </row>
    <row r="95" spans="1:18" ht="15" x14ac:dyDescent="0.2">
      <c r="A95" s="53" t="s">
        <v>396</v>
      </c>
      <c r="B95" s="54" t="s">
        <v>390</v>
      </c>
      <c r="C95" s="54" t="s">
        <v>391</v>
      </c>
      <c r="D95" s="54" t="s">
        <v>24</v>
      </c>
      <c r="E95" s="55">
        <v>3.3</v>
      </c>
      <c r="F95" s="55">
        <v>1.4</v>
      </c>
      <c r="G95" s="55">
        <v>0</v>
      </c>
      <c r="H95" s="55"/>
      <c r="I95" s="55"/>
      <c r="J95" s="55"/>
      <c r="K95" s="56">
        <v>1.566667</v>
      </c>
      <c r="L95" s="25">
        <v>20</v>
      </c>
      <c r="M95" s="16" t="s">
        <v>392</v>
      </c>
      <c r="N95" s="58">
        <v>7.8333E-2</v>
      </c>
      <c r="O95" s="59" t="e">
        <v>#N/A</v>
      </c>
      <c r="P95" t="e">
        <f t="shared" si="1"/>
        <v>#N/A</v>
      </c>
      <c r="R95" s="91"/>
    </row>
    <row r="96" spans="1:18" ht="15" x14ac:dyDescent="0.2">
      <c r="A96" s="53" t="s">
        <v>92</v>
      </c>
      <c r="B96" s="54" t="s">
        <v>390</v>
      </c>
      <c r="C96" s="54" t="s">
        <v>397</v>
      </c>
      <c r="D96" s="54" t="s">
        <v>364</v>
      </c>
      <c r="E96" s="55">
        <v>0</v>
      </c>
      <c r="F96" s="55">
        <v>0</v>
      </c>
      <c r="G96" s="55">
        <v>0</v>
      </c>
      <c r="H96" s="55"/>
      <c r="I96" s="55"/>
      <c r="J96" s="55"/>
      <c r="K96" s="56">
        <v>0</v>
      </c>
      <c r="L96" s="25">
        <v>20</v>
      </c>
      <c r="M96" s="16" t="s">
        <v>392</v>
      </c>
      <c r="N96" s="58">
        <v>0</v>
      </c>
      <c r="O96" s="59" t="e">
        <v>#N/A</v>
      </c>
      <c r="P96" t="e">
        <f t="shared" si="1"/>
        <v>#N/A</v>
      </c>
      <c r="R96" s="91" t="s">
        <v>4</v>
      </c>
    </row>
    <row r="97" spans="1:18" ht="15" x14ac:dyDescent="0.2">
      <c r="A97" s="53" t="s">
        <v>93</v>
      </c>
      <c r="B97" s="54" t="s">
        <v>390</v>
      </c>
      <c r="C97" s="54" t="s">
        <v>397</v>
      </c>
      <c r="D97" s="54" t="s">
        <v>364</v>
      </c>
      <c r="E97" s="55">
        <v>0</v>
      </c>
      <c r="F97" s="55">
        <v>0</v>
      </c>
      <c r="G97" s="55">
        <v>0</v>
      </c>
      <c r="H97" s="55"/>
      <c r="I97" s="55"/>
      <c r="J97" s="55"/>
      <c r="K97" s="56">
        <v>0</v>
      </c>
      <c r="L97" s="25">
        <v>20</v>
      </c>
      <c r="M97" s="16" t="s">
        <v>392</v>
      </c>
      <c r="N97" s="58">
        <v>0</v>
      </c>
      <c r="O97" s="59" t="e">
        <v>#N/A</v>
      </c>
      <c r="P97" t="e">
        <f t="shared" si="1"/>
        <v>#N/A</v>
      </c>
      <c r="R97" s="91" t="s">
        <v>4</v>
      </c>
    </row>
    <row r="98" spans="1:18" ht="15" x14ac:dyDescent="0.2">
      <c r="A98" s="53" t="s">
        <v>86</v>
      </c>
      <c r="B98" s="54" t="s">
        <v>390</v>
      </c>
      <c r="C98" s="54" t="s">
        <v>397</v>
      </c>
      <c r="D98" s="54" t="s">
        <v>364</v>
      </c>
      <c r="E98" s="55">
        <v>71.3</v>
      </c>
      <c r="F98" s="55">
        <v>71.900000000000006</v>
      </c>
      <c r="G98" s="55">
        <v>84.4</v>
      </c>
      <c r="H98" s="55"/>
      <c r="I98" s="55"/>
      <c r="J98" s="55"/>
      <c r="K98" s="56">
        <v>75.866669999999999</v>
      </c>
      <c r="L98" s="25">
        <v>2</v>
      </c>
      <c r="M98" s="16" t="s">
        <v>392</v>
      </c>
      <c r="N98" s="58">
        <v>37.933329999999998</v>
      </c>
      <c r="O98" s="59" t="e">
        <v>#N/A</v>
      </c>
      <c r="P98" t="e">
        <f t="shared" si="1"/>
        <v>#N/A</v>
      </c>
      <c r="R98" s="91" t="s">
        <v>6</v>
      </c>
    </row>
    <row r="99" spans="1:18" ht="15" x14ac:dyDescent="0.2">
      <c r="A99" s="53" t="s">
        <v>94</v>
      </c>
      <c r="B99" s="54" t="s">
        <v>390</v>
      </c>
      <c r="C99" s="54" t="s">
        <v>397</v>
      </c>
      <c r="D99" s="54" t="s">
        <v>364</v>
      </c>
      <c r="E99" s="55">
        <v>81.400000000000006</v>
      </c>
      <c r="F99" s="55">
        <v>72.3</v>
      </c>
      <c r="G99" s="55">
        <v>83.3</v>
      </c>
      <c r="H99" s="55"/>
      <c r="I99" s="55"/>
      <c r="J99" s="55"/>
      <c r="K99" s="56">
        <v>79</v>
      </c>
      <c r="L99" s="25">
        <v>2</v>
      </c>
      <c r="M99" s="16" t="s">
        <v>392</v>
      </c>
      <c r="N99" s="58">
        <v>39.5</v>
      </c>
      <c r="O99" s="59" t="e">
        <v>#N/A</v>
      </c>
      <c r="P99" t="e">
        <f t="shared" si="1"/>
        <v>#N/A</v>
      </c>
      <c r="R99" s="91" t="s">
        <v>6</v>
      </c>
    </row>
    <row r="100" spans="1:18" ht="15" x14ac:dyDescent="0.2">
      <c r="A100" s="53" t="s">
        <v>87</v>
      </c>
      <c r="B100" s="54" t="s">
        <v>390</v>
      </c>
      <c r="C100" s="54" t="s">
        <v>397</v>
      </c>
      <c r="D100" s="54" t="s">
        <v>364</v>
      </c>
      <c r="E100" s="55">
        <v>74.5</v>
      </c>
      <c r="F100" s="55">
        <v>70.8</v>
      </c>
      <c r="G100" s="55">
        <v>86.7</v>
      </c>
      <c r="H100" s="55"/>
      <c r="I100" s="55"/>
      <c r="J100" s="55"/>
      <c r="K100" s="56">
        <v>77.333330000000004</v>
      </c>
      <c r="L100" s="25">
        <v>2</v>
      </c>
      <c r="M100" s="16" t="s">
        <v>392</v>
      </c>
      <c r="N100" s="58">
        <v>38.666670000000003</v>
      </c>
      <c r="O100" s="59" t="e">
        <v>#N/A</v>
      </c>
      <c r="P100" t="e">
        <f t="shared" si="1"/>
        <v>#N/A</v>
      </c>
      <c r="R100" s="91" t="s">
        <v>6</v>
      </c>
    </row>
    <row r="101" spans="1:18" ht="15" x14ac:dyDescent="0.2">
      <c r="A101" s="53" t="s">
        <v>95</v>
      </c>
      <c r="B101" s="54" t="s">
        <v>390</v>
      </c>
      <c r="C101" s="54" t="s">
        <v>397</v>
      </c>
      <c r="D101" s="54" t="s">
        <v>364</v>
      </c>
      <c r="E101" s="55">
        <v>0</v>
      </c>
      <c r="F101" s="55">
        <v>0</v>
      </c>
      <c r="G101" s="55">
        <v>0</v>
      </c>
      <c r="H101" s="55"/>
      <c r="I101" s="55"/>
      <c r="J101" s="55"/>
      <c r="K101" s="56">
        <v>0</v>
      </c>
      <c r="L101" s="25">
        <v>20</v>
      </c>
      <c r="M101" s="16" t="s">
        <v>392</v>
      </c>
      <c r="N101" s="58">
        <v>0</v>
      </c>
      <c r="O101" s="59" t="e">
        <v>#N/A</v>
      </c>
      <c r="P101" t="e">
        <f t="shared" si="1"/>
        <v>#N/A</v>
      </c>
      <c r="R101" s="91" t="s">
        <v>4</v>
      </c>
    </row>
    <row r="102" spans="1:18" ht="15" x14ac:dyDescent="0.2">
      <c r="A102" s="53" t="s">
        <v>88</v>
      </c>
      <c r="B102" s="54" t="s">
        <v>390</v>
      </c>
      <c r="C102" s="54" t="s">
        <v>397</v>
      </c>
      <c r="D102" s="54" t="s">
        <v>364</v>
      </c>
      <c r="E102" s="55">
        <v>100</v>
      </c>
      <c r="F102" s="55">
        <v>100</v>
      </c>
      <c r="G102" s="55">
        <v>100</v>
      </c>
      <c r="H102" s="55"/>
      <c r="I102" s="55"/>
      <c r="J102" s="55"/>
      <c r="K102" s="56">
        <v>100</v>
      </c>
      <c r="L102" s="25">
        <v>2</v>
      </c>
      <c r="M102" s="16" t="s">
        <v>392</v>
      </c>
      <c r="N102" s="58">
        <v>50</v>
      </c>
      <c r="O102" s="59" t="e">
        <v>#N/A</v>
      </c>
      <c r="P102" t="e">
        <f t="shared" si="1"/>
        <v>#N/A</v>
      </c>
      <c r="R102" s="91" t="s">
        <v>6</v>
      </c>
    </row>
    <row r="103" spans="1:18" ht="15" x14ac:dyDescent="0.2">
      <c r="A103" s="53" t="s">
        <v>96</v>
      </c>
      <c r="B103" s="54" t="s">
        <v>390</v>
      </c>
      <c r="C103" s="54" t="s">
        <v>397</v>
      </c>
      <c r="D103" s="54" t="s">
        <v>364</v>
      </c>
      <c r="E103" s="55">
        <v>20.9</v>
      </c>
      <c r="F103" s="55">
        <v>9.8000000000000007</v>
      </c>
      <c r="G103" s="55">
        <v>17.2</v>
      </c>
      <c r="H103" s="55"/>
      <c r="I103" s="55"/>
      <c r="J103" s="55"/>
      <c r="K103" s="56">
        <v>15.966670000000001</v>
      </c>
      <c r="L103" s="25">
        <v>2</v>
      </c>
      <c r="M103" s="16" t="s">
        <v>392</v>
      </c>
      <c r="N103" s="58">
        <v>7.983333</v>
      </c>
      <c r="O103" s="59" t="e">
        <v>#N/A</v>
      </c>
      <c r="P103" t="e">
        <f t="shared" si="1"/>
        <v>#N/A</v>
      </c>
      <c r="R103" s="91" t="s">
        <v>6</v>
      </c>
    </row>
    <row r="104" spans="1:18" ht="15" x14ac:dyDescent="0.2">
      <c r="A104" s="53" t="s">
        <v>89</v>
      </c>
      <c r="B104" s="54" t="s">
        <v>390</v>
      </c>
      <c r="C104" s="54" t="s">
        <v>397</v>
      </c>
      <c r="D104" s="54" t="s">
        <v>364</v>
      </c>
      <c r="E104" s="55">
        <v>94.5</v>
      </c>
      <c r="F104" s="55">
        <v>85.4</v>
      </c>
      <c r="G104" s="55">
        <v>91.4</v>
      </c>
      <c r="H104" s="55"/>
      <c r="I104" s="55"/>
      <c r="J104" s="55"/>
      <c r="K104" s="56">
        <v>90.433329999999998</v>
      </c>
      <c r="L104" s="25">
        <v>2</v>
      </c>
      <c r="M104" s="16" t="s">
        <v>392</v>
      </c>
      <c r="N104" s="58">
        <v>45.216670000000001</v>
      </c>
      <c r="O104" s="59" t="e">
        <v>#N/A</v>
      </c>
      <c r="P104" t="e">
        <f t="shared" si="1"/>
        <v>#N/A</v>
      </c>
      <c r="R104" s="91" t="s">
        <v>6</v>
      </c>
    </row>
    <row r="105" spans="1:18" ht="15" x14ac:dyDescent="0.2">
      <c r="A105" s="53" t="s">
        <v>97</v>
      </c>
      <c r="B105" s="54" t="s">
        <v>390</v>
      </c>
      <c r="C105" s="54" t="s">
        <v>397</v>
      </c>
      <c r="D105" s="54" t="s">
        <v>364</v>
      </c>
      <c r="E105" s="55">
        <v>100</v>
      </c>
      <c r="F105" s="55">
        <v>81.8</v>
      </c>
      <c r="G105" s="55">
        <v>77.400000000000006</v>
      </c>
      <c r="H105" s="55"/>
      <c r="I105" s="55"/>
      <c r="J105" s="55"/>
      <c r="K105" s="56">
        <v>86.4</v>
      </c>
      <c r="L105" s="25">
        <v>2</v>
      </c>
      <c r="M105" s="16" t="s">
        <v>392</v>
      </c>
      <c r="N105" s="58">
        <v>43.2</v>
      </c>
      <c r="O105" s="59" t="e">
        <v>#N/A</v>
      </c>
      <c r="P105" t="e">
        <f t="shared" si="1"/>
        <v>#N/A</v>
      </c>
      <c r="R105" s="91" t="s">
        <v>6</v>
      </c>
    </row>
    <row r="106" spans="1:18" ht="15" x14ac:dyDescent="0.2">
      <c r="A106" s="53" t="s">
        <v>90</v>
      </c>
      <c r="B106" s="54" t="s">
        <v>390</v>
      </c>
      <c r="C106" s="54" t="s">
        <v>397</v>
      </c>
      <c r="D106" s="54" t="s">
        <v>364</v>
      </c>
      <c r="E106" s="55">
        <v>5.6</v>
      </c>
      <c r="F106" s="55">
        <v>2.1</v>
      </c>
      <c r="G106" s="55">
        <v>1.3</v>
      </c>
      <c r="H106" s="55"/>
      <c r="I106" s="55"/>
      <c r="J106" s="55"/>
      <c r="K106" s="56">
        <v>3</v>
      </c>
      <c r="L106" s="25">
        <v>20</v>
      </c>
      <c r="M106" s="16" t="s">
        <v>392</v>
      </c>
      <c r="N106" s="58">
        <v>0.15</v>
      </c>
      <c r="O106" s="59" t="e">
        <v>#N/A</v>
      </c>
      <c r="P106" t="e">
        <f t="shared" si="1"/>
        <v>#N/A</v>
      </c>
      <c r="R106" s="91" t="s">
        <v>4</v>
      </c>
    </row>
    <row r="107" spans="1:18" ht="15" x14ac:dyDescent="0.2">
      <c r="A107" s="53" t="s">
        <v>98</v>
      </c>
      <c r="B107" s="54" t="s">
        <v>390</v>
      </c>
      <c r="C107" s="54" t="s">
        <v>397</v>
      </c>
      <c r="D107" s="54" t="s">
        <v>364</v>
      </c>
      <c r="E107" s="55">
        <v>0</v>
      </c>
      <c r="F107" s="55">
        <v>0</v>
      </c>
      <c r="G107" s="55">
        <v>0</v>
      </c>
      <c r="H107" s="55"/>
      <c r="I107" s="55"/>
      <c r="J107" s="55"/>
      <c r="K107" s="56">
        <v>0</v>
      </c>
      <c r="L107" s="25">
        <v>20</v>
      </c>
      <c r="M107" s="16" t="s">
        <v>392</v>
      </c>
      <c r="N107" s="58">
        <v>0</v>
      </c>
      <c r="O107" s="59" t="e">
        <v>#N/A</v>
      </c>
      <c r="P107" t="e">
        <f t="shared" si="1"/>
        <v>#N/A</v>
      </c>
      <c r="R107" s="91" t="s">
        <v>4</v>
      </c>
    </row>
    <row r="108" spans="1:18" ht="15" x14ac:dyDescent="0.2">
      <c r="A108" s="53" t="s">
        <v>91</v>
      </c>
      <c r="B108" s="54" t="s">
        <v>390</v>
      </c>
      <c r="C108" s="54" t="s">
        <v>397</v>
      </c>
      <c r="D108" s="54" t="s">
        <v>364</v>
      </c>
      <c r="E108" s="55">
        <v>83.3</v>
      </c>
      <c r="F108" s="55">
        <v>81.2</v>
      </c>
      <c r="G108" s="55">
        <v>85.9</v>
      </c>
      <c r="H108" s="55"/>
      <c r="I108" s="55"/>
      <c r="J108" s="55"/>
      <c r="K108" s="56">
        <v>83.466669999999993</v>
      </c>
      <c r="L108" s="25">
        <v>2</v>
      </c>
      <c r="M108" s="16" t="s">
        <v>392</v>
      </c>
      <c r="N108" s="58">
        <v>41.733330000000002</v>
      </c>
      <c r="O108" s="59" t="e">
        <v>#N/A</v>
      </c>
      <c r="P108" t="e">
        <f t="shared" si="1"/>
        <v>#N/A</v>
      </c>
      <c r="R108" s="91" t="s">
        <v>6</v>
      </c>
    </row>
    <row r="109" spans="1:18" ht="15" x14ac:dyDescent="0.2">
      <c r="A109" s="53" t="s">
        <v>99</v>
      </c>
      <c r="B109" s="54" t="s">
        <v>390</v>
      </c>
      <c r="C109" s="54" t="s">
        <v>397</v>
      </c>
      <c r="D109" s="54" t="s">
        <v>364</v>
      </c>
      <c r="E109" s="55">
        <v>2.1</v>
      </c>
      <c r="F109" s="55">
        <v>8.5</v>
      </c>
      <c r="G109" s="55">
        <v>3.9</v>
      </c>
      <c r="H109" s="55"/>
      <c r="I109" s="55"/>
      <c r="J109" s="55"/>
      <c r="K109" s="56">
        <v>4.8333329999999997</v>
      </c>
      <c r="L109" s="25">
        <v>20</v>
      </c>
      <c r="M109" s="16" t="s">
        <v>392</v>
      </c>
      <c r="N109" s="58">
        <v>0.24166699999999999</v>
      </c>
      <c r="O109" s="59" t="e">
        <v>#N/A</v>
      </c>
      <c r="P109" t="e">
        <f t="shared" si="1"/>
        <v>#N/A</v>
      </c>
      <c r="R109" s="91" t="s">
        <v>4</v>
      </c>
    </row>
    <row r="110" spans="1:18" ht="15" x14ac:dyDescent="0.2">
      <c r="A110" s="53" t="s">
        <v>398</v>
      </c>
      <c r="B110" s="54" t="s">
        <v>390</v>
      </c>
      <c r="C110" s="54" t="s">
        <v>397</v>
      </c>
      <c r="D110" s="54" t="s">
        <v>364</v>
      </c>
      <c r="E110" s="55">
        <v>87.6</v>
      </c>
      <c r="F110" s="55">
        <v>89.2</v>
      </c>
      <c r="G110" s="55">
        <v>79.599999999999994</v>
      </c>
      <c r="H110" s="55"/>
      <c r="I110" s="55"/>
      <c r="J110" s="55"/>
      <c r="K110" s="56">
        <v>85.466669999999993</v>
      </c>
      <c r="L110" s="25">
        <v>2</v>
      </c>
      <c r="M110" s="16" t="s">
        <v>392</v>
      </c>
      <c r="N110" s="58">
        <v>42.733330000000002</v>
      </c>
      <c r="O110" s="59" t="e">
        <v>#N/A</v>
      </c>
      <c r="P110" t="e">
        <f t="shared" si="1"/>
        <v>#N/A</v>
      </c>
    </row>
    <row r="111" spans="1:18" ht="15" x14ac:dyDescent="0.2">
      <c r="A111" s="53" t="s">
        <v>394</v>
      </c>
      <c r="B111" s="54" t="s">
        <v>390</v>
      </c>
      <c r="C111" s="54" t="s">
        <v>397</v>
      </c>
      <c r="D111" s="54" t="s">
        <v>364</v>
      </c>
      <c r="E111" s="55">
        <v>80</v>
      </c>
      <c r="F111" s="55">
        <v>81.8</v>
      </c>
      <c r="G111" s="55">
        <v>81.2</v>
      </c>
      <c r="H111" s="55"/>
      <c r="I111" s="55"/>
      <c r="J111" s="55"/>
      <c r="K111" s="56">
        <v>81</v>
      </c>
      <c r="L111" s="25">
        <v>2</v>
      </c>
      <c r="M111" s="16" t="s">
        <v>392</v>
      </c>
      <c r="N111" s="58">
        <v>40.5</v>
      </c>
      <c r="O111" s="59" t="e">
        <v>#N/A</v>
      </c>
      <c r="P111" t="e">
        <f t="shared" si="1"/>
        <v>#N/A</v>
      </c>
    </row>
    <row r="112" spans="1:18" ht="15" x14ac:dyDescent="0.2">
      <c r="A112" s="53" t="s">
        <v>395</v>
      </c>
      <c r="B112" s="54" t="s">
        <v>390</v>
      </c>
      <c r="C112" s="54" t="s">
        <v>397</v>
      </c>
      <c r="D112" s="54" t="s">
        <v>364</v>
      </c>
      <c r="E112" s="55">
        <v>90.8</v>
      </c>
      <c r="F112" s="55">
        <v>91.8</v>
      </c>
      <c r="G112" s="55">
        <v>91.4</v>
      </c>
      <c r="H112" s="55"/>
      <c r="I112" s="55"/>
      <c r="J112" s="55"/>
      <c r="K112" s="56">
        <v>91.333330000000004</v>
      </c>
      <c r="L112" s="25">
        <v>2</v>
      </c>
      <c r="M112" s="16" t="s">
        <v>392</v>
      </c>
      <c r="N112" s="58">
        <v>45.666670000000003</v>
      </c>
      <c r="O112" s="59" t="e">
        <v>#N/A</v>
      </c>
      <c r="P112" t="e">
        <f t="shared" si="1"/>
        <v>#N/A</v>
      </c>
    </row>
    <row r="113" spans="1:18" ht="15" x14ac:dyDescent="0.2">
      <c r="A113" s="53" t="s">
        <v>396</v>
      </c>
      <c r="B113" s="54" t="s">
        <v>390</v>
      </c>
      <c r="C113" s="54" t="s">
        <v>397</v>
      </c>
      <c r="D113" s="54" t="s">
        <v>364</v>
      </c>
      <c r="E113" s="55">
        <v>0</v>
      </c>
      <c r="F113" s="55">
        <v>0</v>
      </c>
      <c r="G113" s="55">
        <v>0</v>
      </c>
      <c r="H113" s="55"/>
      <c r="I113" s="55"/>
      <c r="J113" s="55"/>
      <c r="K113" s="56">
        <v>0</v>
      </c>
      <c r="L113" s="25">
        <v>20</v>
      </c>
      <c r="M113" s="16" t="s">
        <v>392</v>
      </c>
      <c r="N113" s="58">
        <v>0</v>
      </c>
      <c r="O113" s="59" t="e">
        <v>#N/A</v>
      </c>
      <c r="P113" t="e">
        <f t="shared" si="1"/>
        <v>#N/A</v>
      </c>
    </row>
    <row r="114" spans="1:18" ht="15" x14ac:dyDescent="0.2">
      <c r="A114" t="s">
        <v>100</v>
      </c>
      <c r="B114" t="s">
        <v>390</v>
      </c>
      <c r="C114" t="s">
        <v>397</v>
      </c>
      <c r="D114" t="s">
        <v>23</v>
      </c>
      <c r="E114">
        <v>4.2</v>
      </c>
      <c r="F114">
        <v>4.2</v>
      </c>
      <c r="G114">
        <v>3.2</v>
      </c>
      <c r="K114" s="89">
        <f>AVERAGE(E114:J114)</f>
        <v>3.8666666666666671</v>
      </c>
      <c r="L114" s="25">
        <v>0.5</v>
      </c>
      <c r="M114" s="75" t="s">
        <v>423</v>
      </c>
      <c r="N114" s="58"/>
      <c r="O114" s="59" t="e">
        <v>#N/A</v>
      </c>
      <c r="P114" s="90">
        <f t="shared" si="1"/>
        <v>7.7333333333333343</v>
      </c>
      <c r="Q114" s="87" t="s">
        <v>424</v>
      </c>
      <c r="R114" s="91" t="s">
        <v>4</v>
      </c>
    </row>
    <row r="115" spans="1:18" ht="15" x14ac:dyDescent="0.2">
      <c r="A115" t="s">
        <v>101</v>
      </c>
      <c r="B115" t="s">
        <v>390</v>
      </c>
      <c r="C115" t="s">
        <v>397</v>
      </c>
      <c r="D115" t="s">
        <v>23</v>
      </c>
      <c r="E115">
        <v>13.7</v>
      </c>
      <c r="F115">
        <v>4.3</v>
      </c>
      <c r="G115">
        <v>7.5</v>
      </c>
      <c r="K115" s="89">
        <f t="shared" ref="K115:K178" si="2">AVERAGE(E115:J115)</f>
        <v>8.5</v>
      </c>
      <c r="L115" s="25">
        <v>0.5</v>
      </c>
      <c r="M115" s="75" t="s">
        <v>423</v>
      </c>
      <c r="N115" s="58"/>
      <c r="O115" s="59" t="e">
        <v>#N/A</v>
      </c>
      <c r="P115" s="90">
        <f t="shared" si="1"/>
        <v>17</v>
      </c>
      <c r="Q115" s="87" t="s">
        <v>424</v>
      </c>
      <c r="R115" s="91" t="s">
        <v>4</v>
      </c>
    </row>
    <row r="116" spans="1:18" ht="15" x14ac:dyDescent="0.2">
      <c r="A116" t="s">
        <v>102</v>
      </c>
      <c r="B116" t="s">
        <v>390</v>
      </c>
      <c r="C116" t="s">
        <v>397</v>
      </c>
      <c r="D116" t="s">
        <v>23</v>
      </c>
      <c r="E116">
        <v>67.2</v>
      </c>
      <c r="F116">
        <v>71.2</v>
      </c>
      <c r="G116">
        <v>66.5</v>
      </c>
      <c r="K116" s="89">
        <f t="shared" si="2"/>
        <v>68.3</v>
      </c>
      <c r="L116" s="25">
        <v>0.5</v>
      </c>
      <c r="M116" s="75" t="s">
        <v>423</v>
      </c>
      <c r="N116" s="58"/>
      <c r="O116" s="59" t="e">
        <v>#N/A</v>
      </c>
      <c r="P116" s="90">
        <f t="shared" si="1"/>
        <v>136.6</v>
      </c>
      <c r="Q116" s="87" t="s">
        <v>424</v>
      </c>
      <c r="R116" s="91" t="s">
        <v>6</v>
      </c>
    </row>
    <row r="117" spans="1:18" ht="15" x14ac:dyDescent="0.2">
      <c r="A117" t="s">
        <v>103</v>
      </c>
      <c r="B117" t="s">
        <v>390</v>
      </c>
      <c r="C117" t="s">
        <v>397</v>
      </c>
      <c r="D117" t="s">
        <v>23</v>
      </c>
      <c r="E117">
        <v>66.7</v>
      </c>
      <c r="F117">
        <v>67</v>
      </c>
      <c r="G117">
        <v>75.599999999999994</v>
      </c>
      <c r="K117" s="89">
        <f t="shared" si="2"/>
        <v>69.766666666666666</v>
      </c>
      <c r="L117" s="25">
        <v>0.5</v>
      </c>
      <c r="M117" s="75" t="s">
        <v>423</v>
      </c>
      <c r="N117" s="58"/>
      <c r="O117" s="59" t="e">
        <v>#N/A</v>
      </c>
      <c r="P117" s="90">
        <f t="shared" si="1"/>
        <v>139.53333333333333</v>
      </c>
      <c r="Q117" s="87" t="s">
        <v>424</v>
      </c>
      <c r="R117" s="91" t="s">
        <v>6</v>
      </c>
    </row>
    <row r="118" spans="1:18" ht="15" x14ac:dyDescent="0.2">
      <c r="A118" t="s">
        <v>104</v>
      </c>
      <c r="B118" t="s">
        <v>390</v>
      </c>
      <c r="C118" t="s">
        <v>397</v>
      </c>
      <c r="D118" t="s">
        <v>23</v>
      </c>
      <c r="E118">
        <v>7.8</v>
      </c>
      <c r="F118">
        <v>7</v>
      </c>
      <c r="G118">
        <v>8.5</v>
      </c>
      <c r="K118" s="89">
        <f t="shared" si="2"/>
        <v>7.7666666666666666</v>
      </c>
      <c r="L118" s="25">
        <v>0.5</v>
      </c>
      <c r="M118" s="75" t="s">
        <v>423</v>
      </c>
      <c r="N118" s="58"/>
      <c r="O118" s="59" t="e">
        <v>#N/A</v>
      </c>
      <c r="P118" s="90">
        <f t="shared" si="1"/>
        <v>15.533333333333333</v>
      </c>
      <c r="Q118" s="87" t="s">
        <v>424</v>
      </c>
      <c r="R118" s="91" t="s">
        <v>4</v>
      </c>
    </row>
    <row r="119" spans="1:18" ht="15" x14ac:dyDescent="0.2">
      <c r="A119" t="s">
        <v>105</v>
      </c>
      <c r="B119" t="s">
        <v>390</v>
      </c>
      <c r="C119" t="s">
        <v>397</v>
      </c>
      <c r="D119" t="s">
        <v>23</v>
      </c>
      <c r="E119">
        <v>12.7</v>
      </c>
      <c r="F119">
        <v>9.3000000000000007</v>
      </c>
      <c r="G119">
        <v>9.3000000000000007</v>
      </c>
      <c r="K119" s="89">
        <f t="shared" si="2"/>
        <v>10.433333333333334</v>
      </c>
      <c r="L119" s="25">
        <v>0.5</v>
      </c>
      <c r="M119" s="75" t="s">
        <v>423</v>
      </c>
      <c r="N119" s="58"/>
      <c r="O119" s="59" t="e">
        <v>#N/A</v>
      </c>
      <c r="P119" s="90">
        <f t="shared" si="1"/>
        <v>20.866666666666667</v>
      </c>
      <c r="Q119" s="87" t="s">
        <v>424</v>
      </c>
      <c r="R119" s="91" t="s">
        <v>4</v>
      </c>
    </row>
    <row r="120" spans="1:18" ht="15" x14ac:dyDescent="0.2">
      <c r="A120" t="s">
        <v>106</v>
      </c>
      <c r="B120" t="s">
        <v>390</v>
      </c>
      <c r="C120" t="s">
        <v>397</v>
      </c>
      <c r="D120" t="s">
        <v>23</v>
      </c>
      <c r="E120">
        <v>31.7</v>
      </c>
      <c r="F120">
        <v>31.2</v>
      </c>
      <c r="G120">
        <v>32.9</v>
      </c>
      <c r="K120" s="89">
        <f t="shared" si="2"/>
        <v>31.933333333333334</v>
      </c>
      <c r="L120" s="25">
        <v>0.5</v>
      </c>
      <c r="M120" s="75" t="s">
        <v>423</v>
      </c>
      <c r="N120" s="58"/>
      <c r="O120" s="59" t="e">
        <v>#N/A</v>
      </c>
      <c r="P120" s="90">
        <f t="shared" si="1"/>
        <v>63.866666666666667</v>
      </c>
      <c r="Q120" s="87" t="s">
        <v>424</v>
      </c>
      <c r="R120" s="91" t="s">
        <v>6</v>
      </c>
    </row>
    <row r="121" spans="1:18" ht="15" x14ac:dyDescent="0.2">
      <c r="A121" t="s">
        <v>107</v>
      </c>
      <c r="B121" t="s">
        <v>390</v>
      </c>
      <c r="C121" t="s">
        <v>397</v>
      </c>
      <c r="D121" t="s">
        <v>23</v>
      </c>
      <c r="E121">
        <v>35.4</v>
      </c>
      <c r="F121">
        <v>32.9</v>
      </c>
      <c r="G121">
        <v>35.199999999999903</v>
      </c>
      <c r="K121" s="89">
        <f t="shared" si="2"/>
        <v>34.499999999999964</v>
      </c>
      <c r="L121" s="25">
        <v>0.5</v>
      </c>
      <c r="M121" s="75" t="s">
        <v>423</v>
      </c>
      <c r="N121" s="58"/>
      <c r="O121" s="59" t="e">
        <v>#N/A</v>
      </c>
      <c r="P121" s="90">
        <f t="shared" si="1"/>
        <v>68.999999999999929</v>
      </c>
      <c r="Q121" s="87" t="s">
        <v>424</v>
      </c>
      <c r="R121" s="91" t="s">
        <v>6</v>
      </c>
    </row>
    <row r="122" spans="1:18" ht="15" x14ac:dyDescent="0.2">
      <c r="A122" t="s">
        <v>108</v>
      </c>
      <c r="B122" t="s">
        <v>390</v>
      </c>
      <c r="C122" t="s">
        <v>397</v>
      </c>
      <c r="D122" t="s">
        <v>23</v>
      </c>
      <c r="E122">
        <v>14.399999999999901</v>
      </c>
      <c r="F122">
        <v>14.7</v>
      </c>
      <c r="G122">
        <v>9.8000000000000007</v>
      </c>
      <c r="K122" s="89">
        <f t="shared" si="2"/>
        <v>12.966666666666635</v>
      </c>
      <c r="L122" s="25">
        <v>0.5</v>
      </c>
      <c r="M122" s="75" t="s">
        <v>423</v>
      </c>
      <c r="N122" s="58"/>
      <c r="O122" s="59" t="e">
        <v>#N/A</v>
      </c>
      <c r="P122" s="90">
        <f t="shared" si="1"/>
        <v>25.93333333333327</v>
      </c>
      <c r="Q122" s="87" t="s">
        <v>424</v>
      </c>
      <c r="R122" s="91" t="s">
        <v>4</v>
      </c>
    </row>
    <row r="123" spans="1:18" ht="15" x14ac:dyDescent="0.2">
      <c r="A123" t="s">
        <v>109</v>
      </c>
      <c r="B123" t="s">
        <v>390</v>
      </c>
      <c r="C123" t="s">
        <v>397</v>
      </c>
      <c r="D123" t="s">
        <v>23</v>
      </c>
      <c r="E123">
        <v>97.5</v>
      </c>
      <c r="F123">
        <v>97.8</v>
      </c>
      <c r="G123">
        <v>98</v>
      </c>
      <c r="K123" s="89">
        <f t="shared" si="2"/>
        <v>97.766666666666666</v>
      </c>
      <c r="L123" s="25">
        <v>0.5</v>
      </c>
      <c r="M123" s="75" t="s">
        <v>423</v>
      </c>
      <c r="N123" s="58"/>
      <c r="O123" s="59" t="e">
        <v>#N/A</v>
      </c>
      <c r="P123" s="90">
        <f t="shared" si="1"/>
        <v>195.53333333333333</v>
      </c>
      <c r="Q123" s="87" t="s">
        <v>424</v>
      </c>
      <c r="R123" s="91" t="s">
        <v>6</v>
      </c>
    </row>
    <row r="124" spans="1:18" ht="15" x14ac:dyDescent="0.2">
      <c r="A124" t="s">
        <v>110</v>
      </c>
      <c r="B124" t="s">
        <v>390</v>
      </c>
      <c r="C124" t="s">
        <v>397</v>
      </c>
      <c r="D124" t="s">
        <v>23</v>
      </c>
      <c r="E124">
        <v>7.7</v>
      </c>
      <c r="F124">
        <v>3</v>
      </c>
      <c r="G124">
        <v>6.5</v>
      </c>
      <c r="K124" s="89">
        <f t="shared" si="2"/>
        <v>5.7333333333333334</v>
      </c>
      <c r="L124" s="25">
        <v>0.5</v>
      </c>
      <c r="M124" s="75" t="s">
        <v>423</v>
      </c>
      <c r="N124" s="58"/>
      <c r="O124" s="59" t="e">
        <v>#N/A</v>
      </c>
      <c r="P124" s="90">
        <f t="shared" si="1"/>
        <v>11.466666666666667</v>
      </c>
      <c r="Q124" s="87" t="s">
        <v>424</v>
      </c>
      <c r="R124" s="91" t="s">
        <v>4</v>
      </c>
    </row>
    <row r="125" spans="1:18" ht="15" x14ac:dyDescent="0.2">
      <c r="A125" t="s">
        <v>111</v>
      </c>
      <c r="B125" t="s">
        <v>390</v>
      </c>
      <c r="C125" t="s">
        <v>397</v>
      </c>
      <c r="D125" t="s">
        <v>23</v>
      </c>
      <c r="E125">
        <v>-4.8</v>
      </c>
      <c r="F125">
        <v>5.3</v>
      </c>
      <c r="G125">
        <v>6.1</v>
      </c>
      <c r="K125" s="89">
        <f t="shared" si="2"/>
        <v>2.1999999999999997</v>
      </c>
      <c r="L125" s="25">
        <v>0.5</v>
      </c>
      <c r="M125" s="75" t="s">
        <v>423</v>
      </c>
      <c r="N125" s="58"/>
      <c r="O125" s="59" t="e">
        <v>#N/A</v>
      </c>
      <c r="P125" s="90">
        <f t="shared" si="1"/>
        <v>4.3999999999999995</v>
      </c>
      <c r="Q125" s="87" t="s">
        <v>424</v>
      </c>
      <c r="R125" s="91" t="s">
        <v>4</v>
      </c>
    </row>
    <row r="126" spans="1:18" ht="15" x14ac:dyDescent="0.2">
      <c r="A126" t="s">
        <v>112</v>
      </c>
      <c r="B126" t="s">
        <v>390</v>
      </c>
      <c r="C126" t="s">
        <v>397</v>
      </c>
      <c r="D126" t="s">
        <v>23</v>
      </c>
      <c r="E126">
        <v>95.1</v>
      </c>
      <c r="F126">
        <v>95.8</v>
      </c>
      <c r="G126">
        <v>95.8</v>
      </c>
      <c r="K126" s="89">
        <f t="shared" si="2"/>
        <v>95.566666666666663</v>
      </c>
      <c r="L126" s="25">
        <v>0.5</v>
      </c>
      <c r="M126" s="75" t="s">
        <v>423</v>
      </c>
      <c r="N126" s="58"/>
      <c r="O126" s="59" t="e">
        <v>#N/A</v>
      </c>
      <c r="P126" s="90">
        <f t="shared" si="1"/>
        <v>191.13333333333333</v>
      </c>
      <c r="Q126" s="87" t="s">
        <v>424</v>
      </c>
      <c r="R126" s="91" t="s">
        <v>6</v>
      </c>
    </row>
    <row r="127" spans="1:18" ht="15" x14ac:dyDescent="0.2">
      <c r="A127" t="s">
        <v>113</v>
      </c>
      <c r="B127" t="s">
        <v>390</v>
      </c>
      <c r="C127" t="s">
        <v>397</v>
      </c>
      <c r="D127" t="s">
        <v>23</v>
      </c>
      <c r="E127">
        <v>6.3</v>
      </c>
      <c r="F127">
        <v>9</v>
      </c>
      <c r="G127">
        <v>3.3</v>
      </c>
      <c r="K127" s="89">
        <f t="shared" si="2"/>
        <v>6.2</v>
      </c>
      <c r="L127" s="25">
        <v>0.5</v>
      </c>
      <c r="M127" s="75" t="s">
        <v>423</v>
      </c>
      <c r="N127" s="58"/>
      <c r="O127" s="59" t="e">
        <v>#N/A</v>
      </c>
      <c r="P127" s="90">
        <f t="shared" si="1"/>
        <v>12.4</v>
      </c>
      <c r="Q127" s="87" t="s">
        <v>424</v>
      </c>
      <c r="R127" s="91" t="s">
        <v>4</v>
      </c>
    </row>
    <row r="128" spans="1:18" ht="15" x14ac:dyDescent="0.2">
      <c r="A128" t="s">
        <v>114</v>
      </c>
      <c r="B128" t="s">
        <v>390</v>
      </c>
      <c r="C128" t="s">
        <v>397</v>
      </c>
      <c r="D128" t="s">
        <v>23</v>
      </c>
      <c r="E128">
        <v>91.8</v>
      </c>
      <c r="F128">
        <v>95.5</v>
      </c>
      <c r="G128">
        <v>95.8</v>
      </c>
      <c r="K128" s="89">
        <f t="shared" si="2"/>
        <v>94.366666666666674</v>
      </c>
      <c r="L128" s="25">
        <v>0.5</v>
      </c>
      <c r="M128" s="75" t="s">
        <v>423</v>
      </c>
      <c r="N128" s="58"/>
      <c r="O128" s="59" t="e">
        <v>#N/A</v>
      </c>
      <c r="P128" s="90">
        <f t="shared" si="1"/>
        <v>188.73333333333335</v>
      </c>
      <c r="Q128" s="87" t="s">
        <v>424</v>
      </c>
      <c r="R128" s="91" t="s">
        <v>6</v>
      </c>
    </row>
    <row r="129" spans="1:18" ht="15" x14ac:dyDescent="0.2">
      <c r="A129" t="s">
        <v>115</v>
      </c>
      <c r="B129" t="s">
        <v>390</v>
      </c>
      <c r="C129" t="s">
        <v>397</v>
      </c>
      <c r="D129" t="s">
        <v>23</v>
      </c>
      <c r="E129">
        <v>60.099999999999902</v>
      </c>
      <c r="F129">
        <v>62</v>
      </c>
      <c r="G129">
        <v>65.5</v>
      </c>
      <c r="K129" s="89">
        <f t="shared" si="2"/>
        <v>62.533333333333303</v>
      </c>
      <c r="L129" s="25">
        <v>0.5</v>
      </c>
      <c r="M129" s="75" t="s">
        <v>423</v>
      </c>
      <c r="N129" s="58"/>
      <c r="O129" s="59" t="e">
        <v>#N/A</v>
      </c>
      <c r="P129" s="90">
        <f t="shared" si="1"/>
        <v>125.06666666666661</v>
      </c>
      <c r="Q129" s="87" t="s">
        <v>424</v>
      </c>
      <c r="R129" s="91" t="s">
        <v>6</v>
      </c>
    </row>
    <row r="130" spans="1:18" ht="15" x14ac:dyDescent="0.2">
      <c r="A130" t="s">
        <v>116</v>
      </c>
      <c r="B130" t="s">
        <v>390</v>
      </c>
      <c r="C130" t="s">
        <v>397</v>
      </c>
      <c r="D130" t="s">
        <v>23</v>
      </c>
      <c r="E130">
        <v>92.1</v>
      </c>
      <c r="F130">
        <v>92.1</v>
      </c>
      <c r="G130">
        <v>84.7</v>
      </c>
      <c r="K130" s="89">
        <f t="shared" si="2"/>
        <v>89.633333333333326</v>
      </c>
      <c r="L130" s="25">
        <v>0.5</v>
      </c>
      <c r="M130" s="75" t="s">
        <v>423</v>
      </c>
      <c r="N130" s="58"/>
      <c r="O130" s="59" t="e">
        <v>#N/A</v>
      </c>
      <c r="P130" s="90">
        <f t="shared" si="1"/>
        <v>179.26666666666665</v>
      </c>
      <c r="Q130" s="87" t="s">
        <v>424</v>
      </c>
      <c r="R130" s="91" t="s">
        <v>6</v>
      </c>
    </row>
    <row r="131" spans="1:18" ht="15" x14ac:dyDescent="0.2">
      <c r="A131" t="s">
        <v>117</v>
      </c>
      <c r="B131" t="s">
        <v>390</v>
      </c>
      <c r="C131" t="s">
        <v>397</v>
      </c>
      <c r="D131" t="s">
        <v>23</v>
      </c>
      <c r="E131">
        <v>30.7</v>
      </c>
      <c r="F131">
        <v>34.4</v>
      </c>
      <c r="G131">
        <v>36.6</v>
      </c>
      <c r="K131" s="89">
        <f t="shared" si="2"/>
        <v>33.9</v>
      </c>
      <c r="L131" s="25">
        <v>0.5</v>
      </c>
      <c r="M131" s="75" t="s">
        <v>423</v>
      </c>
      <c r="N131" s="58"/>
      <c r="O131" s="59" t="e">
        <v>#N/A</v>
      </c>
      <c r="P131" s="90">
        <f t="shared" ref="P131:P194" si="3">IF($M131="µg",$K131/$L131, NA())</f>
        <v>67.8</v>
      </c>
      <c r="Q131" s="87" t="s">
        <v>424</v>
      </c>
      <c r="R131" s="91" t="s">
        <v>6</v>
      </c>
    </row>
    <row r="132" spans="1:18" ht="15" x14ac:dyDescent="0.2">
      <c r="A132" t="s">
        <v>398</v>
      </c>
      <c r="B132" t="s">
        <v>390</v>
      </c>
      <c r="C132" t="s">
        <v>397</v>
      </c>
      <c r="D132" t="s">
        <v>23</v>
      </c>
      <c r="E132">
        <v>95.5</v>
      </c>
      <c r="F132">
        <v>93.6</v>
      </c>
      <c r="G132">
        <v>92.8</v>
      </c>
      <c r="K132" s="89">
        <f t="shared" si="2"/>
        <v>93.966666666666654</v>
      </c>
      <c r="L132" s="25">
        <v>0.5</v>
      </c>
      <c r="M132" s="75" t="s">
        <v>423</v>
      </c>
      <c r="N132" s="58"/>
      <c r="O132" s="59" t="e">
        <v>#N/A</v>
      </c>
      <c r="P132" s="90">
        <f t="shared" si="3"/>
        <v>187.93333333333331</v>
      </c>
      <c r="Q132" s="87" t="s">
        <v>424</v>
      </c>
      <c r="R132" s="91"/>
    </row>
    <row r="133" spans="1:18" ht="15" x14ac:dyDescent="0.2">
      <c r="A133" t="s">
        <v>395</v>
      </c>
      <c r="B133" t="s">
        <v>390</v>
      </c>
      <c r="C133" t="s">
        <v>397</v>
      </c>
      <c r="D133" t="s">
        <v>23</v>
      </c>
      <c r="E133">
        <v>103.2</v>
      </c>
      <c r="F133">
        <v>103.49999999999901</v>
      </c>
      <c r="G133">
        <v>102.899999999999</v>
      </c>
      <c r="K133" s="89">
        <f t="shared" si="2"/>
        <v>103.19999999999935</v>
      </c>
      <c r="L133" s="25">
        <v>0.5</v>
      </c>
      <c r="M133" s="75" t="s">
        <v>423</v>
      </c>
      <c r="N133" s="58"/>
      <c r="O133" s="59" t="e">
        <v>#N/A</v>
      </c>
      <c r="P133" s="90">
        <f t="shared" si="3"/>
        <v>206.3999999999987</v>
      </c>
      <c r="Q133" s="87" t="s">
        <v>424</v>
      </c>
      <c r="R133" s="91"/>
    </row>
    <row r="134" spans="1:18" ht="15" x14ac:dyDescent="0.2">
      <c r="A134" t="s">
        <v>396</v>
      </c>
      <c r="B134" t="s">
        <v>390</v>
      </c>
      <c r="C134" t="s">
        <v>397</v>
      </c>
      <c r="D134" t="s">
        <v>23</v>
      </c>
      <c r="E134">
        <v>8.5</v>
      </c>
      <c r="F134">
        <v>12.8</v>
      </c>
      <c r="G134">
        <v>4.5</v>
      </c>
      <c r="K134" s="89">
        <f t="shared" si="2"/>
        <v>8.6</v>
      </c>
      <c r="L134" s="25">
        <v>0.5</v>
      </c>
      <c r="M134" s="75" t="s">
        <v>423</v>
      </c>
      <c r="N134" s="58"/>
      <c r="O134" s="59" t="e">
        <v>#N/A</v>
      </c>
      <c r="P134" s="90">
        <f t="shared" si="3"/>
        <v>17.2</v>
      </c>
      <c r="Q134" s="87" t="s">
        <v>424</v>
      </c>
      <c r="R134" s="91"/>
    </row>
    <row r="135" spans="1:18" ht="15" x14ac:dyDescent="0.2">
      <c r="A135" t="s">
        <v>432</v>
      </c>
      <c r="B135" t="s">
        <v>390</v>
      </c>
      <c r="C135" t="s">
        <v>397</v>
      </c>
      <c r="D135" t="s">
        <v>23</v>
      </c>
      <c r="E135">
        <v>96.5</v>
      </c>
      <c r="F135">
        <v>95.7</v>
      </c>
      <c r="G135">
        <v>95.5</v>
      </c>
      <c r="K135" s="89">
        <f t="shared" si="2"/>
        <v>95.899999999999991</v>
      </c>
      <c r="L135" s="25">
        <v>0.5</v>
      </c>
      <c r="M135" s="75" t="s">
        <v>423</v>
      </c>
      <c r="N135" s="58"/>
      <c r="O135" s="59" t="e">
        <v>#N/A</v>
      </c>
      <c r="P135" s="90">
        <f t="shared" si="3"/>
        <v>191.79999999999998</v>
      </c>
      <c r="Q135" s="87" t="s">
        <v>424</v>
      </c>
      <c r="R135" s="91"/>
    </row>
    <row r="136" spans="1:18" ht="15" x14ac:dyDescent="0.2">
      <c r="A136" t="s">
        <v>132</v>
      </c>
      <c r="B136" t="s">
        <v>390</v>
      </c>
      <c r="C136" t="s">
        <v>397</v>
      </c>
      <c r="D136" t="s">
        <v>3</v>
      </c>
      <c r="E136">
        <v>87.6</v>
      </c>
      <c r="F136">
        <v>92.4</v>
      </c>
      <c r="G136">
        <v>88.4</v>
      </c>
      <c r="K136" s="89">
        <f t="shared" si="2"/>
        <v>89.466666666666654</v>
      </c>
      <c r="L136" s="25">
        <v>0.5</v>
      </c>
      <c r="M136" s="75" t="s">
        <v>423</v>
      </c>
      <c r="N136" s="58"/>
      <c r="O136" s="59" t="e">
        <v>#N/A</v>
      </c>
      <c r="P136" s="90">
        <f t="shared" si="3"/>
        <v>178.93333333333331</v>
      </c>
      <c r="Q136" s="87" t="s">
        <v>424</v>
      </c>
      <c r="R136" s="91" t="s">
        <v>6</v>
      </c>
    </row>
    <row r="137" spans="1:18" ht="15" x14ac:dyDescent="0.2">
      <c r="A137" t="s">
        <v>133</v>
      </c>
      <c r="B137" t="s">
        <v>390</v>
      </c>
      <c r="C137" t="s">
        <v>397</v>
      </c>
      <c r="D137" t="s">
        <v>3</v>
      </c>
      <c r="E137">
        <v>42</v>
      </c>
      <c r="F137">
        <v>47.8</v>
      </c>
      <c r="G137">
        <v>48.1</v>
      </c>
      <c r="K137" s="89">
        <f t="shared" si="2"/>
        <v>45.966666666666669</v>
      </c>
      <c r="L137" s="25">
        <v>0.5</v>
      </c>
      <c r="M137" s="75" t="s">
        <v>423</v>
      </c>
      <c r="N137" s="58"/>
      <c r="O137" s="59" t="e">
        <v>#N/A</v>
      </c>
      <c r="P137" s="90">
        <f t="shared" si="3"/>
        <v>91.933333333333337</v>
      </c>
      <c r="Q137" s="87" t="s">
        <v>424</v>
      </c>
      <c r="R137" s="91" t="s">
        <v>6</v>
      </c>
    </row>
    <row r="138" spans="1:18" ht="15" x14ac:dyDescent="0.2">
      <c r="A138" t="s">
        <v>134</v>
      </c>
      <c r="B138" t="s">
        <v>390</v>
      </c>
      <c r="C138" t="s">
        <v>397</v>
      </c>
      <c r="D138" t="s">
        <v>3</v>
      </c>
      <c r="E138">
        <v>94.399999999999906</v>
      </c>
      <c r="F138">
        <v>95.399999999999906</v>
      </c>
      <c r="G138">
        <v>95.399999999999906</v>
      </c>
      <c r="K138" s="89">
        <f t="shared" si="2"/>
        <v>95.066666666666563</v>
      </c>
      <c r="L138" s="25">
        <v>0.5</v>
      </c>
      <c r="M138" s="75" t="s">
        <v>423</v>
      </c>
      <c r="N138" s="58"/>
      <c r="O138" s="59" t="e">
        <v>#N/A</v>
      </c>
      <c r="P138" s="90">
        <f t="shared" si="3"/>
        <v>190.13333333333313</v>
      </c>
      <c r="Q138" s="87" t="s">
        <v>424</v>
      </c>
      <c r="R138" s="91" t="s">
        <v>6</v>
      </c>
    </row>
    <row r="139" spans="1:18" ht="15" x14ac:dyDescent="0.2">
      <c r="A139" t="s">
        <v>135</v>
      </c>
      <c r="B139" t="s">
        <v>390</v>
      </c>
      <c r="C139" t="s">
        <v>397</v>
      </c>
      <c r="D139" t="s">
        <v>3</v>
      </c>
      <c r="E139">
        <v>93.7</v>
      </c>
      <c r="F139">
        <v>96.7</v>
      </c>
      <c r="G139">
        <v>96.2</v>
      </c>
      <c r="K139" s="89">
        <f t="shared" si="2"/>
        <v>95.533333333333346</v>
      </c>
      <c r="L139" s="25">
        <v>0.5</v>
      </c>
      <c r="M139" s="75" t="s">
        <v>423</v>
      </c>
      <c r="N139" s="58"/>
      <c r="O139" s="59" t="e">
        <v>#N/A</v>
      </c>
      <c r="P139" s="90">
        <f t="shared" si="3"/>
        <v>191.06666666666669</v>
      </c>
      <c r="Q139" s="87" t="s">
        <v>424</v>
      </c>
      <c r="R139" s="91" t="s">
        <v>6</v>
      </c>
    </row>
    <row r="140" spans="1:18" ht="15" x14ac:dyDescent="0.2">
      <c r="A140" t="s">
        <v>136</v>
      </c>
      <c r="B140" t="s">
        <v>390</v>
      </c>
      <c r="C140" t="s">
        <v>397</v>
      </c>
      <c r="D140" t="s">
        <v>3</v>
      </c>
      <c r="E140">
        <v>85.6</v>
      </c>
      <c r="F140">
        <v>94.899999999999906</v>
      </c>
      <c r="G140">
        <v>92.4</v>
      </c>
      <c r="K140" s="89">
        <f t="shared" si="2"/>
        <v>90.966666666666626</v>
      </c>
      <c r="L140" s="25">
        <v>0.5</v>
      </c>
      <c r="M140" s="75" t="s">
        <v>423</v>
      </c>
      <c r="N140" s="58"/>
      <c r="O140" s="59" t="e">
        <v>#N/A</v>
      </c>
      <c r="P140" s="90">
        <f t="shared" si="3"/>
        <v>181.93333333333325</v>
      </c>
      <c r="Q140" s="87" t="s">
        <v>424</v>
      </c>
      <c r="R140" s="91" t="s">
        <v>6</v>
      </c>
    </row>
    <row r="141" spans="1:18" ht="15" x14ac:dyDescent="0.2">
      <c r="A141" t="s">
        <v>137</v>
      </c>
      <c r="B141" t="s">
        <v>390</v>
      </c>
      <c r="C141" t="s">
        <v>397</v>
      </c>
      <c r="D141" t="s">
        <v>3</v>
      </c>
      <c r="E141">
        <v>19</v>
      </c>
      <c r="F141">
        <v>18</v>
      </c>
      <c r="G141">
        <v>20.3</v>
      </c>
      <c r="K141" s="89">
        <f t="shared" si="2"/>
        <v>19.099999999999998</v>
      </c>
      <c r="L141" s="25">
        <v>0.5</v>
      </c>
      <c r="M141" s="75" t="s">
        <v>423</v>
      </c>
      <c r="N141" s="58"/>
      <c r="O141" s="59" t="e">
        <v>#N/A</v>
      </c>
      <c r="P141" s="90">
        <f t="shared" si="3"/>
        <v>38.199999999999996</v>
      </c>
      <c r="Q141" s="87" t="s">
        <v>424</v>
      </c>
      <c r="R141" s="91" t="s">
        <v>6</v>
      </c>
    </row>
    <row r="142" spans="1:18" ht="15" x14ac:dyDescent="0.2">
      <c r="A142" t="s">
        <v>138</v>
      </c>
      <c r="B142" t="s">
        <v>390</v>
      </c>
      <c r="C142" t="s">
        <v>397</v>
      </c>
      <c r="D142" t="s">
        <v>3</v>
      </c>
      <c r="E142">
        <v>9.1</v>
      </c>
      <c r="F142">
        <v>17.2</v>
      </c>
      <c r="G142">
        <v>17.5</v>
      </c>
      <c r="K142" s="89">
        <f t="shared" si="2"/>
        <v>14.6</v>
      </c>
      <c r="L142" s="25">
        <v>0.5</v>
      </c>
      <c r="M142" s="75" t="s">
        <v>423</v>
      </c>
      <c r="N142" s="58"/>
      <c r="O142" s="59" t="e">
        <v>#N/A</v>
      </c>
      <c r="P142" s="90">
        <f t="shared" si="3"/>
        <v>29.2</v>
      </c>
      <c r="Q142" s="87" t="s">
        <v>424</v>
      </c>
      <c r="R142" s="91" t="s">
        <v>6</v>
      </c>
    </row>
    <row r="143" spans="1:18" ht="15" x14ac:dyDescent="0.2">
      <c r="A143" t="s">
        <v>139</v>
      </c>
      <c r="B143" t="s">
        <v>390</v>
      </c>
      <c r="C143" t="s">
        <v>397</v>
      </c>
      <c r="D143" t="s">
        <v>3</v>
      </c>
      <c r="E143">
        <v>12.9</v>
      </c>
      <c r="F143">
        <v>20.5</v>
      </c>
      <c r="G143">
        <v>19.5</v>
      </c>
      <c r="K143" s="89">
        <f t="shared" si="2"/>
        <v>17.633333333333333</v>
      </c>
      <c r="L143" s="25">
        <v>0.5</v>
      </c>
      <c r="M143" s="75" t="s">
        <v>423</v>
      </c>
      <c r="N143" s="58"/>
      <c r="O143" s="59" t="e">
        <v>#N/A</v>
      </c>
      <c r="P143" s="90">
        <f t="shared" si="3"/>
        <v>35.266666666666666</v>
      </c>
      <c r="Q143" s="87" t="s">
        <v>424</v>
      </c>
      <c r="R143" s="91" t="s">
        <v>6</v>
      </c>
    </row>
    <row r="144" spans="1:18" ht="15" x14ac:dyDescent="0.2">
      <c r="A144" t="s">
        <v>140</v>
      </c>
      <c r="B144" t="s">
        <v>390</v>
      </c>
      <c r="C144" t="s">
        <v>397</v>
      </c>
      <c r="D144" t="s">
        <v>3</v>
      </c>
      <c r="E144">
        <v>77.2</v>
      </c>
      <c r="F144">
        <v>83.8</v>
      </c>
      <c r="G144">
        <v>84.3</v>
      </c>
      <c r="K144" s="89">
        <f t="shared" si="2"/>
        <v>81.766666666666666</v>
      </c>
      <c r="L144" s="25">
        <v>0.5</v>
      </c>
      <c r="M144" s="75" t="s">
        <v>423</v>
      </c>
      <c r="N144" s="58"/>
      <c r="O144" s="59" t="e">
        <v>#N/A</v>
      </c>
      <c r="P144" s="90">
        <f t="shared" si="3"/>
        <v>163.53333333333333</v>
      </c>
      <c r="Q144" s="87" t="s">
        <v>424</v>
      </c>
      <c r="R144" s="91" t="s">
        <v>6</v>
      </c>
    </row>
    <row r="145" spans="1:18" ht="15" x14ac:dyDescent="0.2">
      <c r="A145" t="s">
        <v>141</v>
      </c>
      <c r="B145" t="s">
        <v>390</v>
      </c>
      <c r="C145" t="s">
        <v>397</v>
      </c>
      <c r="D145" t="s">
        <v>3</v>
      </c>
      <c r="E145">
        <v>53.9</v>
      </c>
      <c r="F145">
        <v>58.5</v>
      </c>
      <c r="G145">
        <v>61</v>
      </c>
      <c r="K145" s="89">
        <f t="shared" si="2"/>
        <v>57.800000000000004</v>
      </c>
      <c r="L145" s="25">
        <v>0.5</v>
      </c>
      <c r="M145" s="75" t="s">
        <v>423</v>
      </c>
      <c r="N145" s="58"/>
      <c r="O145" s="59" t="e">
        <v>#N/A</v>
      </c>
      <c r="P145" s="90">
        <f t="shared" si="3"/>
        <v>115.60000000000001</v>
      </c>
      <c r="Q145" s="87" t="s">
        <v>424</v>
      </c>
      <c r="R145" s="91" t="s">
        <v>6</v>
      </c>
    </row>
    <row r="146" spans="1:18" ht="15" x14ac:dyDescent="0.2">
      <c r="A146" t="s">
        <v>142</v>
      </c>
      <c r="B146" t="s">
        <v>390</v>
      </c>
      <c r="C146" t="s">
        <v>397</v>
      </c>
      <c r="D146" t="s">
        <v>3</v>
      </c>
      <c r="E146">
        <v>4.3</v>
      </c>
      <c r="F146">
        <v>4.3</v>
      </c>
      <c r="G146">
        <v>4.3</v>
      </c>
      <c r="K146" s="89">
        <f t="shared" si="2"/>
        <v>4.3</v>
      </c>
      <c r="L146" s="25">
        <v>0.5</v>
      </c>
      <c r="M146" s="75" t="s">
        <v>423</v>
      </c>
      <c r="N146" s="58"/>
      <c r="O146" s="59" t="e">
        <v>#N/A</v>
      </c>
      <c r="P146" s="90">
        <f t="shared" si="3"/>
        <v>8.6</v>
      </c>
      <c r="Q146" s="87" t="s">
        <v>424</v>
      </c>
      <c r="R146" s="91" t="s">
        <v>4</v>
      </c>
    </row>
    <row r="147" spans="1:18" ht="15" x14ac:dyDescent="0.2">
      <c r="A147" t="s">
        <v>143</v>
      </c>
      <c r="B147" t="s">
        <v>390</v>
      </c>
      <c r="C147" t="s">
        <v>397</v>
      </c>
      <c r="D147" t="s">
        <v>3</v>
      </c>
      <c r="E147">
        <v>94.199999999999903</v>
      </c>
      <c r="F147">
        <v>96.2</v>
      </c>
      <c r="G147">
        <v>98.2</v>
      </c>
      <c r="K147" s="89">
        <f t="shared" si="2"/>
        <v>96.199999999999974</v>
      </c>
      <c r="L147" s="25">
        <v>0.5</v>
      </c>
      <c r="M147" s="75" t="s">
        <v>423</v>
      </c>
      <c r="N147" s="58"/>
      <c r="O147" s="59" t="e">
        <v>#N/A</v>
      </c>
      <c r="P147" s="90">
        <f t="shared" si="3"/>
        <v>192.39999999999995</v>
      </c>
      <c r="Q147" s="87" t="s">
        <v>424</v>
      </c>
      <c r="R147" s="91" t="s">
        <v>6</v>
      </c>
    </row>
    <row r="148" spans="1:18" ht="15" x14ac:dyDescent="0.2">
      <c r="A148" t="s">
        <v>144</v>
      </c>
      <c r="B148" t="s">
        <v>390</v>
      </c>
      <c r="C148" t="s">
        <v>397</v>
      </c>
      <c r="D148" t="s">
        <v>3</v>
      </c>
      <c r="E148">
        <v>36.4</v>
      </c>
      <c r="F148">
        <v>38.4</v>
      </c>
      <c r="G148">
        <v>41.8</v>
      </c>
      <c r="K148" s="89">
        <f t="shared" si="2"/>
        <v>38.866666666666667</v>
      </c>
      <c r="L148" s="25">
        <v>0.5</v>
      </c>
      <c r="M148" s="75" t="s">
        <v>423</v>
      </c>
      <c r="N148" s="58"/>
      <c r="O148" s="59" t="e">
        <v>#N/A</v>
      </c>
      <c r="P148" s="90">
        <f t="shared" si="3"/>
        <v>77.733333333333334</v>
      </c>
      <c r="Q148" s="87" t="s">
        <v>424</v>
      </c>
      <c r="R148" s="91" t="s">
        <v>6</v>
      </c>
    </row>
    <row r="149" spans="1:18" ht="15" x14ac:dyDescent="0.2">
      <c r="A149" t="s">
        <v>145</v>
      </c>
      <c r="B149" t="s">
        <v>390</v>
      </c>
      <c r="C149" t="s">
        <v>397</v>
      </c>
      <c r="D149" t="s">
        <v>3</v>
      </c>
      <c r="E149">
        <v>78.7</v>
      </c>
      <c r="F149">
        <v>85.1</v>
      </c>
      <c r="G149">
        <v>77</v>
      </c>
      <c r="K149" s="89">
        <f t="shared" si="2"/>
        <v>80.266666666666666</v>
      </c>
      <c r="L149" s="25">
        <v>0.5</v>
      </c>
      <c r="M149" s="75" t="s">
        <v>423</v>
      </c>
      <c r="N149" s="58"/>
      <c r="O149" s="59" t="e">
        <v>#N/A</v>
      </c>
      <c r="P149" s="90">
        <f t="shared" si="3"/>
        <v>160.53333333333333</v>
      </c>
      <c r="Q149" s="87" t="s">
        <v>424</v>
      </c>
      <c r="R149" s="91" t="s">
        <v>6</v>
      </c>
    </row>
    <row r="150" spans="1:18" ht="15" x14ac:dyDescent="0.2">
      <c r="A150" t="s">
        <v>146</v>
      </c>
      <c r="B150" t="s">
        <v>390</v>
      </c>
      <c r="C150" t="s">
        <v>397</v>
      </c>
      <c r="D150" t="s">
        <v>3</v>
      </c>
      <c r="E150">
        <v>70.599999999999994</v>
      </c>
      <c r="F150">
        <v>77.5</v>
      </c>
      <c r="G150">
        <v>77.7</v>
      </c>
      <c r="K150" s="89">
        <f t="shared" si="2"/>
        <v>75.266666666666666</v>
      </c>
      <c r="L150" s="25">
        <v>0.5</v>
      </c>
      <c r="M150" s="75" t="s">
        <v>423</v>
      </c>
      <c r="N150" s="58"/>
      <c r="O150" s="59" t="e">
        <v>#N/A</v>
      </c>
      <c r="P150" s="90">
        <f t="shared" si="3"/>
        <v>150.53333333333333</v>
      </c>
      <c r="Q150" s="87" t="s">
        <v>424</v>
      </c>
      <c r="R150" s="91" t="s">
        <v>6</v>
      </c>
    </row>
    <row r="151" spans="1:18" ht="15" x14ac:dyDescent="0.2">
      <c r="A151" t="s">
        <v>147</v>
      </c>
      <c r="B151" t="s">
        <v>390</v>
      </c>
      <c r="C151" t="s">
        <v>397</v>
      </c>
      <c r="D151" t="s">
        <v>3</v>
      </c>
      <c r="E151">
        <v>66.2</v>
      </c>
      <c r="F151">
        <v>68.400000000000006</v>
      </c>
      <c r="G151">
        <v>67</v>
      </c>
      <c r="K151" s="89">
        <f t="shared" si="2"/>
        <v>67.2</v>
      </c>
      <c r="L151" s="25">
        <v>0.5</v>
      </c>
      <c r="M151" s="75" t="s">
        <v>423</v>
      </c>
      <c r="N151" s="58"/>
      <c r="O151" s="59" t="e">
        <v>#N/A</v>
      </c>
      <c r="P151" s="90">
        <f t="shared" si="3"/>
        <v>134.4</v>
      </c>
      <c r="Q151" s="87" t="s">
        <v>424</v>
      </c>
      <c r="R151" s="91" t="s">
        <v>6</v>
      </c>
    </row>
    <row r="152" spans="1:18" ht="15" x14ac:dyDescent="0.2">
      <c r="A152" t="s">
        <v>148</v>
      </c>
      <c r="B152" t="s">
        <v>390</v>
      </c>
      <c r="C152" t="s">
        <v>397</v>
      </c>
      <c r="D152" t="s">
        <v>3</v>
      </c>
      <c r="E152">
        <v>89.1</v>
      </c>
      <c r="F152">
        <v>96.2</v>
      </c>
      <c r="G152">
        <v>95.899999999999906</v>
      </c>
      <c r="K152" s="89">
        <f t="shared" si="2"/>
        <v>93.733333333333306</v>
      </c>
      <c r="L152" s="25">
        <v>0.5</v>
      </c>
      <c r="M152" s="75" t="s">
        <v>423</v>
      </c>
      <c r="N152" s="58"/>
      <c r="O152" s="59" t="e">
        <v>#N/A</v>
      </c>
      <c r="P152" s="90">
        <f t="shared" si="3"/>
        <v>187.46666666666661</v>
      </c>
      <c r="Q152" s="87" t="s">
        <v>424</v>
      </c>
      <c r="R152" s="91" t="s">
        <v>6</v>
      </c>
    </row>
    <row r="153" spans="1:18" ht="15" x14ac:dyDescent="0.2">
      <c r="A153" t="s">
        <v>149</v>
      </c>
      <c r="B153" t="s">
        <v>390</v>
      </c>
      <c r="C153" t="s">
        <v>397</v>
      </c>
      <c r="D153" t="s">
        <v>3</v>
      </c>
      <c r="E153">
        <v>81.8</v>
      </c>
      <c r="F153">
        <v>88.1</v>
      </c>
      <c r="G153">
        <v>92.4</v>
      </c>
      <c r="K153" s="89">
        <f t="shared" si="2"/>
        <v>87.433333333333323</v>
      </c>
      <c r="L153" s="25">
        <v>0.5</v>
      </c>
      <c r="M153" s="75" t="s">
        <v>423</v>
      </c>
      <c r="N153" s="58"/>
      <c r="O153" s="59" t="e">
        <v>#N/A</v>
      </c>
      <c r="P153" s="90">
        <f t="shared" si="3"/>
        <v>174.86666666666665</v>
      </c>
      <c r="Q153" s="87" t="s">
        <v>424</v>
      </c>
      <c r="R153" s="91" t="s">
        <v>6</v>
      </c>
    </row>
    <row r="154" spans="1:18" ht="15" x14ac:dyDescent="0.2">
      <c r="A154" t="s">
        <v>398</v>
      </c>
      <c r="B154" t="s">
        <v>390</v>
      </c>
      <c r="C154" t="s">
        <v>397</v>
      </c>
      <c r="D154" t="s">
        <v>3</v>
      </c>
      <c r="E154">
        <v>85.2</v>
      </c>
      <c r="F154">
        <v>89.6</v>
      </c>
      <c r="G154">
        <v>89.6</v>
      </c>
      <c r="K154" s="89">
        <f t="shared" si="2"/>
        <v>88.133333333333326</v>
      </c>
      <c r="L154" s="25">
        <v>0.5</v>
      </c>
      <c r="M154" s="75" t="s">
        <v>423</v>
      </c>
      <c r="N154" s="58"/>
      <c r="O154" s="59" t="e">
        <v>#N/A</v>
      </c>
      <c r="P154" s="90">
        <f t="shared" si="3"/>
        <v>176.26666666666665</v>
      </c>
      <c r="Q154" s="87" t="s">
        <v>424</v>
      </c>
      <c r="R154" s="91"/>
    </row>
    <row r="155" spans="1:18" ht="15" x14ac:dyDescent="0.2">
      <c r="A155" t="s">
        <v>395</v>
      </c>
      <c r="B155" t="s">
        <v>390</v>
      </c>
      <c r="C155" t="s">
        <v>397</v>
      </c>
      <c r="D155" t="s">
        <v>3</v>
      </c>
      <c r="E155">
        <v>93.8</v>
      </c>
      <c r="F155">
        <v>96.8</v>
      </c>
      <c r="G155">
        <v>96.5</v>
      </c>
      <c r="K155" s="89">
        <f t="shared" si="2"/>
        <v>95.7</v>
      </c>
      <c r="L155" s="25">
        <v>0.5</v>
      </c>
      <c r="M155" s="75" t="s">
        <v>423</v>
      </c>
      <c r="N155" s="58"/>
      <c r="O155" s="59" t="e">
        <v>#N/A</v>
      </c>
      <c r="P155" s="90">
        <f t="shared" si="3"/>
        <v>191.4</v>
      </c>
      <c r="Q155" s="87" t="s">
        <v>424</v>
      </c>
      <c r="R155" s="91"/>
    </row>
    <row r="156" spans="1:18" ht="15" x14ac:dyDescent="0.2">
      <c r="A156" t="s">
        <v>396</v>
      </c>
      <c r="B156" t="s">
        <v>390</v>
      </c>
      <c r="C156" t="s">
        <v>397</v>
      </c>
      <c r="D156" t="s">
        <v>3</v>
      </c>
      <c r="E156">
        <v>4.8</v>
      </c>
      <c r="F156">
        <v>4.5999999999999996</v>
      </c>
      <c r="G156">
        <v>4.0999999999999996</v>
      </c>
      <c r="K156" s="89">
        <f t="shared" si="2"/>
        <v>4.4999999999999991</v>
      </c>
      <c r="L156" s="25">
        <v>0.5</v>
      </c>
      <c r="M156" s="75" t="s">
        <v>423</v>
      </c>
      <c r="N156" s="58"/>
      <c r="O156" s="59" t="e">
        <v>#N/A</v>
      </c>
      <c r="P156" s="90">
        <f t="shared" si="3"/>
        <v>8.9999999999999982</v>
      </c>
      <c r="Q156" s="87" t="s">
        <v>424</v>
      </c>
      <c r="R156" s="91"/>
    </row>
    <row r="157" spans="1:18" ht="15" x14ac:dyDescent="0.2">
      <c r="A157" t="s">
        <v>432</v>
      </c>
      <c r="B157" t="s">
        <v>390</v>
      </c>
      <c r="C157" t="s">
        <v>397</v>
      </c>
      <c r="D157" t="s">
        <v>3</v>
      </c>
      <c r="E157">
        <v>92.8</v>
      </c>
      <c r="F157">
        <v>94.1</v>
      </c>
      <c r="G157">
        <v>93.6</v>
      </c>
      <c r="K157" s="89">
        <f t="shared" si="2"/>
        <v>93.5</v>
      </c>
      <c r="L157" s="25">
        <v>0.5</v>
      </c>
      <c r="M157" s="75" t="s">
        <v>423</v>
      </c>
      <c r="N157" s="58"/>
      <c r="O157" s="59" t="e">
        <v>#N/A</v>
      </c>
      <c r="P157" s="90">
        <f t="shared" si="3"/>
        <v>187</v>
      </c>
      <c r="Q157" s="87" t="s">
        <v>424</v>
      </c>
      <c r="R157" s="91"/>
    </row>
    <row r="158" spans="1:18" ht="15" x14ac:dyDescent="0.2">
      <c r="A158" t="s">
        <v>118</v>
      </c>
      <c r="B158" t="s">
        <v>390</v>
      </c>
      <c r="C158" t="s">
        <v>397</v>
      </c>
      <c r="D158" t="s">
        <v>119</v>
      </c>
      <c r="E158">
        <v>99.5</v>
      </c>
      <c r="F158">
        <v>98.4</v>
      </c>
      <c r="G158">
        <v>99.2</v>
      </c>
      <c r="K158" s="89">
        <f t="shared" si="2"/>
        <v>99.033333333333346</v>
      </c>
      <c r="L158" s="25">
        <v>0.5</v>
      </c>
      <c r="M158" s="75" t="s">
        <v>423</v>
      </c>
      <c r="N158" s="58"/>
      <c r="O158" s="59" t="e">
        <v>#N/A</v>
      </c>
      <c r="P158" s="90">
        <f t="shared" si="3"/>
        <v>198.06666666666669</v>
      </c>
      <c r="Q158" s="87" t="s">
        <v>424</v>
      </c>
      <c r="R158" s="91" t="s">
        <v>6</v>
      </c>
    </row>
    <row r="159" spans="1:18" ht="15" x14ac:dyDescent="0.2">
      <c r="A159" t="s">
        <v>120</v>
      </c>
      <c r="B159" t="s">
        <v>390</v>
      </c>
      <c r="C159" t="s">
        <v>397</v>
      </c>
      <c r="D159" t="s">
        <v>119</v>
      </c>
      <c r="E159">
        <v>4.8</v>
      </c>
      <c r="F159">
        <v>5.0999999999999996</v>
      </c>
      <c r="G159">
        <v>6.7</v>
      </c>
      <c r="K159" s="89">
        <f t="shared" si="2"/>
        <v>5.5333333333333323</v>
      </c>
      <c r="L159" s="25">
        <v>0.5</v>
      </c>
      <c r="M159" s="75" t="s">
        <v>423</v>
      </c>
      <c r="N159" s="58"/>
      <c r="O159" s="59" t="e">
        <v>#N/A</v>
      </c>
      <c r="P159" s="90">
        <f t="shared" si="3"/>
        <v>11.066666666666665</v>
      </c>
      <c r="Q159" s="87" t="s">
        <v>424</v>
      </c>
      <c r="R159" s="91" t="s">
        <v>4</v>
      </c>
    </row>
    <row r="160" spans="1:18" ht="15" x14ac:dyDescent="0.2">
      <c r="A160" t="s">
        <v>121</v>
      </c>
      <c r="B160" t="s">
        <v>390</v>
      </c>
      <c r="C160" t="s">
        <v>397</v>
      </c>
      <c r="D160" t="s">
        <v>119</v>
      </c>
      <c r="E160">
        <v>38.9</v>
      </c>
      <c r="F160">
        <v>44.8</v>
      </c>
      <c r="G160">
        <v>44.3</v>
      </c>
      <c r="K160" s="89">
        <f t="shared" si="2"/>
        <v>42.666666666666664</v>
      </c>
      <c r="L160" s="25">
        <v>0.5</v>
      </c>
      <c r="M160" s="75" t="s">
        <v>423</v>
      </c>
      <c r="N160" s="58"/>
      <c r="O160" s="59" t="e">
        <v>#N/A</v>
      </c>
      <c r="P160" s="90">
        <f t="shared" si="3"/>
        <v>85.333333333333329</v>
      </c>
      <c r="Q160" s="87" t="s">
        <v>424</v>
      </c>
      <c r="R160" s="91" t="s">
        <v>6</v>
      </c>
    </row>
    <row r="161" spans="1:18" ht="15" x14ac:dyDescent="0.2">
      <c r="A161" t="s">
        <v>122</v>
      </c>
      <c r="B161" t="s">
        <v>390</v>
      </c>
      <c r="C161" t="s">
        <v>397</v>
      </c>
      <c r="D161" t="s">
        <v>119</v>
      </c>
      <c r="E161">
        <v>7.7</v>
      </c>
      <c r="F161">
        <v>8.5</v>
      </c>
      <c r="G161">
        <v>10.7</v>
      </c>
      <c r="K161" s="89">
        <f t="shared" si="2"/>
        <v>8.9666666666666668</v>
      </c>
      <c r="L161" s="25">
        <v>0.5</v>
      </c>
      <c r="M161" s="75" t="s">
        <v>423</v>
      </c>
      <c r="N161" s="58"/>
      <c r="O161" s="59" t="e">
        <v>#N/A</v>
      </c>
      <c r="P161" s="90">
        <f t="shared" si="3"/>
        <v>17.933333333333334</v>
      </c>
      <c r="Q161" s="87" t="s">
        <v>424</v>
      </c>
      <c r="R161" s="91" t="s">
        <v>4</v>
      </c>
    </row>
    <row r="162" spans="1:18" ht="15" x14ac:dyDescent="0.2">
      <c r="A162" t="s">
        <v>123</v>
      </c>
      <c r="B162" t="s">
        <v>390</v>
      </c>
      <c r="C162" t="s">
        <v>397</v>
      </c>
      <c r="D162" t="s">
        <v>119</v>
      </c>
      <c r="E162">
        <v>15.2</v>
      </c>
      <c r="F162">
        <v>19.2</v>
      </c>
      <c r="G162">
        <v>14.7</v>
      </c>
      <c r="K162" s="89">
        <f t="shared" si="2"/>
        <v>16.366666666666664</v>
      </c>
      <c r="L162" s="25">
        <v>0.5</v>
      </c>
      <c r="M162" s="75" t="s">
        <v>423</v>
      </c>
      <c r="N162" s="58"/>
      <c r="O162" s="59" t="e">
        <v>#N/A</v>
      </c>
      <c r="P162" s="90">
        <f t="shared" si="3"/>
        <v>32.733333333333327</v>
      </c>
      <c r="Q162" s="87" t="s">
        <v>424</v>
      </c>
      <c r="R162" s="91" t="s">
        <v>6</v>
      </c>
    </row>
    <row r="163" spans="1:18" ht="15" x14ac:dyDescent="0.2">
      <c r="A163" t="s">
        <v>124</v>
      </c>
      <c r="B163" t="s">
        <v>390</v>
      </c>
      <c r="C163" t="s">
        <v>397</v>
      </c>
      <c r="D163" t="s">
        <v>119</v>
      </c>
      <c r="E163">
        <v>19.600000000000001</v>
      </c>
      <c r="F163">
        <v>29.599999999999898</v>
      </c>
      <c r="G163">
        <v>29.599999999999898</v>
      </c>
      <c r="K163" s="89">
        <f t="shared" si="2"/>
        <v>26.266666666666598</v>
      </c>
      <c r="L163" s="25">
        <v>0.5</v>
      </c>
      <c r="M163" s="75" t="s">
        <v>423</v>
      </c>
      <c r="N163" s="58"/>
      <c r="O163" s="59" t="e">
        <v>#N/A</v>
      </c>
      <c r="P163" s="90">
        <f t="shared" si="3"/>
        <v>52.533333333333196</v>
      </c>
      <c r="Q163" s="87" t="s">
        <v>424</v>
      </c>
      <c r="R163" s="91" t="s">
        <v>6</v>
      </c>
    </row>
    <row r="164" spans="1:18" ht="15" x14ac:dyDescent="0.2">
      <c r="A164" t="s">
        <v>125</v>
      </c>
      <c r="B164" t="s">
        <v>390</v>
      </c>
      <c r="C164" t="s">
        <v>397</v>
      </c>
      <c r="D164" t="s">
        <v>119</v>
      </c>
      <c r="E164">
        <v>96</v>
      </c>
      <c r="F164">
        <v>96</v>
      </c>
      <c r="G164">
        <v>94.1</v>
      </c>
      <c r="K164" s="89">
        <f t="shared" si="2"/>
        <v>95.366666666666674</v>
      </c>
      <c r="L164" s="25">
        <v>0.5</v>
      </c>
      <c r="M164" s="75" t="s">
        <v>423</v>
      </c>
      <c r="N164" s="58"/>
      <c r="O164" s="59" t="e">
        <v>#N/A</v>
      </c>
      <c r="P164" s="90">
        <f t="shared" si="3"/>
        <v>190.73333333333335</v>
      </c>
      <c r="Q164" s="87" t="s">
        <v>424</v>
      </c>
      <c r="R164" s="91" t="s">
        <v>6</v>
      </c>
    </row>
    <row r="165" spans="1:18" ht="15" x14ac:dyDescent="0.2">
      <c r="A165" t="s">
        <v>126</v>
      </c>
      <c r="B165" t="s">
        <v>390</v>
      </c>
      <c r="C165" t="s">
        <v>397</v>
      </c>
      <c r="D165" t="s">
        <v>119</v>
      </c>
      <c r="E165">
        <v>88.5</v>
      </c>
      <c r="F165">
        <v>89.9</v>
      </c>
      <c r="G165">
        <v>84.8</v>
      </c>
      <c r="K165" s="89">
        <f t="shared" si="2"/>
        <v>87.733333333333334</v>
      </c>
      <c r="L165" s="25">
        <v>0.5</v>
      </c>
      <c r="M165" s="75" t="s">
        <v>423</v>
      </c>
      <c r="N165" s="58"/>
      <c r="O165" s="59" t="e">
        <v>#N/A</v>
      </c>
      <c r="P165" s="90">
        <f t="shared" si="3"/>
        <v>175.46666666666667</v>
      </c>
      <c r="Q165" s="87" t="s">
        <v>424</v>
      </c>
      <c r="R165" s="91" t="s">
        <v>6</v>
      </c>
    </row>
    <row r="166" spans="1:18" ht="15" x14ac:dyDescent="0.2">
      <c r="A166" t="s">
        <v>127</v>
      </c>
      <c r="B166" t="s">
        <v>390</v>
      </c>
      <c r="C166" t="s">
        <v>397</v>
      </c>
      <c r="D166" t="s">
        <v>119</v>
      </c>
      <c r="E166">
        <v>25.4</v>
      </c>
      <c r="F166">
        <v>6.5</v>
      </c>
      <c r="G166">
        <v>3.1</v>
      </c>
      <c r="K166" s="89">
        <f t="shared" si="2"/>
        <v>11.666666666666666</v>
      </c>
      <c r="L166" s="25">
        <v>0.5</v>
      </c>
      <c r="M166" s="75" t="s">
        <v>423</v>
      </c>
      <c r="N166" s="58"/>
      <c r="O166" s="59" t="e">
        <v>#N/A</v>
      </c>
      <c r="P166" s="90">
        <f t="shared" si="3"/>
        <v>23.333333333333332</v>
      </c>
      <c r="Q166" s="87" t="s">
        <v>424</v>
      </c>
      <c r="R166" s="91" t="s">
        <v>4</v>
      </c>
    </row>
    <row r="167" spans="1:18" ht="15" x14ac:dyDescent="0.2">
      <c r="A167" t="s">
        <v>128</v>
      </c>
      <c r="B167" t="s">
        <v>390</v>
      </c>
      <c r="C167" t="s">
        <v>397</v>
      </c>
      <c r="D167" t="s">
        <v>119</v>
      </c>
      <c r="E167">
        <v>7.1999999999999904</v>
      </c>
      <c r="F167">
        <v>3.2</v>
      </c>
      <c r="G167">
        <v>4.3</v>
      </c>
      <c r="K167" s="89">
        <f t="shared" si="2"/>
        <v>4.8999999999999977</v>
      </c>
      <c r="L167" s="25">
        <v>0.5</v>
      </c>
      <c r="M167" s="75" t="s">
        <v>423</v>
      </c>
      <c r="N167" s="58"/>
      <c r="O167" s="59" t="e">
        <v>#N/A</v>
      </c>
      <c r="P167" s="90">
        <f t="shared" si="3"/>
        <v>9.7999999999999954</v>
      </c>
      <c r="Q167" s="87" t="s">
        <v>424</v>
      </c>
      <c r="R167" s="91" t="s">
        <v>4</v>
      </c>
    </row>
    <row r="168" spans="1:18" ht="15" x14ac:dyDescent="0.2">
      <c r="A168" t="s">
        <v>129</v>
      </c>
      <c r="B168" t="s">
        <v>390</v>
      </c>
      <c r="C168" t="s">
        <v>397</v>
      </c>
      <c r="D168" t="s">
        <v>119</v>
      </c>
      <c r="E168">
        <v>77.400000000000006</v>
      </c>
      <c r="F168">
        <v>80.8</v>
      </c>
      <c r="G168">
        <v>94</v>
      </c>
      <c r="K168" s="89">
        <f t="shared" si="2"/>
        <v>84.066666666666663</v>
      </c>
      <c r="L168" s="25">
        <v>0.5</v>
      </c>
      <c r="M168" s="75" t="s">
        <v>423</v>
      </c>
      <c r="N168" s="58"/>
      <c r="O168" s="59" t="e">
        <v>#N/A</v>
      </c>
      <c r="P168" s="90">
        <f t="shared" si="3"/>
        <v>168.13333333333333</v>
      </c>
      <c r="Q168" s="87" t="s">
        <v>424</v>
      </c>
      <c r="R168" s="91" t="s">
        <v>6</v>
      </c>
    </row>
    <row r="169" spans="1:18" ht="15" x14ac:dyDescent="0.2">
      <c r="A169" t="s">
        <v>130</v>
      </c>
      <c r="B169" t="s">
        <v>390</v>
      </c>
      <c r="C169" t="s">
        <v>397</v>
      </c>
      <c r="D169" t="s">
        <v>119</v>
      </c>
      <c r="E169">
        <v>86.9</v>
      </c>
      <c r="F169">
        <v>88.8</v>
      </c>
      <c r="G169">
        <v>86.7</v>
      </c>
      <c r="K169" s="89">
        <f t="shared" si="2"/>
        <v>87.466666666666654</v>
      </c>
      <c r="L169" s="25">
        <v>0.5</v>
      </c>
      <c r="M169" s="75" t="s">
        <v>423</v>
      </c>
      <c r="N169" s="58"/>
      <c r="O169" s="59" t="e">
        <v>#N/A</v>
      </c>
      <c r="P169" s="90">
        <f t="shared" si="3"/>
        <v>174.93333333333331</v>
      </c>
      <c r="Q169" s="87" t="s">
        <v>424</v>
      </c>
      <c r="R169" s="91" t="s">
        <v>6</v>
      </c>
    </row>
    <row r="170" spans="1:18" ht="15" x14ac:dyDescent="0.2">
      <c r="A170" t="s">
        <v>131</v>
      </c>
      <c r="B170" t="s">
        <v>390</v>
      </c>
      <c r="C170" t="s">
        <v>397</v>
      </c>
      <c r="D170" t="s">
        <v>119</v>
      </c>
      <c r="E170">
        <v>12.3</v>
      </c>
      <c r="F170">
        <v>10.7</v>
      </c>
      <c r="G170">
        <v>12</v>
      </c>
      <c r="K170" s="89">
        <f t="shared" si="2"/>
        <v>11.666666666666666</v>
      </c>
      <c r="L170" s="25">
        <v>0.5</v>
      </c>
      <c r="M170" s="75" t="s">
        <v>423</v>
      </c>
      <c r="N170" s="58"/>
      <c r="O170" s="59" t="e">
        <v>#N/A</v>
      </c>
      <c r="P170" s="90">
        <f t="shared" si="3"/>
        <v>23.333333333333332</v>
      </c>
      <c r="Q170" s="87" t="s">
        <v>424</v>
      </c>
      <c r="R170" s="91" t="s">
        <v>4</v>
      </c>
    </row>
    <row r="171" spans="1:18" ht="15" x14ac:dyDescent="0.2">
      <c r="A171" t="s">
        <v>398</v>
      </c>
      <c r="B171" t="s">
        <v>390</v>
      </c>
      <c r="C171" t="s">
        <v>397</v>
      </c>
      <c r="D171" t="s">
        <v>119</v>
      </c>
      <c r="E171">
        <v>85.3</v>
      </c>
      <c r="F171">
        <v>88.7</v>
      </c>
      <c r="G171">
        <v>87.9</v>
      </c>
      <c r="H171">
        <v>92.2</v>
      </c>
      <c r="I171">
        <v>92.2</v>
      </c>
      <c r="J171">
        <v>90.9</v>
      </c>
      <c r="K171" s="89">
        <f t="shared" si="2"/>
        <v>89.533333333333317</v>
      </c>
      <c r="L171" s="25">
        <v>0.5</v>
      </c>
      <c r="M171" s="75" t="s">
        <v>423</v>
      </c>
      <c r="N171" s="58"/>
      <c r="O171" s="59" t="e">
        <v>#N/A</v>
      </c>
      <c r="P171" s="90">
        <f t="shared" si="3"/>
        <v>179.06666666666663</v>
      </c>
      <c r="Q171" s="87" t="s">
        <v>424</v>
      </c>
      <c r="R171" s="91"/>
    </row>
    <row r="172" spans="1:18" ht="15" x14ac:dyDescent="0.2">
      <c r="A172" t="s">
        <v>395</v>
      </c>
      <c r="B172" t="s">
        <v>390</v>
      </c>
      <c r="C172" t="s">
        <v>397</v>
      </c>
      <c r="D172" t="s">
        <v>119</v>
      </c>
      <c r="E172">
        <v>95.8</v>
      </c>
      <c r="F172">
        <v>94.199999999999903</v>
      </c>
      <c r="G172">
        <v>90.5</v>
      </c>
      <c r="H172">
        <v>96.2</v>
      </c>
      <c r="I172">
        <v>96.5</v>
      </c>
      <c r="J172">
        <v>94.699999999999903</v>
      </c>
      <c r="K172" s="89">
        <f t="shared" si="2"/>
        <v>94.649999999999963</v>
      </c>
      <c r="L172" s="25">
        <v>0.5</v>
      </c>
      <c r="M172" s="75" t="s">
        <v>423</v>
      </c>
      <c r="N172" s="58"/>
      <c r="O172" s="59" t="e">
        <v>#N/A</v>
      </c>
      <c r="P172" s="90">
        <f t="shared" si="3"/>
        <v>189.29999999999993</v>
      </c>
      <c r="Q172" s="87" t="s">
        <v>424</v>
      </c>
      <c r="R172" s="91"/>
    </row>
    <row r="173" spans="1:18" ht="15" x14ac:dyDescent="0.2">
      <c r="A173" t="s">
        <v>396</v>
      </c>
      <c r="B173" t="s">
        <v>390</v>
      </c>
      <c r="C173" t="s">
        <v>397</v>
      </c>
      <c r="D173" t="s">
        <v>119</v>
      </c>
      <c r="E173">
        <v>2</v>
      </c>
      <c r="F173">
        <v>9.9</v>
      </c>
      <c r="G173">
        <v>6.2</v>
      </c>
      <c r="H173">
        <v>1.3</v>
      </c>
      <c r="I173">
        <v>3.5</v>
      </c>
      <c r="J173">
        <v>2.5</v>
      </c>
      <c r="K173" s="89">
        <f t="shared" si="2"/>
        <v>4.2333333333333334</v>
      </c>
      <c r="L173" s="25">
        <v>0.5</v>
      </c>
      <c r="M173" s="75" t="s">
        <v>423</v>
      </c>
      <c r="N173" s="58"/>
      <c r="O173" s="59" t="e">
        <v>#N/A</v>
      </c>
      <c r="P173" s="90">
        <f t="shared" si="3"/>
        <v>8.4666666666666668</v>
      </c>
      <c r="Q173" s="87" t="s">
        <v>424</v>
      </c>
      <c r="R173" s="91"/>
    </row>
    <row r="174" spans="1:18" ht="15" x14ac:dyDescent="0.2">
      <c r="A174" t="s">
        <v>432</v>
      </c>
      <c r="B174" t="s">
        <v>390</v>
      </c>
      <c r="C174" t="s">
        <v>397</v>
      </c>
      <c r="D174" t="s">
        <v>119</v>
      </c>
      <c r="E174">
        <v>88.7</v>
      </c>
      <c r="F174">
        <v>91.9</v>
      </c>
      <c r="G174">
        <v>92.4</v>
      </c>
      <c r="H174">
        <v>91.1</v>
      </c>
      <c r="I174">
        <v>91.6</v>
      </c>
      <c r="J174">
        <v>92.4</v>
      </c>
      <c r="K174" s="89">
        <f t="shared" si="2"/>
        <v>91.350000000000009</v>
      </c>
      <c r="L174" s="25">
        <v>0.5</v>
      </c>
      <c r="M174" s="75" t="s">
        <v>423</v>
      </c>
      <c r="N174" s="58"/>
      <c r="O174" s="59" t="e">
        <v>#N/A</v>
      </c>
      <c r="P174" s="90">
        <f t="shared" si="3"/>
        <v>182.70000000000002</v>
      </c>
      <c r="Q174" s="87" t="s">
        <v>424</v>
      </c>
      <c r="R174" s="91"/>
    </row>
    <row r="175" spans="1:18" ht="15" x14ac:dyDescent="0.2">
      <c r="A175">
        <v>9694</v>
      </c>
      <c r="B175" t="s">
        <v>390</v>
      </c>
      <c r="C175" t="s">
        <v>397</v>
      </c>
      <c r="D175" t="s">
        <v>24</v>
      </c>
      <c r="E175">
        <v>5.5</v>
      </c>
      <c r="F175">
        <v>5.5</v>
      </c>
      <c r="G175">
        <v>4.7</v>
      </c>
      <c r="K175" s="89">
        <f t="shared" si="2"/>
        <v>5.2333333333333334</v>
      </c>
      <c r="L175" s="25">
        <v>0.5</v>
      </c>
      <c r="M175" s="75" t="s">
        <v>423</v>
      </c>
      <c r="N175" s="58"/>
      <c r="O175" s="59" t="e">
        <v>#N/A</v>
      </c>
      <c r="P175" s="90">
        <f t="shared" si="3"/>
        <v>10.466666666666667</v>
      </c>
      <c r="Q175" s="87" t="s">
        <v>424</v>
      </c>
      <c r="R175" s="91" t="s">
        <v>4</v>
      </c>
    </row>
    <row r="176" spans="1:18" ht="15" x14ac:dyDescent="0.2">
      <c r="A176">
        <v>0</v>
      </c>
      <c r="B176" t="s">
        <v>390</v>
      </c>
      <c r="C176" t="s">
        <v>397</v>
      </c>
      <c r="D176" t="s">
        <v>24</v>
      </c>
      <c r="E176">
        <v>8</v>
      </c>
      <c r="F176">
        <v>5.7</v>
      </c>
      <c r="G176">
        <v>7.1999999999999904</v>
      </c>
      <c r="K176" s="89">
        <f t="shared" si="2"/>
        <v>6.9666666666666641</v>
      </c>
      <c r="L176" s="25">
        <v>0.5</v>
      </c>
      <c r="M176" s="75" t="s">
        <v>423</v>
      </c>
      <c r="N176" s="58"/>
      <c r="O176" s="59" t="e">
        <v>#N/A</v>
      </c>
      <c r="P176" s="90">
        <f t="shared" si="3"/>
        <v>13.933333333333328</v>
      </c>
      <c r="Q176" s="87" t="s">
        <v>424</v>
      </c>
      <c r="R176" s="91" t="s">
        <v>4</v>
      </c>
    </row>
    <row r="177" spans="1:18" ht="15" x14ac:dyDescent="0.2">
      <c r="A177">
        <v>1173</v>
      </c>
      <c r="B177" t="s">
        <v>390</v>
      </c>
      <c r="C177" t="s">
        <v>397</v>
      </c>
      <c r="D177" t="s">
        <v>24</v>
      </c>
      <c r="E177">
        <v>95</v>
      </c>
      <c r="F177">
        <v>95.8</v>
      </c>
      <c r="G177">
        <v>97</v>
      </c>
      <c r="K177" s="89">
        <f t="shared" si="2"/>
        <v>95.933333333333337</v>
      </c>
      <c r="L177" s="25">
        <v>0.5</v>
      </c>
      <c r="M177" s="75" t="s">
        <v>423</v>
      </c>
      <c r="N177" s="58"/>
      <c r="O177" s="59" t="e">
        <v>#N/A</v>
      </c>
      <c r="P177" s="90">
        <f t="shared" si="3"/>
        <v>191.86666666666667</v>
      </c>
      <c r="Q177" s="87" t="s">
        <v>424</v>
      </c>
      <c r="R177" s="91" t="s">
        <v>6</v>
      </c>
    </row>
    <row r="178" spans="1:18" ht="15" x14ac:dyDescent="0.2">
      <c r="A178">
        <v>1190</v>
      </c>
      <c r="B178" t="s">
        <v>390</v>
      </c>
      <c r="C178" t="s">
        <v>397</v>
      </c>
      <c r="D178" t="s">
        <v>24</v>
      </c>
      <c r="E178">
        <v>32.9</v>
      </c>
      <c r="F178">
        <v>28.9</v>
      </c>
      <c r="G178">
        <v>31.7</v>
      </c>
      <c r="K178" s="89">
        <f t="shared" si="2"/>
        <v>31.166666666666668</v>
      </c>
      <c r="L178" s="25">
        <v>0.5</v>
      </c>
      <c r="M178" s="75" t="s">
        <v>423</v>
      </c>
      <c r="N178" s="58"/>
      <c r="O178" s="59" t="e">
        <v>#N/A</v>
      </c>
      <c r="P178" s="90">
        <f t="shared" si="3"/>
        <v>62.333333333333336</v>
      </c>
      <c r="Q178" s="87" t="s">
        <v>424</v>
      </c>
      <c r="R178" s="91" t="s">
        <v>6</v>
      </c>
    </row>
    <row r="179" spans="1:18" ht="15" x14ac:dyDescent="0.2">
      <c r="A179">
        <v>2724</v>
      </c>
      <c r="B179" t="s">
        <v>390</v>
      </c>
      <c r="C179" t="s">
        <v>397</v>
      </c>
      <c r="D179" t="s">
        <v>24</v>
      </c>
      <c r="E179">
        <v>3.2</v>
      </c>
      <c r="F179">
        <v>4</v>
      </c>
      <c r="G179">
        <v>4.7</v>
      </c>
      <c r="K179" s="89">
        <f t="shared" ref="K179:K242" si="4">AVERAGE(E179:J179)</f>
        <v>3.9666666666666668</v>
      </c>
      <c r="L179" s="25">
        <v>0.5</v>
      </c>
      <c r="M179" s="75" t="s">
        <v>423</v>
      </c>
      <c r="N179" s="58"/>
      <c r="O179" s="59" t="e">
        <v>#N/A</v>
      </c>
      <c r="P179" s="90">
        <f t="shared" si="3"/>
        <v>7.9333333333333336</v>
      </c>
      <c r="Q179" s="87" t="s">
        <v>424</v>
      </c>
      <c r="R179" s="91" t="s">
        <v>4</v>
      </c>
    </row>
    <row r="180" spans="1:18" ht="15" x14ac:dyDescent="0.2">
      <c r="A180">
        <v>4277</v>
      </c>
      <c r="B180" t="s">
        <v>390</v>
      </c>
      <c r="C180" t="s">
        <v>397</v>
      </c>
      <c r="D180" t="s">
        <v>24</v>
      </c>
      <c r="E180">
        <v>53.6</v>
      </c>
      <c r="F180">
        <v>50.4</v>
      </c>
      <c r="G180">
        <v>54.1</v>
      </c>
      <c r="K180" s="89">
        <f t="shared" si="4"/>
        <v>52.699999999999996</v>
      </c>
      <c r="L180" s="25">
        <v>0.5</v>
      </c>
      <c r="M180" s="75" t="s">
        <v>423</v>
      </c>
      <c r="N180" s="58"/>
      <c r="O180" s="59" t="e">
        <v>#N/A</v>
      </c>
      <c r="P180" s="90">
        <f t="shared" si="3"/>
        <v>105.39999999999999</v>
      </c>
      <c r="Q180" s="87" t="s">
        <v>424</v>
      </c>
      <c r="R180" s="91" t="s">
        <v>6</v>
      </c>
    </row>
    <row r="181" spans="1:18" ht="15" x14ac:dyDescent="0.2">
      <c r="A181">
        <v>4290</v>
      </c>
      <c r="B181" t="s">
        <v>390</v>
      </c>
      <c r="C181" t="s">
        <v>397</v>
      </c>
      <c r="D181" t="s">
        <v>24</v>
      </c>
      <c r="E181">
        <v>48.8</v>
      </c>
      <c r="F181">
        <v>59.199999999999903</v>
      </c>
      <c r="G181">
        <v>63.5</v>
      </c>
      <c r="K181" s="89">
        <f t="shared" si="4"/>
        <v>57.166666666666629</v>
      </c>
      <c r="L181" s="25">
        <v>0.5</v>
      </c>
      <c r="M181" s="75" t="s">
        <v>423</v>
      </c>
      <c r="N181" s="58"/>
      <c r="O181" s="59" t="e">
        <v>#N/A</v>
      </c>
      <c r="P181" s="90">
        <f t="shared" si="3"/>
        <v>114.33333333333326</v>
      </c>
      <c r="Q181" s="87" t="s">
        <v>424</v>
      </c>
      <c r="R181" s="91" t="s">
        <v>6</v>
      </c>
    </row>
    <row r="182" spans="1:18" ht="15" x14ac:dyDescent="0.2">
      <c r="A182">
        <v>5114</v>
      </c>
      <c r="B182" t="s">
        <v>390</v>
      </c>
      <c r="C182" t="s">
        <v>397</v>
      </c>
      <c r="D182" t="s">
        <v>24</v>
      </c>
      <c r="E182">
        <v>93.5</v>
      </c>
      <c r="F182">
        <v>93.3</v>
      </c>
      <c r="G182">
        <v>93.8</v>
      </c>
      <c r="K182" s="89">
        <f t="shared" si="4"/>
        <v>93.533333333333346</v>
      </c>
      <c r="L182" s="25">
        <v>0.5</v>
      </c>
      <c r="M182" s="75" t="s">
        <v>423</v>
      </c>
      <c r="N182" s="58"/>
      <c r="O182" s="59" t="e">
        <v>#N/A</v>
      </c>
      <c r="P182" s="90">
        <f t="shared" si="3"/>
        <v>187.06666666666669</v>
      </c>
      <c r="Q182" s="87" t="s">
        <v>424</v>
      </c>
      <c r="R182" s="91" t="s">
        <v>6</v>
      </c>
    </row>
    <row r="183" spans="1:18" ht="15" x14ac:dyDescent="0.2">
      <c r="A183">
        <v>5138</v>
      </c>
      <c r="B183" t="s">
        <v>390</v>
      </c>
      <c r="C183" t="s">
        <v>397</v>
      </c>
      <c r="D183" t="s">
        <v>24</v>
      </c>
      <c r="E183">
        <v>29.799999999999901</v>
      </c>
      <c r="F183">
        <v>32.9</v>
      </c>
      <c r="G183">
        <v>31.2</v>
      </c>
      <c r="K183" s="89">
        <f t="shared" si="4"/>
        <v>31.299999999999969</v>
      </c>
      <c r="L183" s="25">
        <v>0.5</v>
      </c>
      <c r="M183" s="75" t="s">
        <v>423</v>
      </c>
      <c r="N183" s="58"/>
      <c r="O183" s="59" t="e">
        <v>#N/A</v>
      </c>
      <c r="P183" s="90">
        <f t="shared" si="3"/>
        <v>62.599999999999937</v>
      </c>
      <c r="Q183" s="87" t="s">
        <v>424</v>
      </c>
      <c r="R183" s="91" t="s">
        <v>6</v>
      </c>
    </row>
    <row r="184" spans="1:18" ht="15" x14ac:dyDescent="0.2">
      <c r="A184">
        <v>5660</v>
      </c>
      <c r="B184" t="s">
        <v>390</v>
      </c>
      <c r="C184" t="s">
        <v>397</v>
      </c>
      <c r="D184" t="s">
        <v>24</v>
      </c>
      <c r="E184">
        <v>32.700000000000003</v>
      </c>
      <c r="F184">
        <v>34.4</v>
      </c>
      <c r="G184">
        <v>34.4</v>
      </c>
      <c r="K184" s="89">
        <f t="shared" si="4"/>
        <v>33.833333333333336</v>
      </c>
      <c r="L184" s="25">
        <v>0.5</v>
      </c>
      <c r="M184" s="75" t="s">
        <v>423</v>
      </c>
      <c r="N184" s="58"/>
      <c r="O184" s="59" t="e">
        <v>#N/A</v>
      </c>
      <c r="P184" s="90">
        <f t="shared" si="3"/>
        <v>67.666666666666671</v>
      </c>
      <c r="Q184" s="87" t="s">
        <v>424</v>
      </c>
      <c r="R184" s="91" t="s">
        <v>6</v>
      </c>
    </row>
    <row r="185" spans="1:18" ht="15" x14ac:dyDescent="0.2">
      <c r="A185">
        <v>5748</v>
      </c>
      <c r="B185" t="s">
        <v>390</v>
      </c>
      <c r="C185" t="s">
        <v>397</v>
      </c>
      <c r="D185" t="s">
        <v>24</v>
      </c>
      <c r="E185">
        <v>97.3</v>
      </c>
      <c r="F185">
        <v>97.6</v>
      </c>
      <c r="G185">
        <v>98.1</v>
      </c>
      <c r="K185" s="89">
        <f t="shared" si="4"/>
        <v>97.666666666666671</v>
      </c>
      <c r="L185" s="25">
        <v>0.5</v>
      </c>
      <c r="M185" s="75" t="s">
        <v>423</v>
      </c>
      <c r="N185" s="58"/>
      <c r="O185" s="59" t="e">
        <v>#N/A</v>
      </c>
      <c r="P185" s="90">
        <f t="shared" si="3"/>
        <v>195.33333333333334</v>
      </c>
      <c r="Q185" s="87" t="s">
        <v>424</v>
      </c>
      <c r="R185" s="91" t="s">
        <v>6</v>
      </c>
    </row>
    <row r="186" spans="1:18" ht="15" x14ac:dyDescent="0.2">
      <c r="A186">
        <v>6567</v>
      </c>
      <c r="B186" t="s">
        <v>390</v>
      </c>
      <c r="C186" t="s">
        <v>397</v>
      </c>
      <c r="D186" t="s">
        <v>24</v>
      </c>
      <c r="E186">
        <v>1</v>
      </c>
      <c r="F186">
        <v>0</v>
      </c>
      <c r="G186">
        <v>-0.3</v>
      </c>
      <c r="K186" s="89">
        <f t="shared" si="4"/>
        <v>0.23333333333333331</v>
      </c>
      <c r="L186" s="25">
        <v>0.5</v>
      </c>
      <c r="M186" s="75" t="s">
        <v>423</v>
      </c>
      <c r="N186" s="58"/>
      <c r="O186" s="59" t="e">
        <v>#N/A</v>
      </c>
      <c r="P186" s="90">
        <f t="shared" si="3"/>
        <v>0.46666666666666662</v>
      </c>
      <c r="Q186" s="87" t="s">
        <v>424</v>
      </c>
      <c r="R186" s="91" t="s">
        <v>4</v>
      </c>
    </row>
    <row r="187" spans="1:18" ht="15" x14ac:dyDescent="0.2">
      <c r="A187">
        <v>7017</v>
      </c>
      <c r="B187" t="s">
        <v>390</v>
      </c>
      <c r="C187" t="s">
        <v>397</v>
      </c>
      <c r="D187" t="s">
        <v>24</v>
      </c>
      <c r="E187">
        <v>4.2</v>
      </c>
      <c r="F187">
        <v>3</v>
      </c>
      <c r="G187">
        <v>8.5</v>
      </c>
      <c r="K187" s="89">
        <f t="shared" si="4"/>
        <v>5.2333333333333334</v>
      </c>
      <c r="L187" s="25">
        <v>0.5</v>
      </c>
      <c r="M187" s="75" t="s">
        <v>423</v>
      </c>
      <c r="N187" s="58"/>
      <c r="O187" s="59" t="e">
        <v>#N/A</v>
      </c>
      <c r="P187" s="90">
        <f t="shared" si="3"/>
        <v>10.466666666666667</v>
      </c>
      <c r="Q187" s="87" t="s">
        <v>424</v>
      </c>
      <c r="R187" s="91" t="s">
        <v>4</v>
      </c>
    </row>
    <row r="188" spans="1:18" ht="15" x14ac:dyDescent="0.2">
      <c r="A188">
        <v>889</v>
      </c>
      <c r="B188" t="s">
        <v>390</v>
      </c>
      <c r="C188" t="s">
        <v>397</v>
      </c>
      <c r="D188" t="s">
        <v>24</v>
      </c>
      <c r="E188">
        <v>5.2</v>
      </c>
      <c r="F188">
        <v>12</v>
      </c>
      <c r="G188">
        <v>23.2</v>
      </c>
      <c r="K188" s="89">
        <f t="shared" si="4"/>
        <v>13.466666666666667</v>
      </c>
      <c r="L188" s="25">
        <v>0.5</v>
      </c>
      <c r="M188" s="75" t="s">
        <v>423</v>
      </c>
      <c r="N188" s="58"/>
      <c r="O188" s="59" t="e">
        <v>#N/A</v>
      </c>
      <c r="P188" s="90">
        <f t="shared" si="3"/>
        <v>26.933333333333334</v>
      </c>
      <c r="Q188" s="87" t="s">
        <v>424</v>
      </c>
      <c r="R188" s="91" t="s">
        <v>6</v>
      </c>
    </row>
    <row r="189" spans="1:18" ht="15" x14ac:dyDescent="0.2">
      <c r="A189">
        <v>9021</v>
      </c>
      <c r="B189" t="s">
        <v>390</v>
      </c>
      <c r="C189" t="s">
        <v>397</v>
      </c>
      <c r="D189" t="s">
        <v>24</v>
      </c>
      <c r="E189">
        <v>9.6</v>
      </c>
      <c r="F189">
        <v>4</v>
      </c>
      <c r="G189">
        <v>13.3</v>
      </c>
      <c r="K189" s="89">
        <f t="shared" si="4"/>
        <v>8.9666666666666668</v>
      </c>
      <c r="L189" s="25">
        <v>0.5</v>
      </c>
      <c r="M189" s="75" t="s">
        <v>423</v>
      </c>
      <c r="N189" s="58"/>
      <c r="O189" s="59" t="e">
        <v>#N/A</v>
      </c>
      <c r="P189" s="90">
        <f t="shared" si="3"/>
        <v>17.933333333333334</v>
      </c>
      <c r="Q189" s="87" t="s">
        <v>424</v>
      </c>
      <c r="R189" s="91" t="s">
        <v>4</v>
      </c>
    </row>
    <row r="190" spans="1:18" ht="15" x14ac:dyDescent="0.2">
      <c r="A190">
        <v>9593</v>
      </c>
      <c r="B190" t="s">
        <v>390</v>
      </c>
      <c r="C190" t="s">
        <v>397</v>
      </c>
      <c r="D190" t="s">
        <v>24</v>
      </c>
      <c r="E190">
        <v>82.399999999999906</v>
      </c>
      <c r="F190">
        <v>82.699999999999903</v>
      </c>
      <c r="G190">
        <v>81.099999999999994</v>
      </c>
      <c r="K190" s="89">
        <f t="shared" si="4"/>
        <v>82.066666666666592</v>
      </c>
      <c r="L190" s="25">
        <v>0.5</v>
      </c>
      <c r="M190" s="75" t="s">
        <v>423</v>
      </c>
      <c r="N190" s="58"/>
      <c r="O190" s="59" t="e">
        <v>#N/A</v>
      </c>
      <c r="P190" s="90">
        <f t="shared" si="3"/>
        <v>164.13333333333318</v>
      </c>
      <c r="Q190" s="87" t="s">
        <v>424</v>
      </c>
      <c r="R190" s="91" t="s">
        <v>6</v>
      </c>
    </row>
    <row r="191" spans="1:18" ht="15" x14ac:dyDescent="0.2">
      <c r="A191">
        <v>9635</v>
      </c>
      <c r="B191" t="s">
        <v>390</v>
      </c>
      <c r="C191" t="s">
        <v>397</v>
      </c>
      <c r="D191" t="s">
        <v>24</v>
      </c>
      <c r="E191">
        <v>51.2</v>
      </c>
      <c r="F191">
        <v>69.3</v>
      </c>
      <c r="G191">
        <v>69.899999999999906</v>
      </c>
      <c r="K191" s="89">
        <f t="shared" si="4"/>
        <v>63.46666666666664</v>
      </c>
      <c r="L191" s="25">
        <v>0.5</v>
      </c>
      <c r="M191" s="75" t="s">
        <v>423</v>
      </c>
      <c r="N191" s="58"/>
      <c r="O191" s="59" t="e">
        <v>#N/A</v>
      </c>
      <c r="P191" s="90">
        <f t="shared" si="3"/>
        <v>126.93333333333328</v>
      </c>
      <c r="Q191" s="87" t="s">
        <v>424</v>
      </c>
      <c r="R191" s="91" t="s">
        <v>6</v>
      </c>
    </row>
    <row r="192" spans="1:18" ht="15" x14ac:dyDescent="0.2">
      <c r="A192">
        <v>9641</v>
      </c>
      <c r="B192" t="s">
        <v>390</v>
      </c>
      <c r="C192" t="s">
        <v>397</v>
      </c>
      <c r="D192" t="s">
        <v>24</v>
      </c>
      <c r="E192">
        <v>92</v>
      </c>
      <c r="F192">
        <v>93.3</v>
      </c>
      <c r="G192">
        <v>93.3</v>
      </c>
      <c r="K192" s="89">
        <f t="shared" si="4"/>
        <v>92.866666666666674</v>
      </c>
      <c r="L192" s="25">
        <v>0.5</v>
      </c>
      <c r="M192" s="75" t="s">
        <v>423</v>
      </c>
      <c r="N192" s="58"/>
      <c r="O192" s="59" t="e">
        <v>#N/A</v>
      </c>
      <c r="P192" s="90">
        <f t="shared" si="3"/>
        <v>185.73333333333335</v>
      </c>
      <c r="Q192" s="87" t="s">
        <v>424</v>
      </c>
      <c r="R192" s="91" t="s">
        <v>6</v>
      </c>
    </row>
    <row r="193" spans="1:18" ht="15" x14ac:dyDescent="0.2">
      <c r="A193" t="s">
        <v>398</v>
      </c>
      <c r="B193" t="s">
        <v>390</v>
      </c>
      <c r="C193" t="s">
        <v>397</v>
      </c>
      <c r="D193" t="s">
        <v>24</v>
      </c>
      <c r="E193">
        <v>88.5</v>
      </c>
      <c r="F193">
        <v>87</v>
      </c>
      <c r="G193">
        <v>88.8</v>
      </c>
      <c r="K193" s="89">
        <f t="shared" si="4"/>
        <v>88.100000000000009</v>
      </c>
      <c r="L193" s="25">
        <v>0.5</v>
      </c>
      <c r="M193" s="75" t="s">
        <v>423</v>
      </c>
      <c r="N193" s="58"/>
      <c r="O193" s="59" t="e">
        <v>#N/A</v>
      </c>
      <c r="P193" s="90">
        <f t="shared" si="3"/>
        <v>176.20000000000002</v>
      </c>
      <c r="Q193" s="87" t="s">
        <v>424</v>
      </c>
      <c r="R193" s="91"/>
    </row>
    <row r="194" spans="1:18" ht="15" x14ac:dyDescent="0.2">
      <c r="A194" t="s">
        <v>395</v>
      </c>
      <c r="B194" t="s">
        <v>390</v>
      </c>
      <c r="C194" t="s">
        <v>397</v>
      </c>
      <c r="D194" t="s">
        <v>24</v>
      </c>
      <c r="E194">
        <v>93.8</v>
      </c>
      <c r="F194">
        <v>93.8</v>
      </c>
      <c r="G194">
        <v>88.5</v>
      </c>
      <c r="K194" s="89">
        <f t="shared" si="4"/>
        <v>92.033333333333346</v>
      </c>
      <c r="L194" s="25">
        <v>0.5</v>
      </c>
      <c r="M194" s="75" t="s">
        <v>423</v>
      </c>
      <c r="N194" s="58"/>
      <c r="O194" s="59" t="e">
        <v>#N/A</v>
      </c>
      <c r="P194" s="90">
        <f t="shared" si="3"/>
        <v>184.06666666666669</v>
      </c>
      <c r="Q194" s="87" t="s">
        <v>424</v>
      </c>
      <c r="R194" s="91"/>
    </row>
    <row r="195" spans="1:18" ht="15" x14ac:dyDescent="0.2">
      <c r="A195" t="s">
        <v>396</v>
      </c>
      <c r="B195" t="s">
        <v>390</v>
      </c>
      <c r="C195" t="s">
        <v>397</v>
      </c>
      <c r="D195" t="s">
        <v>24</v>
      </c>
      <c r="E195">
        <v>0.2</v>
      </c>
      <c r="F195">
        <v>-4</v>
      </c>
      <c r="G195">
        <v>-1.3</v>
      </c>
      <c r="K195" s="89">
        <f t="shared" si="4"/>
        <v>-1.7</v>
      </c>
      <c r="L195" s="25">
        <v>0.5</v>
      </c>
      <c r="M195" s="75" t="s">
        <v>423</v>
      </c>
      <c r="N195" s="58"/>
      <c r="O195" s="59" t="e">
        <v>#N/A</v>
      </c>
      <c r="P195" s="90">
        <f t="shared" ref="P195:P258" si="5">IF($M195="µg",$K195/$L195, NA())</f>
        <v>-3.4</v>
      </c>
      <c r="Q195" s="87" t="s">
        <v>424</v>
      </c>
      <c r="R195" s="91"/>
    </row>
    <row r="196" spans="1:18" ht="15" x14ac:dyDescent="0.2">
      <c r="A196" t="s">
        <v>432</v>
      </c>
      <c r="B196" t="s">
        <v>390</v>
      </c>
      <c r="C196" t="s">
        <v>397</v>
      </c>
      <c r="D196" t="s">
        <v>24</v>
      </c>
      <c r="E196">
        <v>89.5</v>
      </c>
      <c r="F196">
        <v>87.3</v>
      </c>
      <c r="G196">
        <v>85.3</v>
      </c>
      <c r="K196" s="89">
        <f t="shared" si="4"/>
        <v>87.366666666666674</v>
      </c>
      <c r="L196" s="25">
        <v>0.5</v>
      </c>
      <c r="M196" s="75" t="s">
        <v>423</v>
      </c>
      <c r="N196" s="58"/>
      <c r="O196" s="59" t="e">
        <v>#N/A</v>
      </c>
      <c r="P196" s="90">
        <f t="shared" si="5"/>
        <v>174.73333333333335</v>
      </c>
      <c r="Q196" s="87" t="s">
        <v>424</v>
      </c>
      <c r="R196" s="91"/>
    </row>
    <row r="197" spans="1:18" ht="15" x14ac:dyDescent="0.2">
      <c r="A197" t="s">
        <v>219</v>
      </c>
      <c r="B197" t="s">
        <v>390</v>
      </c>
      <c r="C197" t="s">
        <v>399</v>
      </c>
      <c r="D197" t="s">
        <v>210</v>
      </c>
      <c r="E197">
        <v>-2.2999999999999998</v>
      </c>
      <c r="F197">
        <v>-0.3</v>
      </c>
      <c r="G197">
        <v>2.8</v>
      </c>
      <c r="K197" s="89">
        <f t="shared" si="4"/>
        <v>6.6666666666666721E-2</v>
      </c>
      <c r="L197" s="25">
        <v>0.5</v>
      </c>
      <c r="M197" s="75" t="s">
        <v>423</v>
      </c>
      <c r="N197" s="58"/>
      <c r="O197" s="59" t="e">
        <v>#N/A</v>
      </c>
      <c r="P197" s="90">
        <f t="shared" si="5"/>
        <v>0.13333333333333344</v>
      </c>
      <c r="Q197" s="87" t="s">
        <v>424</v>
      </c>
      <c r="R197" s="91" t="s">
        <v>4</v>
      </c>
    </row>
    <row r="198" spans="1:18" ht="15" x14ac:dyDescent="0.2">
      <c r="A198" t="s">
        <v>216</v>
      </c>
      <c r="B198" t="s">
        <v>390</v>
      </c>
      <c r="C198" t="s">
        <v>399</v>
      </c>
      <c r="D198" t="s">
        <v>210</v>
      </c>
      <c r="E198">
        <v>13.8</v>
      </c>
      <c r="F198">
        <v>11.3</v>
      </c>
      <c r="G198">
        <v>14.799999999999899</v>
      </c>
      <c r="K198" s="89">
        <f t="shared" si="4"/>
        <v>13.299999999999967</v>
      </c>
      <c r="L198" s="25">
        <v>0.5</v>
      </c>
      <c r="M198" s="75" t="s">
        <v>423</v>
      </c>
      <c r="N198" s="58"/>
      <c r="O198" s="59" t="e">
        <v>#N/A</v>
      </c>
      <c r="P198" s="90">
        <f t="shared" si="5"/>
        <v>26.599999999999934</v>
      </c>
      <c r="Q198" s="87" t="s">
        <v>424</v>
      </c>
      <c r="R198" s="91" t="s">
        <v>6</v>
      </c>
    </row>
    <row r="199" spans="1:18" ht="15" x14ac:dyDescent="0.2">
      <c r="A199" t="s">
        <v>222</v>
      </c>
      <c r="B199" t="s">
        <v>390</v>
      </c>
      <c r="C199" t="s">
        <v>399</v>
      </c>
      <c r="D199" t="s">
        <v>210</v>
      </c>
      <c r="E199">
        <v>6.3</v>
      </c>
      <c r="F199">
        <v>2.2999999999999998</v>
      </c>
      <c r="G199">
        <v>-5.8</v>
      </c>
      <c r="K199" s="89">
        <f t="shared" si="4"/>
        <v>0.93333333333333324</v>
      </c>
      <c r="L199" s="25">
        <v>0.5</v>
      </c>
      <c r="M199" s="75" t="s">
        <v>423</v>
      </c>
      <c r="N199" s="58"/>
      <c r="O199" s="59" t="e">
        <v>#N/A</v>
      </c>
      <c r="P199" s="90">
        <f t="shared" si="5"/>
        <v>1.8666666666666665</v>
      </c>
      <c r="Q199" s="87" t="s">
        <v>424</v>
      </c>
      <c r="R199" s="91" t="s">
        <v>4</v>
      </c>
    </row>
    <row r="200" spans="1:18" ht="15" x14ac:dyDescent="0.2">
      <c r="A200" t="s">
        <v>221</v>
      </c>
      <c r="B200" t="s">
        <v>390</v>
      </c>
      <c r="C200" t="s">
        <v>399</v>
      </c>
      <c r="D200" t="s">
        <v>210</v>
      </c>
      <c r="E200">
        <v>-4.3</v>
      </c>
      <c r="F200">
        <v>-7.9</v>
      </c>
      <c r="G200">
        <v>-7.3</v>
      </c>
      <c r="K200" s="89">
        <f t="shared" si="4"/>
        <v>-6.5</v>
      </c>
      <c r="L200" s="25">
        <v>0.5</v>
      </c>
      <c r="M200" s="75" t="s">
        <v>423</v>
      </c>
      <c r="N200" s="58"/>
      <c r="O200" s="59" t="e">
        <v>#N/A</v>
      </c>
      <c r="P200" s="90">
        <f t="shared" si="5"/>
        <v>-13</v>
      </c>
      <c r="Q200" s="87" t="s">
        <v>424</v>
      </c>
      <c r="R200" s="91" t="s">
        <v>4</v>
      </c>
    </row>
    <row r="201" spans="1:18" ht="15" x14ac:dyDescent="0.2">
      <c r="A201" t="s">
        <v>225</v>
      </c>
      <c r="B201" t="s">
        <v>390</v>
      </c>
      <c r="C201" t="s">
        <v>399</v>
      </c>
      <c r="D201" t="s">
        <v>210</v>
      </c>
      <c r="E201">
        <v>-6.7</v>
      </c>
      <c r="F201">
        <v>-6.7</v>
      </c>
      <c r="G201">
        <v>-3.4</v>
      </c>
      <c r="K201" s="89">
        <f t="shared" si="4"/>
        <v>-5.6000000000000005</v>
      </c>
      <c r="L201" s="25">
        <v>0.5</v>
      </c>
      <c r="M201" s="75" t="s">
        <v>423</v>
      </c>
      <c r="N201" s="58"/>
      <c r="O201" s="59" t="e">
        <v>#N/A</v>
      </c>
      <c r="P201" s="90">
        <f t="shared" si="5"/>
        <v>-11.200000000000001</v>
      </c>
      <c r="Q201" s="87" t="s">
        <v>424</v>
      </c>
      <c r="R201" s="91" t="s">
        <v>4</v>
      </c>
    </row>
    <row r="202" spans="1:18" ht="15" x14ac:dyDescent="0.2">
      <c r="A202" t="s">
        <v>218</v>
      </c>
      <c r="B202" t="s">
        <v>390</v>
      </c>
      <c r="C202" t="s">
        <v>399</v>
      </c>
      <c r="D202" t="s">
        <v>210</v>
      </c>
      <c r="E202">
        <v>-3.2</v>
      </c>
      <c r="F202">
        <v>-4.5999999999999996</v>
      </c>
      <c r="G202">
        <v>-4.9000000000000004</v>
      </c>
      <c r="K202" s="89">
        <f t="shared" si="4"/>
        <v>-4.2333333333333334</v>
      </c>
      <c r="L202" s="25">
        <v>0.5</v>
      </c>
      <c r="M202" s="75" t="s">
        <v>423</v>
      </c>
      <c r="N202" s="58"/>
      <c r="O202" s="59" t="e">
        <v>#N/A</v>
      </c>
      <c r="P202" s="90">
        <f t="shared" si="5"/>
        <v>-8.4666666666666668</v>
      </c>
      <c r="Q202" s="87" t="s">
        <v>424</v>
      </c>
      <c r="R202" s="91" t="s">
        <v>4</v>
      </c>
    </row>
    <row r="203" spans="1:18" ht="15" x14ac:dyDescent="0.2">
      <c r="A203" t="s">
        <v>209</v>
      </c>
      <c r="B203" t="s">
        <v>390</v>
      </c>
      <c r="C203" t="s">
        <v>399</v>
      </c>
      <c r="D203" t="s">
        <v>210</v>
      </c>
      <c r="E203">
        <v>7</v>
      </c>
      <c r="F203">
        <v>6.5</v>
      </c>
      <c r="G203">
        <v>10.1</v>
      </c>
      <c r="K203" s="89">
        <f t="shared" si="4"/>
        <v>7.8666666666666671</v>
      </c>
      <c r="L203" s="25">
        <v>0.5</v>
      </c>
      <c r="M203" s="75" t="s">
        <v>423</v>
      </c>
      <c r="N203" s="58"/>
      <c r="O203" s="59" t="e">
        <v>#N/A</v>
      </c>
      <c r="P203" s="90">
        <f t="shared" si="5"/>
        <v>15.733333333333334</v>
      </c>
      <c r="Q203" s="87" t="s">
        <v>424</v>
      </c>
      <c r="R203" s="91" t="s">
        <v>6</v>
      </c>
    </row>
    <row r="204" spans="1:18" ht="15" x14ac:dyDescent="0.2">
      <c r="A204" t="s">
        <v>217</v>
      </c>
      <c r="B204" t="s">
        <v>390</v>
      </c>
      <c r="C204" t="s">
        <v>399</v>
      </c>
      <c r="D204" t="s">
        <v>210</v>
      </c>
      <c r="E204">
        <v>42.699999999999903</v>
      </c>
      <c r="F204">
        <v>47.199999999999903</v>
      </c>
      <c r="G204">
        <v>47.5</v>
      </c>
      <c r="K204" s="89">
        <f t="shared" si="4"/>
        <v>45.799999999999933</v>
      </c>
      <c r="L204" s="25">
        <v>0.5</v>
      </c>
      <c r="M204" s="75" t="s">
        <v>423</v>
      </c>
      <c r="N204" s="58"/>
      <c r="O204" s="59" t="e">
        <v>#N/A</v>
      </c>
      <c r="P204" s="90">
        <f t="shared" si="5"/>
        <v>91.599999999999866</v>
      </c>
      <c r="Q204" s="87" t="s">
        <v>424</v>
      </c>
      <c r="R204" s="91" t="s">
        <v>6</v>
      </c>
    </row>
    <row r="205" spans="1:18" ht="15" x14ac:dyDescent="0.2">
      <c r="A205" t="s">
        <v>224</v>
      </c>
      <c r="B205" t="s">
        <v>390</v>
      </c>
      <c r="C205" t="s">
        <v>399</v>
      </c>
      <c r="D205" t="s">
        <v>210</v>
      </c>
      <c r="E205">
        <v>5.3</v>
      </c>
      <c r="F205">
        <v>0.3</v>
      </c>
      <c r="G205">
        <v>-3.3</v>
      </c>
      <c r="K205" s="89">
        <f t="shared" si="4"/>
        <v>0.76666666666666661</v>
      </c>
      <c r="L205" s="25">
        <v>0.5</v>
      </c>
      <c r="M205" s="75" t="s">
        <v>423</v>
      </c>
      <c r="N205" s="58"/>
      <c r="O205" s="59" t="e">
        <v>#N/A</v>
      </c>
      <c r="P205" s="90">
        <f t="shared" si="5"/>
        <v>1.5333333333333332</v>
      </c>
      <c r="Q205" s="87" t="s">
        <v>424</v>
      </c>
      <c r="R205" s="91" t="s">
        <v>4</v>
      </c>
    </row>
    <row r="206" spans="1:18" ht="15" x14ac:dyDescent="0.2">
      <c r="A206" t="s">
        <v>211</v>
      </c>
      <c r="B206" t="s">
        <v>390</v>
      </c>
      <c r="C206" t="s">
        <v>399</v>
      </c>
      <c r="D206" t="s">
        <v>210</v>
      </c>
      <c r="E206">
        <v>40.5</v>
      </c>
      <c r="F206">
        <v>35.699999999999903</v>
      </c>
      <c r="G206">
        <v>24.9</v>
      </c>
      <c r="K206" s="89">
        <f t="shared" si="4"/>
        <v>33.699999999999967</v>
      </c>
      <c r="L206" s="25">
        <v>0.5</v>
      </c>
      <c r="M206" s="75" t="s">
        <v>423</v>
      </c>
      <c r="N206" s="58"/>
      <c r="O206" s="59" t="e">
        <v>#N/A</v>
      </c>
      <c r="P206" s="90">
        <f t="shared" si="5"/>
        <v>67.399999999999935</v>
      </c>
      <c r="Q206" s="87" t="s">
        <v>424</v>
      </c>
      <c r="R206" s="91" t="s">
        <v>6</v>
      </c>
    </row>
    <row r="207" spans="1:18" ht="15" x14ac:dyDescent="0.2">
      <c r="A207" t="s">
        <v>215</v>
      </c>
      <c r="B207" t="s">
        <v>390</v>
      </c>
      <c r="C207" t="s">
        <v>399</v>
      </c>
      <c r="D207" t="s">
        <v>210</v>
      </c>
      <c r="E207">
        <v>1</v>
      </c>
      <c r="F207">
        <v>-2</v>
      </c>
      <c r="G207">
        <v>1.3</v>
      </c>
      <c r="K207" s="89">
        <f t="shared" si="4"/>
        <v>0.10000000000000002</v>
      </c>
      <c r="L207" s="25">
        <v>0.5</v>
      </c>
      <c r="M207" s="75" t="s">
        <v>423</v>
      </c>
      <c r="N207" s="58"/>
      <c r="O207" s="59" t="e">
        <v>#N/A</v>
      </c>
      <c r="P207" s="90">
        <f t="shared" si="5"/>
        <v>0.20000000000000004</v>
      </c>
      <c r="Q207" s="87" t="s">
        <v>424</v>
      </c>
      <c r="R207" s="91" t="s">
        <v>4</v>
      </c>
    </row>
    <row r="208" spans="1:18" ht="15" x14ac:dyDescent="0.2">
      <c r="A208" t="s">
        <v>213</v>
      </c>
      <c r="B208" t="s">
        <v>390</v>
      </c>
      <c r="C208" t="s">
        <v>399</v>
      </c>
      <c r="D208" t="s">
        <v>210</v>
      </c>
      <c r="E208">
        <v>0</v>
      </c>
      <c r="F208">
        <v>-3.8</v>
      </c>
      <c r="G208">
        <v>5.3</v>
      </c>
      <c r="K208" s="89">
        <f t="shared" si="4"/>
        <v>0.5</v>
      </c>
      <c r="L208" s="25">
        <v>0.5</v>
      </c>
      <c r="M208" s="75" t="s">
        <v>423</v>
      </c>
      <c r="N208" s="58"/>
      <c r="O208" s="59" t="e">
        <v>#N/A</v>
      </c>
      <c r="P208" s="90">
        <f t="shared" si="5"/>
        <v>1</v>
      </c>
      <c r="Q208" s="87" t="s">
        <v>424</v>
      </c>
      <c r="R208" s="91" t="s">
        <v>4</v>
      </c>
    </row>
    <row r="209" spans="1:18" ht="15" x14ac:dyDescent="0.2">
      <c r="A209" t="s">
        <v>214</v>
      </c>
      <c r="B209" t="s">
        <v>390</v>
      </c>
      <c r="C209" t="s">
        <v>399</v>
      </c>
      <c r="D209" t="s">
        <v>210</v>
      </c>
      <c r="E209">
        <v>88.4</v>
      </c>
      <c r="F209">
        <v>87.9</v>
      </c>
      <c r="G209">
        <v>89.4</v>
      </c>
      <c r="K209" s="89">
        <f t="shared" si="4"/>
        <v>88.566666666666677</v>
      </c>
      <c r="L209" s="25">
        <v>0.5</v>
      </c>
      <c r="M209" s="75" t="s">
        <v>423</v>
      </c>
      <c r="N209" s="58"/>
      <c r="O209" s="59" t="e">
        <v>#N/A</v>
      </c>
      <c r="P209" s="90">
        <f t="shared" si="5"/>
        <v>177.13333333333335</v>
      </c>
      <c r="Q209" s="87" t="s">
        <v>424</v>
      </c>
      <c r="R209" s="91" t="s">
        <v>6</v>
      </c>
    </row>
    <row r="210" spans="1:18" ht="15" x14ac:dyDescent="0.2">
      <c r="A210" t="s">
        <v>227</v>
      </c>
      <c r="B210" t="s">
        <v>390</v>
      </c>
      <c r="C210" t="s">
        <v>399</v>
      </c>
      <c r="D210" t="s">
        <v>210</v>
      </c>
      <c r="E210">
        <v>46.2</v>
      </c>
      <c r="F210">
        <v>7.5</v>
      </c>
      <c r="G210">
        <v>54.5</v>
      </c>
      <c r="K210" s="89">
        <f t="shared" si="4"/>
        <v>36.06666666666667</v>
      </c>
      <c r="L210" s="25">
        <v>0.5</v>
      </c>
      <c r="M210" s="75" t="s">
        <v>423</v>
      </c>
      <c r="N210" s="58"/>
      <c r="O210" s="59" t="e">
        <v>#N/A</v>
      </c>
      <c r="P210" s="90">
        <f t="shared" si="5"/>
        <v>72.13333333333334</v>
      </c>
      <c r="Q210" s="87" t="s">
        <v>424</v>
      </c>
      <c r="R210" s="91" t="s">
        <v>6</v>
      </c>
    </row>
    <row r="211" spans="1:18" ht="15" x14ac:dyDescent="0.2">
      <c r="A211" t="s">
        <v>226</v>
      </c>
      <c r="B211" t="s">
        <v>390</v>
      </c>
      <c r="C211" t="s">
        <v>399</v>
      </c>
      <c r="D211" t="s">
        <v>210</v>
      </c>
      <c r="E211">
        <v>7.8</v>
      </c>
      <c r="F211">
        <v>2</v>
      </c>
      <c r="G211">
        <v>-2.8</v>
      </c>
      <c r="K211" s="89">
        <f t="shared" si="4"/>
        <v>2.3333333333333335</v>
      </c>
      <c r="L211" s="25">
        <v>0.5</v>
      </c>
      <c r="M211" s="75" t="s">
        <v>423</v>
      </c>
      <c r="N211" s="58"/>
      <c r="O211" s="59" t="e">
        <v>#N/A</v>
      </c>
      <c r="P211" s="90">
        <f t="shared" si="5"/>
        <v>4.666666666666667</v>
      </c>
      <c r="Q211" s="87" t="s">
        <v>424</v>
      </c>
      <c r="R211" s="91" t="s">
        <v>4</v>
      </c>
    </row>
    <row r="212" spans="1:18" ht="15" x14ac:dyDescent="0.2">
      <c r="A212" t="s">
        <v>212</v>
      </c>
      <c r="B212" t="s">
        <v>390</v>
      </c>
      <c r="C212" t="s">
        <v>399</v>
      </c>
      <c r="D212" t="s">
        <v>210</v>
      </c>
      <c r="E212">
        <v>39.9</v>
      </c>
      <c r="F212">
        <v>40.200000000000003</v>
      </c>
      <c r="G212">
        <v>38.9</v>
      </c>
      <c r="K212" s="89">
        <f t="shared" si="4"/>
        <v>39.666666666666664</v>
      </c>
      <c r="L212" s="25">
        <v>0.5</v>
      </c>
      <c r="M212" s="75" t="s">
        <v>423</v>
      </c>
      <c r="N212" s="58"/>
      <c r="O212" s="59" t="e">
        <v>#N/A</v>
      </c>
      <c r="P212" s="90">
        <f t="shared" si="5"/>
        <v>79.333333333333329</v>
      </c>
      <c r="Q212" s="87" t="s">
        <v>424</v>
      </c>
      <c r="R212" s="91" t="s">
        <v>6</v>
      </c>
    </row>
    <row r="213" spans="1:18" ht="15" x14ac:dyDescent="0.2">
      <c r="A213" t="s">
        <v>220</v>
      </c>
      <c r="B213" t="s">
        <v>390</v>
      </c>
      <c r="C213" t="s">
        <v>399</v>
      </c>
      <c r="D213" t="s">
        <v>210</v>
      </c>
      <c r="E213">
        <v>27.6</v>
      </c>
      <c r="F213">
        <v>27.6</v>
      </c>
      <c r="G213">
        <v>25.6</v>
      </c>
      <c r="K213" s="89">
        <f t="shared" si="4"/>
        <v>26.933333333333337</v>
      </c>
      <c r="L213" s="25">
        <v>0.5</v>
      </c>
      <c r="M213" s="75" t="s">
        <v>423</v>
      </c>
      <c r="N213" s="58"/>
      <c r="O213" s="59" t="e">
        <v>#N/A</v>
      </c>
      <c r="P213" s="90">
        <f t="shared" si="5"/>
        <v>53.866666666666674</v>
      </c>
      <c r="Q213" s="87" t="s">
        <v>424</v>
      </c>
      <c r="R213" s="91" t="s">
        <v>6</v>
      </c>
    </row>
    <row r="214" spans="1:18" ht="15" x14ac:dyDescent="0.2">
      <c r="A214" t="s">
        <v>223</v>
      </c>
      <c r="B214" t="s">
        <v>390</v>
      </c>
      <c r="C214" t="s">
        <v>399</v>
      </c>
      <c r="D214" t="s">
        <v>210</v>
      </c>
      <c r="E214">
        <v>3.5999999999999899</v>
      </c>
      <c r="F214">
        <v>0.1</v>
      </c>
      <c r="G214">
        <v>-2.2999999999999998</v>
      </c>
      <c r="K214" s="89">
        <f t="shared" si="4"/>
        <v>0.4666666666666634</v>
      </c>
      <c r="L214" s="25">
        <v>0.5</v>
      </c>
      <c r="M214" s="75" t="s">
        <v>423</v>
      </c>
      <c r="N214" s="58"/>
      <c r="O214" s="59" t="e">
        <v>#N/A</v>
      </c>
      <c r="P214" s="90">
        <f t="shared" si="5"/>
        <v>0.9333333333333268</v>
      </c>
      <c r="Q214" s="87" t="s">
        <v>424</v>
      </c>
      <c r="R214" s="91" t="s">
        <v>4</v>
      </c>
    </row>
    <row r="215" spans="1:18" ht="15" x14ac:dyDescent="0.2">
      <c r="A215" t="s">
        <v>398</v>
      </c>
      <c r="B215" t="s">
        <v>390</v>
      </c>
      <c r="C215" t="s">
        <v>399</v>
      </c>
      <c r="D215" t="s">
        <v>210</v>
      </c>
      <c r="E215">
        <v>99.5</v>
      </c>
      <c r="F215">
        <v>100.299999999999</v>
      </c>
      <c r="G215">
        <v>100.49999999999901</v>
      </c>
      <c r="K215" s="89">
        <f t="shared" si="4"/>
        <v>100.09999999999934</v>
      </c>
      <c r="L215" s="25">
        <v>0.5</v>
      </c>
      <c r="M215" s="75" t="s">
        <v>423</v>
      </c>
      <c r="N215" s="58"/>
      <c r="O215" s="59" t="e">
        <v>#N/A</v>
      </c>
      <c r="P215" s="90">
        <f t="shared" si="5"/>
        <v>200.19999999999868</v>
      </c>
      <c r="Q215" s="87" t="s">
        <v>424</v>
      </c>
      <c r="R215" s="91"/>
    </row>
    <row r="216" spans="1:18" ht="15" x14ac:dyDescent="0.2">
      <c r="A216" t="s">
        <v>395</v>
      </c>
      <c r="B216" t="s">
        <v>390</v>
      </c>
      <c r="C216" t="s">
        <v>399</v>
      </c>
      <c r="D216" t="s">
        <v>210</v>
      </c>
      <c r="E216">
        <v>93.3</v>
      </c>
      <c r="F216">
        <v>92.5</v>
      </c>
      <c r="G216">
        <v>93.6</v>
      </c>
      <c r="K216" s="89">
        <f t="shared" si="4"/>
        <v>93.133333333333326</v>
      </c>
      <c r="L216" s="25">
        <v>0.5</v>
      </c>
      <c r="M216" s="75" t="s">
        <v>423</v>
      </c>
      <c r="N216" s="58"/>
      <c r="O216" s="59" t="e">
        <v>#N/A</v>
      </c>
      <c r="P216" s="90">
        <f t="shared" si="5"/>
        <v>186.26666666666665</v>
      </c>
      <c r="Q216" s="87" t="s">
        <v>424</v>
      </c>
      <c r="R216" s="91"/>
    </row>
    <row r="217" spans="1:18" ht="15" x14ac:dyDescent="0.2">
      <c r="A217" t="s">
        <v>396</v>
      </c>
      <c r="B217" t="s">
        <v>390</v>
      </c>
      <c r="C217" t="s">
        <v>399</v>
      </c>
      <c r="D217" t="s">
        <v>210</v>
      </c>
      <c r="E217">
        <v>2.4</v>
      </c>
      <c r="F217">
        <v>-0.4</v>
      </c>
      <c r="G217">
        <v>2.1</v>
      </c>
      <c r="K217" s="89">
        <f t="shared" si="4"/>
        <v>1.3666666666666665</v>
      </c>
      <c r="L217" s="25">
        <v>0.5</v>
      </c>
      <c r="M217" s="75" t="s">
        <v>423</v>
      </c>
      <c r="N217" s="58"/>
      <c r="O217" s="59" t="e">
        <v>#N/A</v>
      </c>
      <c r="P217" s="90">
        <f t="shared" si="5"/>
        <v>2.7333333333333329</v>
      </c>
      <c r="Q217" s="87" t="s">
        <v>424</v>
      </c>
      <c r="R217" s="91"/>
    </row>
    <row r="218" spans="1:18" ht="15" x14ac:dyDescent="0.2">
      <c r="A218" t="s">
        <v>432</v>
      </c>
      <c r="B218" t="s">
        <v>390</v>
      </c>
      <c r="C218" t="s">
        <v>399</v>
      </c>
      <c r="D218" t="s">
        <v>210</v>
      </c>
      <c r="E218">
        <v>90.5</v>
      </c>
      <c r="F218">
        <v>91.5</v>
      </c>
      <c r="G218">
        <v>90.5</v>
      </c>
      <c r="K218" s="89">
        <f t="shared" si="4"/>
        <v>90.833333333333329</v>
      </c>
      <c r="L218" s="25">
        <v>0.5</v>
      </c>
      <c r="M218" s="75" t="s">
        <v>423</v>
      </c>
      <c r="N218" s="58"/>
      <c r="O218" s="59" t="e">
        <v>#N/A</v>
      </c>
      <c r="P218" s="90">
        <f t="shared" si="5"/>
        <v>181.66666666666666</v>
      </c>
      <c r="Q218" s="87" t="s">
        <v>424</v>
      </c>
      <c r="R218" s="91"/>
    </row>
    <row r="219" spans="1:18" ht="15" x14ac:dyDescent="0.2">
      <c r="A219" t="s">
        <v>228</v>
      </c>
      <c r="B219" t="s">
        <v>390</v>
      </c>
      <c r="C219" t="s">
        <v>399</v>
      </c>
      <c r="D219" t="s">
        <v>229</v>
      </c>
      <c r="E219">
        <v>4.0999999999999996</v>
      </c>
      <c r="F219">
        <v>7.7</v>
      </c>
      <c r="G219">
        <v>7.9</v>
      </c>
      <c r="K219" s="89">
        <f t="shared" si="4"/>
        <v>6.5666666666666673</v>
      </c>
      <c r="L219" s="25">
        <v>0.5</v>
      </c>
      <c r="M219" s="75" t="s">
        <v>423</v>
      </c>
      <c r="N219" s="58"/>
      <c r="O219" s="59" t="e">
        <v>#N/A</v>
      </c>
      <c r="P219" s="90">
        <f t="shared" si="5"/>
        <v>13.133333333333335</v>
      </c>
      <c r="Q219" s="87" t="s">
        <v>424</v>
      </c>
      <c r="R219" s="91" t="s">
        <v>6</v>
      </c>
    </row>
    <row r="220" spans="1:18" ht="15" x14ac:dyDescent="0.2">
      <c r="A220" t="s">
        <v>230</v>
      </c>
      <c r="B220" t="s">
        <v>390</v>
      </c>
      <c r="C220" t="s">
        <v>399</v>
      </c>
      <c r="D220" t="s">
        <v>229</v>
      </c>
      <c r="E220">
        <v>42.8</v>
      </c>
      <c r="F220">
        <v>51.1</v>
      </c>
      <c r="G220">
        <v>50.9</v>
      </c>
      <c r="K220" s="89">
        <f t="shared" si="4"/>
        <v>48.266666666666673</v>
      </c>
      <c r="L220" s="25">
        <v>0.5</v>
      </c>
      <c r="M220" s="75" t="s">
        <v>423</v>
      </c>
      <c r="N220" s="58"/>
      <c r="O220" s="59" t="e">
        <v>#N/A</v>
      </c>
      <c r="P220" s="90">
        <f t="shared" si="5"/>
        <v>96.533333333333346</v>
      </c>
      <c r="Q220" s="87" t="s">
        <v>424</v>
      </c>
      <c r="R220" s="91" t="s">
        <v>6</v>
      </c>
    </row>
    <row r="221" spans="1:18" ht="15" x14ac:dyDescent="0.2">
      <c r="A221" t="s">
        <v>234</v>
      </c>
      <c r="B221" t="s">
        <v>390</v>
      </c>
      <c r="C221" t="s">
        <v>399</v>
      </c>
      <c r="D221" t="s">
        <v>229</v>
      </c>
      <c r="E221">
        <v>14.899999999999901</v>
      </c>
      <c r="F221">
        <v>20.8</v>
      </c>
      <c r="G221">
        <v>24.9</v>
      </c>
      <c r="K221" s="89">
        <f t="shared" si="4"/>
        <v>20.199999999999967</v>
      </c>
      <c r="L221" s="25">
        <v>0.5</v>
      </c>
      <c r="M221" s="75" t="s">
        <v>423</v>
      </c>
      <c r="N221" s="58"/>
      <c r="O221" s="59" t="e">
        <v>#N/A</v>
      </c>
      <c r="P221" s="90">
        <f t="shared" si="5"/>
        <v>40.399999999999935</v>
      </c>
      <c r="Q221" s="87" t="s">
        <v>424</v>
      </c>
      <c r="R221" s="91" t="s">
        <v>6</v>
      </c>
    </row>
    <row r="222" spans="1:18" ht="15" x14ac:dyDescent="0.2">
      <c r="A222" t="s">
        <v>233</v>
      </c>
      <c r="B222" t="s">
        <v>390</v>
      </c>
      <c r="C222" t="s">
        <v>399</v>
      </c>
      <c r="D222" t="s">
        <v>229</v>
      </c>
      <c r="E222">
        <v>15.2</v>
      </c>
      <c r="F222">
        <v>12.3</v>
      </c>
      <c r="G222">
        <v>12.3</v>
      </c>
      <c r="K222" s="89">
        <f t="shared" si="4"/>
        <v>13.266666666666666</v>
      </c>
      <c r="L222" s="25">
        <v>0.5</v>
      </c>
      <c r="M222" s="75" t="s">
        <v>423</v>
      </c>
      <c r="N222" s="58"/>
      <c r="O222" s="59" t="e">
        <v>#N/A</v>
      </c>
      <c r="P222" s="90">
        <f t="shared" si="5"/>
        <v>26.533333333333331</v>
      </c>
      <c r="Q222" s="87" t="s">
        <v>424</v>
      </c>
      <c r="R222" s="91" t="s">
        <v>6</v>
      </c>
    </row>
    <row r="223" spans="1:18" ht="15" x14ac:dyDescent="0.2">
      <c r="A223" t="s">
        <v>245</v>
      </c>
      <c r="B223" t="s">
        <v>390</v>
      </c>
      <c r="C223" t="s">
        <v>399</v>
      </c>
      <c r="D223" t="s">
        <v>229</v>
      </c>
      <c r="E223">
        <v>92.5</v>
      </c>
      <c r="F223">
        <v>91.7</v>
      </c>
      <c r="G223">
        <v>91.5</v>
      </c>
      <c r="K223" s="89">
        <f t="shared" si="4"/>
        <v>91.899999999999991</v>
      </c>
      <c r="L223" s="25">
        <v>0.5</v>
      </c>
      <c r="M223" s="75" t="s">
        <v>423</v>
      </c>
      <c r="N223" s="58"/>
      <c r="O223" s="59" t="e">
        <v>#N/A</v>
      </c>
      <c r="P223" s="90">
        <f t="shared" si="5"/>
        <v>183.79999999999998</v>
      </c>
      <c r="Q223" s="87" t="s">
        <v>424</v>
      </c>
      <c r="R223" s="91" t="s">
        <v>6</v>
      </c>
    </row>
    <row r="224" spans="1:18" ht="15" x14ac:dyDescent="0.2">
      <c r="A224" t="s">
        <v>236</v>
      </c>
      <c r="B224" t="s">
        <v>390</v>
      </c>
      <c r="C224" t="s">
        <v>399</v>
      </c>
      <c r="D224" t="s">
        <v>229</v>
      </c>
      <c r="E224">
        <v>91.7</v>
      </c>
      <c r="F224">
        <v>91.7</v>
      </c>
      <c r="G224">
        <v>92.8</v>
      </c>
      <c r="K224" s="89">
        <f t="shared" si="4"/>
        <v>92.066666666666663</v>
      </c>
      <c r="L224" s="25">
        <v>0.5</v>
      </c>
      <c r="M224" s="75" t="s">
        <v>423</v>
      </c>
      <c r="N224" s="58"/>
      <c r="O224" s="59" t="e">
        <v>#N/A</v>
      </c>
      <c r="P224" s="90">
        <f t="shared" si="5"/>
        <v>184.13333333333333</v>
      </c>
      <c r="Q224" s="87" t="s">
        <v>424</v>
      </c>
      <c r="R224" s="91" t="s">
        <v>6</v>
      </c>
    </row>
    <row r="225" spans="1:18" ht="15" x14ac:dyDescent="0.2">
      <c r="A225" t="s">
        <v>242</v>
      </c>
      <c r="B225" t="s">
        <v>390</v>
      </c>
      <c r="C225" t="s">
        <v>399</v>
      </c>
      <c r="D225" t="s">
        <v>229</v>
      </c>
      <c r="E225">
        <v>99.7</v>
      </c>
      <c r="F225">
        <v>87.6</v>
      </c>
      <c r="G225">
        <v>80.3</v>
      </c>
      <c r="K225" s="89">
        <f t="shared" si="4"/>
        <v>89.2</v>
      </c>
      <c r="L225" s="25">
        <v>0.5</v>
      </c>
      <c r="M225" s="75" t="s">
        <v>423</v>
      </c>
      <c r="N225" s="58"/>
      <c r="O225" s="59" t="e">
        <v>#N/A</v>
      </c>
      <c r="P225" s="90">
        <f t="shared" si="5"/>
        <v>178.4</v>
      </c>
      <c r="Q225" s="87" t="s">
        <v>424</v>
      </c>
      <c r="R225" s="91" t="s">
        <v>6</v>
      </c>
    </row>
    <row r="226" spans="1:18" ht="15" x14ac:dyDescent="0.2">
      <c r="A226" t="s">
        <v>244</v>
      </c>
      <c r="B226" t="s">
        <v>390</v>
      </c>
      <c r="C226" t="s">
        <v>399</v>
      </c>
      <c r="D226" t="s">
        <v>229</v>
      </c>
      <c r="E226">
        <v>99.7</v>
      </c>
      <c r="F226">
        <v>89.7</v>
      </c>
      <c r="G226">
        <v>94.1</v>
      </c>
      <c r="K226" s="89">
        <f t="shared" si="4"/>
        <v>94.5</v>
      </c>
      <c r="L226" s="25">
        <v>0.5</v>
      </c>
      <c r="M226" s="75" t="s">
        <v>423</v>
      </c>
      <c r="N226" s="58"/>
      <c r="O226" s="59" t="e">
        <v>#N/A</v>
      </c>
      <c r="P226" s="90">
        <f t="shared" si="5"/>
        <v>189</v>
      </c>
      <c r="Q226" s="87" t="s">
        <v>424</v>
      </c>
      <c r="R226" s="91" t="s">
        <v>6</v>
      </c>
    </row>
    <row r="227" spans="1:18" ht="15" x14ac:dyDescent="0.2">
      <c r="A227" t="s">
        <v>239</v>
      </c>
      <c r="B227" t="s">
        <v>390</v>
      </c>
      <c r="C227" t="s">
        <v>399</v>
      </c>
      <c r="D227" t="s">
        <v>229</v>
      </c>
      <c r="E227">
        <v>50.6</v>
      </c>
      <c r="F227">
        <v>48</v>
      </c>
      <c r="G227">
        <v>48</v>
      </c>
      <c r="K227" s="89">
        <f t="shared" si="4"/>
        <v>48.866666666666667</v>
      </c>
      <c r="L227" s="25">
        <v>0.5</v>
      </c>
      <c r="M227" s="75" t="s">
        <v>423</v>
      </c>
      <c r="N227" s="58"/>
      <c r="O227" s="59" t="e">
        <v>#N/A</v>
      </c>
      <c r="P227" s="90">
        <f t="shared" si="5"/>
        <v>97.733333333333334</v>
      </c>
      <c r="Q227" s="87" t="s">
        <v>424</v>
      </c>
      <c r="R227" s="91" t="s">
        <v>6</v>
      </c>
    </row>
    <row r="228" spans="1:18" ht="15" x14ac:dyDescent="0.2">
      <c r="A228" t="s">
        <v>241</v>
      </c>
      <c r="B228" t="s">
        <v>390</v>
      </c>
      <c r="C228" t="s">
        <v>399</v>
      </c>
      <c r="D228" t="s">
        <v>229</v>
      </c>
      <c r="E228">
        <v>60.4</v>
      </c>
      <c r="F228">
        <v>65.900000000000006</v>
      </c>
      <c r="G228">
        <v>67.900000000000006</v>
      </c>
      <c r="K228" s="89">
        <f t="shared" si="4"/>
        <v>64.733333333333334</v>
      </c>
      <c r="L228" s="25">
        <v>0.5</v>
      </c>
      <c r="M228" s="75" t="s">
        <v>423</v>
      </c>
      <c r="N228" s="58"/>
      <c r="O228" s="59" t="e">
        <v>#N/A</v>
      </c>
      <c r="P228" s="90">
        <f t="shared" si="5"/>
        <v>129.46666666666667</v>
      </c>
      <c r="Q228" s="87" t="s">
        <v>424</v>
      </c>
      <c r="R228" s="91" t="s">
        <v>6</v>
      </c>
    </row>
    <row r="229" spans="1:18" ht="15" x14ac:dyDescent="0.2">
      <c r="A229" t="s">
        <v>240</v>
      </c>
      <c r="B229" t="s">
        <v>390</v>
      </c>
      <c r="C229" t="s">
        <v>399</v>
      </c>
      <c r="D229" t="s">
        <v>229</v>
      </c>
      <c r="E229">
        <v>-1.0999999999999901</v>
      </c>
      <c r="F229">
        <v>-1.6</v>
      </c>
      <c r="G229">
        <v>0.7</v>
      </c>
      <c r="K229" s="89">
        <f t="shared" si="4"/>
        <v>-0.66666666666666352</v>
      </c>
      <c r="L229" s="25">
        <v>0.5</v>
      </c>
      <c r="M229" s="75" t="s">
        <v>423</v>
      </c>
      <c r="N229" s="58"/>
      <c r="O229" s="59" t="e">
        <v>#N/A</v>
      </c>
      <c r="P229" s="90">
        <f t="shared" si="5"/>
        <v>-1.333333333333327</v>
      </c>
      <c r="Q229" s="87" t="s">
        <v>424</v>
      </c>
      <c r="R229" s="91" t="s">
        <v>4</v>
      </c>
    </row>
    <row r="230" spans="1:18" ht="15" x14ac:dyDescent="0.2">
      <c r="A230" t="s">
        <v>238</v>
      </c>
      <c r="B230" t="s">
        <v>390</v>
      </c>
      <c r="C230" t="s">
        <v>399</v>
      </c>
      <c r="D230" t="s">
        <v>229</v>
      </c>
      <c r="E230">
        <v>72.3</v>
      </c>
      <c r="F230">
        <v>70</v>
      </c>
      <c r="G230">
        <v>80.099999999999994</v>
      </c>
      <c r="K230" s="89">
        <f t="shared" si="4"/>
        <v>74.13333333333334</v>
      </c>
      <c r="L230" s="25">
        <v>0.5</v>
      </c>
      <c r="M230" s="75" t="s">
        <v>423</v>
      </c>
      <c r="N230" s="58"/>
      <c r="O230" s="59" t="e">
        <v>#N/A</v>
      </c>
      <c r="P230" s="90">
        <f t="shared" si="5"/>
        <v>148.26666666666668</v>
      </c>
      <c r="Q230" s="87" t="s">
        <v>424</v>
      </c>
      <c r="R230" s="91" t="s">
        <v>6</v>
      </c>
    </row>
    <row r="231" spans="1:18" ht="15" x14ac:dyDescent="0.2">
      <c r="A231" t="s">
        <v>232</v>
      </c>
      <c r="B231" t="s">
        <v>390</v>
      </c>
      <c r="C231" t="s">
        <v>399</v>
      </c>
      <c r="D231" t="s">
        <v>229</v>
      </c>
      <c r="E231">
        <v>10.8</v>
      </c>
      <c r="F231">
        <v>14.899999999999901</v>
      </c>
      <c r="G231">
        <v>15.2</v>
      </c>
      <c r="K231" s="89">
        <f t="shared" si="4"/>
        <v>13.633333333333303</v>
      </c>
      <c r="L231" s="25">
        <v>0.5</v>
      </c>
      <c r="M231" s="75" t="s">
        <v>423</v>
      </c>
      <c r="N231" s="58"/>
      <c r="O231" s="59" t="e">
        <v>#N/A</v>
      </c>
      <c r="P231" s="90">
        <f t="shared" si="5"/>
        <v>27.266666666666605</v>
      </c>
      <c r="Q231" s="87" t="s">
        <v>424</v>
      </c>
      <c r="R231" s="91" t="s">
        <v>6</v>
      </c>
    </row>
    <row r="232" spans="1:18" ht="15" x14ac:dyDescent="0.2">
      <c r="A232" t="s">
        <v>237</v>
      </c>
      <c r="B232" t="s">
        <v>390</v>
      </c>
      <c r="C232" t="s">
        <v>399</v>
      </c>
      <c r="D232" t="s">
        <v>229</v>
      </c>
      <c r="E232">
        <v>94.6</v>
      </c>
      <c r="F232">
        <v>95.1</v>
      </c>
      <c r="G232">
        <v>95.3</v>
      </c>
      <c r="K232" s="89">
        <f t="shared" si="4"/>
        <v>95</v>
      </c>
      <c r="L232" s="25">
        <v>0.5</v>
      </c>
      <c r="M232" s="75" t="s">
        <v>423</v>
      </c>
      <c r="N232" s="58"/>
      <c r="O232" s="59" t="e">
        <v>#N/A</v>
      </c>
      <c r="P232" s="90">
        <f t="shared" si="5"/>
        <v>190</v>
      </c>
      <c r="Q232" s="87" t="s">
        <v>424</v>
      </c>
      <c r="R232" s="91" t="s">
        <v>6</v>
      </c>
    </row>
    <row r="233" spans="1:18" ht="15" x14ac:dyDescent="0.2">
      <c r="A233" t="s">
        <v>243</v>
      </c>
      <c r="B233" t="s">
        <v>390</v>
      </c>
      <c r="C233" t="s">
        <v>399</v>
      </c>
      <c r="D233" t="s">
        <v>229</v>
      </c>
      <c r="E233">
        <v>34.799999999999997</v>
      </c>
      <c r="F233">
        <v>37.700000000000003</v>
      </c>
      <c r="G233">
        <v>37.9</v>
      </c>
      <c r="K233" s="89">
        <f t="shared" si="4"/>
        <v>36.800000000000004</v>
      </c>
      <c r="L233" s="25">
        <v>0.5</v>
      </c>
      <c r="M233" s="75" t="s">
        <v>423</v>
      </c>
      <c r="N233" s="58"/>
      <c r="O233" s="59" t="e">
        <v>#N/A</v>
      </c>
      <c r="P233" s="90">
        <f t="shared" si="5"/>
        <v>73.600000000000009</v>
      </c>
      <c r="Q233" s="87" t="s">
        <v>424</v>
      </c>
      <c r="R233" s="91" t="s">
        <v>6</v>
      </c>
    </row>
    <row r="234" spans="1:18" ht="15" x14ac:dyDescent="0.2">
      <c r="A234" t="s">
        <v>246</v>
      </c>
      <c r="B234" t="s">
        <v>390</v>
      </c>
      <c r="C234" t="s">
        <v>399</v>
      </c>
      <c r="D234" t="s">
        <v>229</v>
      </c>
      <c r="E234">
        <v>100</v>
      </c>
      <c r="F234">
        <v>88.1</v>
      </c>
      <c r="G234">
        <v>94.8</v>
      </c>
      <c r="K234" s="89">
        <f t="shared" si="4"/>
        <v>94.3</v>
      </c>
      <c r="L234" s="25">
        <v>0.5</v>
      </c>
      <c r="M234" s="75" t="s">
        <v>423</v>
      </c>
      <c r="N234" s="58"/>
      <c r="O234" s="59" t="e">
        <v>#N/A</v>
      </c>
      <c r="P234" s="90">
        <f t="shared" si="5"/>
        <v>188.6</v>
      </c>
      <c r="Q234" s="87" t="s">
        <v>424</v>
      </c>
      <c r="R234" s="91" t="s">
        <v>6</v>
      </c>
    </row>
    <row r="235" spans="1:18" ht="15" x14ac:dyDescent="0.2">
      <c r="A235" t="s">
        <v>231</v>
      </c>
      <c r="B235" t="s">
        <v>390</v>
      </c>
      <c r="C235" t="s">
        <v>399</v>
      </c>
      <c r="D235" t="s">
        <v>229</v>
      </c>
      <c r="E235">
        <v>73.099999999999994</v>
      </c>
      <c r="F235">
        <v>71.599999999999994</v>
      </c>
      <c r="G235">
        <v>76.099999999999994</v>
      </c>
      <c r="K235" s="89">
        <f t="shared" si="4"/>
        <v>73.599999999999994</v>
      </c>
      <c r="L235" s="25">
        <v>0.5</v>
      </c>
      <c r="M235" s="75" t="s">
        <v>423</v>
      </c>
      <c r="N235" s="58"/>
      <c r="O235" s="59" t="e">
        <v>#N/A</v>
      </c>
      <c r="P235" s="90">
        <f t="shared" si="5"/>
        <v>147.19999999999999</v>
      </c>
      <c r="Q235" s="87" t="s">
        <v>424</v>
      </c>
      <c r="R235" s="91" t="s">
        <v>6</v>
      </c>
    </row>
    <row r="236" spans="1:18" ht="15" x14ac:dyDescent="0.2">
      <c r="A236" t="s">
        <v>235</v>
      </c>
      <c r="B236" t="s">
        <v>390</v>
      </c>
      <c r="C236" t="s">
        <v>399</v>
      </c>
      <c r="D236" t="s">
        <v>229</v>
      </c>
      <c r="E236">
        <v>82.699999999999903</v>
      </c>
      <c r="F236">
        <v>85.3</v>
      </c>
      <c r="G236">
        <v>86.3</v>
      </c>
      <c r="K236" s="89">
        <f t="shared" si="4"/>
        <v>84.766666666666637</v>
      </c>
      <c r="L236" s="25">
        <v>0.5</v>
      </c>
      <c r="M236" s="75" t="s">
        <v>423</v>
      </c>
      <c r="N236" s="58"/>
      <c r="O236" s="59" t="e">
        <v>#N/A</v>
      </c>
      <c r="P236" s="90">
        <f t="shared" si="5"/>
        <v>169.53333333333327</v>
      </c>
      <c r="Q236" s="87" t="s">
        <v>424</v>
      </c>
      <c r="R236" s="91" t="s">
        <v>6</v>
      </c>
    </row>
    <row r="237" spans="1:18" ht="15" x14ac:dyDescent="0.2">
      <c r="A237" t="s">
        <v>398</v>
      </c>
      <c r="B237" t="s">
        <v>390</v>
      </c>
      <c r="C237" t="s">
        <v>399</v>
      </c>
      <c r="D237" t="s">
        <v>229</v>
      </c>
      <c r="E237">
        <v>91.2</v>
      </c>
      <c r="F237">
        <v>87.6</v>
      </c>
      <c r="G237">
        <v>90.9</v>
      </c>
      <c r="H237">
        <v>95.6</v>
      </c>
      <c r="I237">
        <v>95.3</v>
      </c>
      <c r="J237">
        <v>96.2</v>
      </c>
      <c r="K237" s="89">
        <f t="shared" si="4"/>
        <v>92.800000000000011</v>
      </c>
      <c r="L237" s="25">
        <v>0.5</v>
      </c>
      <c r="M237" s="75" t="s">
        <v>423</v>
      </c>
      <c r="N237" s="58"/>
      <c r="O237" s="59" t="e">
        <v>#N/A</v>
      </c>
      <c r="P237" s="90">
        <f t="shared" si="5"/>
        <v>185.60000000000002</v>
      </c>
      <c r="Q237" s="87" t="s">
        <v>424</v>
      </c>
      <c r="R237" s="91"/>
    </row>
    <row r="238" spans="1:18" ht="15" x14ac:dyDescent="0.2">
      <c r="A238" t="s">
        <v>395</v>
      </c>
      <c r="B238" t="s">
        <v>390</v>
      </c>
      <c r="C238" t="s">
        <v>399</v>
      </c>
      <c r="D238" t="s">
        <v>229</v>
      </c>
      <c r="E238">
        <v>95.899999999999906</v>
      </c>
      <c r="F238">
        <v>91.7</v>
      </c>
      <c r="G238">
        <v>96.1</v>
      </c>
      <c r="H238">
        <v>96.2</v>
      </c>
      <c r="I238">
        <v>96.7</v>
      </c>
      <c r="J238">
        <v>97.899999999999906</v>
      </c>
      <c r="K238" s="89">
        <f t="shared" si="4"/>
        <v>95.749999999999957</v>
      </c>
      <c r="L238" s="25">
        <v>0.5</v>
      </c>
      <c r="M238" s="75" t="s">
        <v>423</v>
      </c>
      <c r="N238" s="58"/>
      <c r="O238" s="59" t="e">
        <v>#N/A</v>
      </c>
      <c r="P238" s="90">
        <f t="shared" si="5"/>
        <v>191.49999999999991</v>
      </c>
      <c r="Q238" s="87" t="s">
        <v>424</v>
      </c>
      <c r="R238" s="91"/>
    </row>
    <row r="239" spans="1:18" ht="15" x14ac:dyDescent="0.2">
      <c r="A239" t="s">
        <v>396</v>
      </c>
      <c r="B239" t="s">
        <v>390</v>
      </c>
      <c r="C239" t="s">
        <v>399</v>
      </c>
      <c r="D239" t="s">
        <v>229</v>
      </c>
      <c r="E239">
        <v>-1.0999999999999901</v>
      </c>
      <c r="F239">
        <v>-2.4</v>
      </c>
      <c r="G239">
        <v>-2.4</v>
      </c>
      <c r="H239">
        <v>5.4</v>
      </c>
      <c r="I239">
        <v>-2.6</v>
      </c>
      <c r="J239">
        <v>11.3</v>
      </c>
      <c r="K239" s="89">
        <f t="shared" si="4"/>
        <v>1.3666666666666687</v>
      </c>
      <c r="L239" s="25">
        <v>0.5</v>
      </c>
      <c r="M239" s="75" t="s">
        <v>423</v>
      </c>
      <c r="N239" s="58"/>
      <c r="O239" s="59" t="e">
        <v>#N/A</v>
      </c>
      <c r="P239" s="90">
        <f t="shared" si="5"/>
        <v>2.7333333333333374</v>
      </c>
      <c r="Q239" s="87" t="s">
        <v>424</v>
      </c>
      <c r="R239" s="91"/>
    </row>
    <row r="240" spans="1:18" ht="15" x14ac:dyDescent="0.2">
      <c r="A240" t="s">
        <v>432</v>
      </c>
      <c r="B240" t="s">
        <v>390</v>
      </c>
      <c r="C240" t="s">
        <v>399</v>
      </c>
      <c r="D240" t="s">
        <v>229</v>
      </c>
      <c r="E240">
        <v>91.5</v>
      </c>
      <c r="F240">
        <v>90.2</v>
      </c>
      <c r="G240">
        <v>92.2</v>
      </c>
      <c r="H240">
        <v>94.1</v>
      </c>
      <c r="I240">
        <v>94.399999999999906</v>
      </c>
      <c r="J240">
        <v>95.6</v>
      </c>
      <c r="K240" s="89">
        <f t="shared" si="4"/>
        <v>92.999999999999986</v>
      </c>
      <c r="L240" s="25">
        <v>0.5</v>
      </c>
      <c r="M240" s="75" t="s">
        <v>423</v>
      </c>
      <c r="N240" s="58"/>
      <c r="O240" s="59" t="e">
        <v>#N/A</v>
      </c>
      <c r="P240" s="90">
        <f t="shared" si="5"/>
        <v>185.99999999999997</v>
      </c>
      <c r="Q240" s="87" t="s">
        <v>424</v>
      </c>
      <c r="R240" s="91"/>
    </row>
    <row r="241" spans="1:18" ht="15" x14ac:dyDescent="0.2">
      <c r="A241" t="s">
        <v>252</v>
      </c>
      <c r="B241" t="s">
        <v>390</v>
      </c>
      <c r="C241" t="s">
        <v>399</v>
      </c>
      <c r="D241" t="s">
        <v>248</v>
      </c>
      <c r="E241">
        <v>-2</v>
      </c>
      <c r="F241">
        <v>-0.4</v>
      </c>
      <c r="G241">
        <v>-2</v>
      </c>
      <c r="K241" s="89">
        <f t="shared" si="4"/>
        <v>-1.4666666666666668</v>
      </c>
      <c r="L241" s="25">
        <v>0.5</v>
      </c>
      <c r="M241" s="75" t="s">
        <v>423</v>
      </c>
      <c r="N241" s="58"/>
      <c r="O241" s="59" t="e">
        <v>#N/A</v>
      </c>
      <c r="P241" s="90">
        <f t="shared" si="5"/>
        <v>-2.9333333333333336</v>
      </c>
      <c r="Q241" s="87" t="s">
        <v>424</v>
      </c>
      <c r="R241" s="91" t="s">
        <v>4</v>
      </c>
    </row>
    <row r="242" spans="1:18" ht="15" x14ac:dyDescent="0.2">
      <c r="A242" t="s">
        <v>250</v>
      </c>
      <c r="B242" t="s">
        <v>390</v>
      </c>
      <c r="C242" t="s">
        <v>399</v>
      </c>
      <c r="D242" t="s">
        <v>248</v>
      </c>
      <c r="E242">
        <v>27.9</v>
      </c>
      <c r="F242">
        <v>37.200000000000003</v>
      </c>
      <c r="G242">
        <v>35.099999999999902</v>
      </c>
      <c r="K242" s="89">
        <f t="shared" si="4"/>
        <v>33.39999999999997</v>
      </c>
      <c r="L242" s="25">
        <v>0.5</v>
      </c>
      <c r="M242" s="75" t="s">
        <v>423</v>
      </c>
      <c r="N242" s="58"/>
      <c r="O242" s="59" t="e">
        <v>#N/A</v>
      </c>
      <c r="P242" s="90">
        <f t="shared" si="5"/>
        <v>66.79999999999994</v>
      </c>
      <c r="Q242" s="87" t="s">
        <v>424</v>
      </c>
      <c r="R242" s="91" t="s">
        <v>6</v>
      </c>
    </row>
    <row r="243" spans="1:18" ht="15" x14ac:dyDescent="0.2">
      <c r="A243" t="s">
        <v>262</v>
      </c>
      <c r="B243" t="s">
        <v>390</v>
      </c>
      <c r="C243" t="s">
        <v>399</v>
      </c>
      <c r="D243" t="s">
        <v>248</v>
      </c>
      <c r="E243">
        <v>1.0999999999999901</v>
      </c>
      <c r="F243">
        <v>-1.7</v>
      </c>
      <c r="G243">
        <v>0.1</v>
      </c>
      <c r="K243" s="89">
        <f t="shared" ref="K243:K284" si="6">AVERAGE(E243:J243)</f>
        <v>-0.16666666666666996</v>
      </c>
      <c r="L243" s="25">
        <v>0.5</v>
      </c>
      <c r="M243" s="75" t="s">
        <v>423</v>
      </c>
      <c r="N243" s="58"/>
      <c r="O243" s="59" t="e">
        <v>#N/A</v>
      </c>
      <c r="P243" s="90">
        <f t="shared" si="5"/>
        <v>-0.33333333333333992</v>
      </c>
      <c r="Q243" s="87" t="s">
        <v>424</v>
      </c>
      <c r="R243" s="91" t="s">
        <v>4</v>
      </c>
    </row>
    <row r="244" spans="1:18" ht="15" x14ac:dyDescent="0.2">
      <c r="A244" t="s">
        <v>264</v>
      </c>
      <c r="B244" t="s">
        <v>390</v>
      </c>
      <c r="C244" t="s">
        <v>399</v>
      </c>
      <c r="D244" t="s">
        <v>248</v>
      </c>
      <c r="E244">
        <v>-0.4</v>
      </c>
      <c r="F244">
        <v>-0.7</v>
      </c>
      <c r="G244">
        <v>9.6</v>
      </c>
      <c r="K244" s="89">
        <f t="shared" si="6"/>
        <v>2.8333333333333335</v>
      </c>
      <c r="L244" s="25">
        <v>0.5</v>
      </c>
      <c r="M244" s="75" t="s">
        <v>423</v>
      </c>
      <c r="N244" s="58"/>
      <c r="O244" s="59" t="e">
        <v>#N/A</v>
      </c>
      <c r="P244" s="90">
        <f t="shared" si="5"/>
        <v>5.666666666666667</v>
      </c>
      <c r="Q244" s="87" t="s">
        <v>424</v>
      </c>
      <c r="R244" s="91" t="s">
        <v>4</v>
      </c>
    </row>
    <row r="245" spans="1:18" ht="15" x14ac:dyDescent="0.2">
      <c r="A245" t="s">
        <v>259</v>
      </c>
      <c r="B245" t="s">
        <v>390</v>
      </c>
      <c r="C245" t="s">
        <v>399</v>
      </c>
      <c r="D245" t="s">
        <v>248</v>
      </c>
      <c r="E245">
        <v>0.6</v>
      </c>
      <c r="F245">
        <v>-0.7</v>
      </c>
      <c r="G245">
        <v>0.3</v>
      </c>
      <c r="K245" s="89">
        <f t="shared" si="6"/>
        <v>6.6666666666666666E-2</v>
      </c>
      <c r="L245" s="25">
        <v>0.5</v>
      </c>
      <c r="M245" s="75" t="s">
        <v>423</v>
      </c>
      <c r="N245" s="58"/>
      <c r="O245" s="59" t="e">
        <v>#N/A</v>
      </c>
      <c r="P245" s="90">
        <f t="shared" si="5"/>
        <v>0.13333333333333333</v>
      </c>
      <c r="Q245" s="87" t="s">
        <v>424</v>
      </c>
      <c r="R245" s="91" t="s">
        <v>4</v>
      </c>
    </row>
    <row r="246" spans="1:18" ht="15" x14ac:dyDescent="0.2">
      <c r="A246" t="s">
        <v>249</v>
      </c>
      <c r="B246" t="s">
        <v>390</v>
      </c>
      <c r="C246" t="s">
        <v>399</v>
      </c>
      <c r="D246" t="s">
        <v>248</v>
      </c>
      <c r="E246">
        <v>0.3</v>
      </c>
      <c r="F246">
        <v>8.6</v>
      </c>
      <c r="G246">
        <v>7.8</v>
      </c>
      <c r="K246" s="89">
        <f t="shared" si="6"/>
        <v>5.5666666666666664</v>
      </c>
      <c r="L246" s="25">
        <v>0.5</v>
      </c>
      <c r="M246" s="75" t="s">
        <v>423</v>
      </c>
      <c r="N246" s="58"/>
      <c r="O246" s="59" t="e">
        <v>#N/A</v>
      </c>
      <c r="P246" s="90">
        <f t="shared" si="5"/>
        <v>11.133333333333333</v>
      </c>
      <c r="Q246" s="87" t="s">
        <v>424</v>
      </c>
      <c r="R246" s="91" t="s">
        <v>4</v>
      </c>
    </row>
    <row r="247" spans="1:18" ht="15" x14ac:dyDescent="0.2">
      <c r="A247" t="s">
        <v>261</v>
      </c>
      <c r="B247" t="s">
        <v>390</v>
      </c>
      <c r="C247" t="s">
        <v>399</v>
      </c>
      <c r="D247" t="s">
        <v>248</v>
      </c>
      <c r="E247">
        <v>41</v>
      </c>
      <c r="F247">
        <v>43.6</v>
      </c>
      <c r="G247">
        <v>40</v>
      </c>
      <c r="K247" s="89">
        <f t="shared" si="6"/>
        <v>41.533333333333331</v>
      </c>
      <c r="L247" s="25">
        <v>0.5</v>
      </c>
      <c r="M247" s="75" t="s">
        <v>423</v>
      </c>
      <c r="N247" s="58"/>
      <c r="O247" s="59" t="e">
        <v>#N/A</v>
      </c>
      <c r="P247" s="90">
        <f t="shared" si="5"/>
        <v>83.066666666666663</v>
      </c>
      <c r="Q247" s="87" t="s">
        <v>424</v>
      </c>
      <c r="R247" s="91" t="s">
        <v>6</v>
      </c>
    </row>
    <row r="248" spans="1:18" ht="15" x14ac:dyDescent="0.2">
      <c r="A248" t="s">
        <v>255</v>
      </c>
      <c r="B248" t="s">
        <v>390</v>
      </c>
      <c r="C248" t="s">
        <v>399</v>
      </c>
      <c r="D248" t="s">
        <v>248</v>
      </c>
      <c r="E248">
        <v>-0.7</v>
      </c>
      <c r="F248">
        <v>-0.2</v>
      </c>
      <c r="G248">
        <v>8.3000000000000007</v>
      </c>
      <c r="K248" s="89">
        <f t="shared" si="6"/>
        <v>2.4666666666666668</v>
      </c>
      <c r="L248" s="25">
        <v>0.5</v>
      </c>
      <c r="M248" s="75" t="s">
        <v>423</v>
      </c>
      <c r="N248" s="58"/>
      <c r="O248" s="59" t="e">
        <v>#N/A</v>
      </c>
      <c r="P248" s="90">
        <f t="shared" si="5"/>
        <v>4.9333333333333336</v>
      </c>
      <c r="Q248" s="87" t="s">
        <v>424</v>
      </c>
      <c r="R248" s="91" t="s">
        <v>4</v>
      </c>
    </row>
    <row r="249" spans="1:18" ht="15" x14ac:dyDescent="0.2">
      <c r="A249" t="s">
        <v>256</v>
      </c>
      <c r="B249" t="s">
        <v>390</v>
      </c>
      <c r="C249" t="s">
        <v>399</v>
      </c>
      <c r="D249" t="s">
        <v>248</v>
      </c>
      <c r="E249">
        <v>0.3</v>
      </c>
      <c r="F249">
        <v>-2</v>
      </c>
      <c r="G249">
        <v>-2</v>
      </c>
      <c r="K249" s="89">
        <f t="shared" si="6"/>
        <v>-1.2333333333333334</v>
      </c>
      <c r="L249" s="25">
        <v>0.5</v>
      </c>
      <c r="M249" s="75" t="s">
        <v>423</v>
      </c>
      <c r="N249" s="58"/>
      <c r="O249" s="59" t="e">
        <v>#N/A</v>
      </c>
      <c r="P249" s="90">
        <f t="shared" si="5"/>
        <v>-2.4666666666666668</v>
      </c>
      <c r="Q249" s="87" t="s">
        <v>424</v>
      </c>
      <c r="R249" s="91" t="s">
        <v>4</v>
      </c>
    </row>
    <row r="250" spans="1:18" ht="15" x14ac:dyDescent="0.2">
      <c r="A250" t="s">
        <v>263</v>
      </c>
      <c r="B250" t="s">
        <v>390</v>
      </c>
      <c r="C250" t="s">
        <v>399</v>
      </c>
      <c r="D250" t="s">
        <v>248</v>
      </c>
      <c r="E250">
        <v>83.1</v>
      </c>
      <c r="F250">
        <v>87.8</v>
      </c>
      <c r="G250">
        <v>85.7</v>
      </c>
      <c r="K250" s="89">
        <f t="shared" si="6"/>
        <v>85.533333333333317</v>
      </c>
      <c r="L250" s="25">
        <v>0.5</v>
      </c>
      <c r="M250" s="75" t="s">
        <v>423</v>
      </c>
      <c r="N250" s="58"/>
      <c r="O250" s="59" t="e">
        <v>#N/A</v>
      </c>
      <c r="P250" s="90">
        <f t="shared" si="5"/>
        <v>171.06666666666663</v>
      </c>
      <c r="Q250" s="87" t="s">
        <v>424</v>
      </c>
      <c r="R250" s="91" t="s">
        <v>6</v>
      </c>
    </row>
    <row r="251" spans="1:18" ht="15" x14ac:dyDescent="0.2">
      <c r="A251" t="s">
        <v>251</v>
      </c>
      <c r="B251" t="s">
        <v>390</v>
      </c>
      <c r="C251" t="s">
        <v>399</v>
      </c>
      <c r="D251" t="s">
        <v>248</v>
      </c>
      <c r="E251">
        <v>71.399999999999906</v>
      </c>
      <c r="F251">
        <v>69.099999999999994</v>
      </c>
      <c r="G251">
        <v>69.599999999999994</v>
      </c>
      <c r="K251" s="89">
        <f t="shared" si="6"/>
        <v>70.033333333333289</v>
      </c>
      <c r="L251" s="25">
        <v>0.5</v>
      </c>
      <c r="M251" s="75" t="s">
        <v>423</v>
      </c>
      <c r="N251" s="58"/>
      <c r="O251" s="59" t="e">
        <v>#N/A</v>
      </c>
      <c r="P251" s="90">
        <f t="shared" si="5"/>
        <v>140.06666666666658</v>
      </c>
      <c r="Q251" s="87" t="s">
        <v>424</v>
      </c>
      <c r="R251" s="91" t="s">
        <v>6</v>
      </c>
    </row>
    <row r="252" spans="1:18" ht="15" x14ac:dyDescent="0.2">
      <c r="A252" t="s">
        <v>247</v>
      </c>
      <c r="B252" t="s">
        <v>390</v>
      </c>
      <c r="C252" t="s">
        <v>399</v>
      </c>
      <c r="D252" t="s">
        <v>248</v>
      </c>
      <c r="E252">
        <v>11.4</v>
      </c>
      <c r="F252">
        <v>16.100000000000001</v>
      </c>
      <c r="G252">
        <v>7</v>
      </c>
      <c r="K252" s="89">
        <f t="shared" si="6"/>
        <v>11.5</v>
      </c>
      <c r="L252" s="25">
        <v>0.5</v>
      </c>
      <c r="M252" s="75" t="s">
        <v>423</v>
      </c>
      <c r="N252" s="58"/>
      <c r="O252" s="59" t="e">
        <v>#N/A</v>
      </c>
      <c r="P252" s="90">
        <f t="shared" si="5"/>
        <v>23</v>
      </c>
      <c r="Q252" s="87" t="s">
        <v>424</v>
      </c>
      <c r="R252" s="91" t="s">
        <v>6</v>
      </c>
    </row>
    <row r="253" spans="1:18" ht="15" x14ac:dyDescent="0.2">
      <c r="A253" t="s">
        <v>265</v>
      </c>
      <c r="B253" t="s">
        <v>390</v>
      </c>
      <c r="C253" t="s">
        <v>399</v>
      </c>
      <c r="D253" t="s">
        <v>248</v>
      </c>
      <c r="E253">
        <v>56.999999999999901</v>
      </c>
      <c r="F253">
        <v>55.2</v>
      </c>
      <c r="G253">
        <v>56.999999999999901</v>
      </c>
      <c r="K253" s="89">
        <f t="shared" si="6"/>
        <v>56.399999999999942</v>
      </c>
      <c r="L253" s="25">
        <v>0.5</v>
      </c>
      <c r="M253" s="75" t="s">
        <v>423</v>
      </c>
      <c r="N253" s="58"/>
      <c r="O253" s="59" t="e">
        <v>#N/A</v>
      </c>
      <c r="P253" s="90">
        <f t="shared" si="5"/>
        <v>112.79999999999988</v>
      </c>
      <c r="Q253" s="87" t="s">
        <v>424</v>
      </c>
      <c r="R253" s="91" t="s">
        <v>6</v>
      </c>
    </row>
    <row r="254" spans="1:18" ht="15" x14ac:dyDescent="0.2">
      <c r="A254" t="s">
        <v>260</v>
      </c>
      <c r="B254" t="s">
        <v>390</v>
      </c>
      <c r="C254" t="s">
        <v>399</v>
      </c>
      <c r="D254" t="s">
        <v>248</v>
      </c>
      <c r="E254">
        <v>-0.5</v>
      </c>
      <c r="F254">
        <v>-1.7999999999999901</v>
      </c>
      <c r="G254">
        <v>-2.2999999999999998</v>
      </c>
      <c r="K254" s="89">
        <f t="shared" si="6"/>
        <v>-1.5333333333333299</v>
      </c>
      <c r="L254" s="25">
        <v>0.5</v>
      </c>
      <c r="M254" s="75" t="s">
        <v>423</v>
      </c>
      <c r="N254" s="58"/>
      <c r="O254" s="59" t="e">
        <v>#N/A</v>
      </c>
      <c r="P254" s="90">
        <f t="shared" si="5"/>
        <v>-3.0666666666666598</v>
      </c>
      <c r="Q254" s="87" t="s">
        <v>424</v>
      </c>
      <c r="R254" s="91" t="s">
        <v>4</v>
      </c>
    </row>
    <row r="255" spans="1:18" ht="15" x14ac:dyDescent="0.2">
      <c r="A255" t="s">
        <v>257</v>
      </c>
      <c r="B255" t="s">
        <v>390</v>
      </c>
      <c r="C255" t="s">
        <v>399</v>
      </c>
      <c r="D255" t="s">
        <v>248</v>
      </c>
      <c r="E255">
        <v>4.5</v>
      </c>
      <c r="F255">
        <v>0.89999999999999902</v>
      </c>
      <c r="G255">
        <v>6</v>
      </c>
      <c r="K255" s="89">
        <f t="shared" si="6"/>
        <v>3.7999999999999994</v>
      </c>
      <c r="L255" s="25">
        <v>0.5</v>
      </c>
      <c r="M255" s="75" t="s">
        <v>423</v>
      </c>
      <c r="N255" s="58"/>
      <c r="O255" s="59" t="e">
        <v>#N/A</v>
      </c>
      <c r="P255" s="90">
        <f t="shared" si="5"/>
        <v>7.5999999999999988</v>
      </c>
      <c r="Q255" s="87" t="s">
        <v>424</v>
      </c>
      <c r="R255" s="91" t="s">
        <v>4</v>
      </c>
    </row>
    <row r="256" spans="1:18" ht="15" x14ac:dyDescent="0.2">
      <c r="A256" t="s">
        <v>254</v>
      </c>
      <c r="B256" t="s">
        <v>390</v>
      </c>
      <c r="C256" t="s">
        <v>399</v>
      </c>
      <c r="D256" t="s">
        <v>248</v>
      </c>
      <c r="E256">
        <v>-4.3</v>
      </c>
      <c r="F256">
        <v>-1.7</v>
      </c>
      <c r="G256">
        <v>1.9</v>
      </c>
      <c r="K256" s="89">
        <f t="shared" si="6"/>
        <v>-1.3666666666666665</v>
      </c>
      <c r="L256" s="25">
        <v>0.5</v>
      </c>
      <c r="M256" s="75" t="s">
        <v>423</v>
      </c>
      <c r="N256" s="58"/>
      <c r="O256" s="59" t="e">
        <v>#N/A</v>
      </c>
      <c r="P256" s="90">
        <f t="shared" si="5"/>
        <v>-2.7333333333333329</v>
      </c>
      <c r="Q256" s="87" t="s">
        <v>424</v>
      </c>
      <c r="R256" s="91" t="s">
        <v>4</v>
      </c>
    </row>
    <row r="257" spans="1:18" ht="15" x14ac:dyDescent="0.2">
      <c r="A257" t="s">
        <v>253</v>
      </c>
      <c r="B257" t="s">
        <v>390</v>
      </c>
      <c r="C257" t="s">
        <v>399</v>
      </c>
      <c r="D257" t="s">
        <v>248</v>
      </c>
      <c r="E257">
        <v>20.399999999999999</v>
      </c>
      <c r="F257">
        <v>20.7</v>
      </c>
      <c r="G257">
        <v>24.5</v>
      </c>
      <c r="K257" s="89">
        <f t="shared" si="6"/>
        <v>21.866666666666664</v>
      </c>
      <c r="L257" s="25">
        <v>0.5</v>
      </c>
      <c r="M257" s="75" t="s">
        <v>423</v>
      </c>
      <c r="N257" s="58"/>
      <c r="O257" s="59" t="e">
        <v>#N/A</v>
      </c>
      <c r="P257" s="90">
        <f t="shared" si="5"/>
        <v>43.733333333333327</v>
      </c>
      <c r="Q257" s="87" t="s">
        <v>424</v>
      </c>
      <c r="R257" s="91" t="s">
        <v>6</v>
      </c>
    </row>
    <row r="258" spans="1:18" ht="15" x14ac:dyDescent="0.2">
      <c r="A258" t="s">
        <v>258</v>
      </c>
      <c r="B258" t="s">
        <v>390</v>
      </c>
      <c r="C258" t="s">
        <v>399</v>
      </c>
      <c r="D258" t="s">
        <v>248</v>
      </c>
      <c r="E258">
        <v>60.6</v>
      </c>
      <c r="F258">
        <v>61.1</v>
      </c>
      <c r="G258">
        <v>61.1</v>
      </c>
      <c r="K258" s="89">
        <f t="shared" si="6"/>
        <v>60.933333333333337</v>
      </c>
      <c r="L258" s="25">
        <v>0.5</v>
      </c>
      <c r="M258" s="75" t="s">
        <v>423</v>
      </c>
      <c r="N258" s="58"/>
      <c r="O258" s="59" t="e">
        <v>#N/A</v>
      </c>
      <c r="P258" s="90">
        <f t="shared" si="5"/>
        <v>121.86666666666667</v>
      </c>
      <c r="Q258" s="87" t="s">
        <v>424</v>
      </c>
      <c r="R258" s="91" t="s">
        <v>6</v>
      </c>
    </row>
    <row r="259" spans="1:18" ht="15" x14ac:dyDescent="0.2">
      <c r="A259" t="s">
        <v>398</v>
      </c>
      <c r="B259" t="s">
        <v>390</v>
      </c>
      <c r="C259" t="s">
        <v>399</v>
      </c>
      <c r="D259" t="s">
        <v>248</v>
      </c>
      <c r="E259">
        <v>80.900000000000006</v>
      </c>
      <c r="F259">
        <v>83.399999999999906</v>
      </c>
      <c r="G259">
        <v>82.199999999999903</v>
      </c>
      <c r="K259" s="89">
        <f t="shared" si="6"/>
        <v>82.1666666666666</v>
      </c>
      <c r="L259" s="25">
        <v>0.5</v>
      </c>
      <c r="M259" s="75" t="s">
        <v>423</v>
      </c>
      <c r="N259" s="58"/>
      <c r="O259" s="59" t="e">
        <v>#N/A</v>
      </c>
      <c r="P259" s="90">
        <f t="shared" ref="P259:P284" si="7">IF($M259="µg",$K259/$L259, NA())</f>
        <v>164.3333333333332</v>
      </c>
      <c r="Q259" s="87" t="s">
        <v>424</v>
      </c>
      <c r="R259" s="91"/>
    </row>
    <row r="260" spans="1:18" ht="15" x14ac:dyDescent="0.2">
      <c r="A260" t="s">
        <v>395</v>
      </c>
      <c r="B260" t="s">
        <v>390</v>
      </c>
      <c r="C260" t="s">
        <v>399</v>
      </c>
      <c r="D260" t="s">
        <v>248</v>
      </c>
      <c r="E260">
        <v>91.7</v>
      </c>
      <c r="F260">
        <v>94.199999999999903</v>
      </c>
      <c r="G260">
        <v>88.7</v>
      </c>
      <c r="K260" s="89">
        <f t="shared" si="6"/>
        <v>91.533333333333303</v>
      </c>
      <c r="L260" s="25">
        <v>0.5</v>
      </c>
      <c r="M260" s="75" t="s">
        <v>423</v>
      </c>
      <c r="N260" s="58"/>
      <c r="O260" s="59" t="e">
        <v>#N/A</v>
      </c>
      <c r="P260" s="90">
        <f t="shared" si="7"/>
        <v>183.06666666666661</v>
      </c>
      <c r="Q260" s="87" t="s">
        <v>424</v>
      </c>
      <c r="R260" s="91"/>
    </row>
    <row r="261" spans="1:18" ht="15" x14ac:dyDescent="0.2">
      <c r="A261" t="s">
        <v>396</v>
      </c>
      <c r="B261" t="s">
        <v>390</v>
      </c>
      <c r="C261" t="s">
        <v>399</v>
      </c>
      <c r="D261" t="s">
        <v>248</v>
      </c>
      <c r="E261">
        <v>3.5</v>
      </c>
      <c r="F261">
        <v>3.5</v>
      </c>
      <c r="G261">
        <v>0</v>
      </c>
      <c r="K261" s="89">
        <f t="shared" si="6"/>
        <v>2.3333333333333335</v>
      </c>
      <c r="L261" s="25">
        <v>0.5</v>
      </c>
      <c r="M261" s="75" t="s">
        <v>423</v>
      </c>
      <c r="N261" s="58"/>
      <c r="O261" s="59" t="e">
        <v>#N/A</v>
      </c>
      <c r="P261" s="90">
        <f t="shared" si="7"/>
        <v>4.666666666666667</v>
      </c>
      <c r="Q261" s="87" t="s">
        <v>424</v>
      </c>
      <c r="R261" s="91"/>
    </row>
    <row r="262" spans="1:18" ht="15" x14ac:dyDescent="0.2">
      <c r="A262" t="s">
        <v>432</v>
      </c>
      <c r="B262" t="s">
        <v>390</v>
      </c>
      <c r="C262" t="s">
        <v>399</v>
      </c>
      <c r="D262" t="s">
        <v>248</v>
      </c>
      <c r="E262">
        <v>86.2</v>
      </c>
      <c r="F262">
        <v>86.2</v>
      </c>
      <c r="G262">
        <v>85.9</v>
      </c>
      <c r="K262" s="89">
        <f t="shared" si="6"/>
        <v>86.100000000000009</v>
      </c>
      <c r="L262" s="25">
        <v>0.5</v>
      </c>
      <c r="M262" s="75" t="s">
        <v>423</v>
      </c>
      <c r="N262" s="58"/>
      <c r="O262" s="59" t="e">
        <v>#N/A</v>
      </c>
      <c r="P262" s="90">
        <f t="shared" si="7"/>
        <v>172.20000000000002</v>
      </c>
      <c r="Q262" s="87" t="s">
        <v>424</v>
      </c>
      <c r="R262" s="91"/>
    </row>
    <row r="263" spans="1:18" ht="15" x14ac:dyDescent="0.2">
      <c r="A263" t="s">
        <v>270</v>
      </c>
      <c r="B263" t="s">
        <v>390</v>
      </c>
      <c r="C263" t="s">
        <v>399</v>
      </c>
      <c r="D263" t="s">
        <v>267</v>
      </c>
      <c r="E263">
        <v>2.2999999999999998</v>
      </c>
      <c r="F263">
        <v>3.4</v>
      </c>
      <c r="G263">
        <v>7</v>
      </c>
      <c r="K263" s="89">
        <f t="shared" si="6"/>
        <v>4.2333333333333334</v>
      </c>
      <c r="L263" s="25">
        <v>0.5</v>
      </c>
      <c r="M263" s="75" t="s">
        <v>423</v>
      </c>
      <c r="N263" s="58"/>
      <c r="O263" s="59" t="e">
        <v>#N/A</v>
      </c>
      <c r="P263" s="90">
        <f t="shared" si="7"/>
        <v>8.4666666666666668</v>
      </c>
      <c r="Q263" s="87" t="s">
        <v>424</v>
      </c>
      <c r="R263" s="91" t="s">
        <v>4</v>
      </c>
    </row>
    <row r="264" spans="1:18" ht="15" x14ac:dyDescent="0.2">
      <c r="A264" t="s">
        <v>277</v>
      </c>
      <c r="B264" t="s">
        <v>390</v>
      </c>
      <c r="C264" t="s">
        <v>399</v>
      </c>
      <c r="D264" t="s">
        <v>267</v>
      </c>
      <c r="E264">
        <v>49.2</v>
      </c>
      <c r="F264">
        <v>49.7</v>
      </c>
      <c r="G264">
        <v>51.3</v>
      </c>
      <c r="K264" s="89">
        <f t="shared" si="6"/>
        <v>50.066666666666663</v>
      </c>
      <c r="L264" s="25">
        <v>0.5</v>
      </c>
      <c r="M264" s="75" t="s">
        <v>423</v>
      </c>
      <c r="N264" s="58"/>
      <c r="O264" s="59" t="e">
        <v>#N/A</v>
      </c>
      <c r="P264" s="90">
        <f t="shared" si="7"/>
        <v>100.13333333333333</v>
      </c>
      <c r="Q264" s="87" t="s">
        <v>424</v>
      </c>
      <c r="R264" s="91" t="s">
        <v>6</v>
      </c>
    </row>
    <row r="265" spans="1:18" ht="15" x14ac:dyDescent="0.2">
      <c r="A265" t="s">
        <v>266</v>
      </c>
      <c r="B265" t="s">
        <v>390</v>
      </c>
      <c r="C265" t="s">
        <v>399</v>
      </c>
      <c r="D265" t="s">
        <v>267</v>
      </c>
      <c r="E265">
        <v>65.900000000000006</v>
      </c>
      <c r="F265">
        <v>65.599999999999994</v>
      </c>
      <c r="G265">
        <v>67.7</v>
      </c>
      <c r="K265" s="89">
        <f t="shared" si="6"/>
        <v>66.399999999999991</v>
      </c>
      <c r="L265" s="25">
        <v>0.5</v>
      </c>
      <c r="M265" s="75" t="s">
        <v>423</v>
      </c>
      <c r="N265" s="58"/>
      <c r="O265" s="59" t="e">
        <v>#N/A</v>
      </c>
      <c r="P265" s="90">
        <f t="shared" si="7"/>
        <v>132.79999999999998</v>
      </c>
      <c r="Q265" s="87" t="s">
        <v>424</v>
      </c>
      <c r="R265" s="91" t="s">
        <v>6</v>
      </c>
    </row>
    <row r="266" spans="1:18" ht="15" x14ac:dyDescent="0.2">
      <c r="A266" t="s">
        <v>279</v>
      </c>
      <c r="B266" t="s">
        <v>390</v>
      </c>
      <c r="C266" t="s">
        <v>399</v>
      </c>
      <c r="D266" t="s">
        <v>267</v>
      </c>
      <c r="E266">
        <v>0.8</v>
      </c>
      <c r="F266">
        <v>-0.8</v>
      </c>
      <c r="G266">
        <v>-0.8</v>
      </c>
      <c r="K266" s="89">
        <f t="shared" si="6"/>
        <v>-0.26666666666666666</v>
      </c>
      <c r="L266" s="25">
        <v>0.5</v>
      </c>
      <c r="M266" s="75" t="s">
        <v>423</v>
      </c>
      <c r="N266" s="58"/>
      <c r="O266" s="59" t="e">
        <v>#N/A</v>
      </c>
      <c r="P266" s="90">
        <f t="shared" si="7"/>
        <v>-0.53333333333333333</v>
      </c>
      <c r="Q266" s="87" t="s">
        <v>424</v>
      </c>
      <c r="R266" s="91" t="s">
        <v>4</v>
      </c>
    </row>
    <row r="267" spans="1:18" ht="15" x14ac:dyDescent="0.2">
      <c r="A267" t="s">
        <v>276</v>
      </c>
      <c r="B267" t="s">
        <v>390</v>
      </c>
      <c r="C267" t="s">
        <v>399</v>
      </c>
      <c r="D267" t="s">
        <v>267</v>
      </c>
      <c r="E267">
        <v>3.5999999999999899</v>
      </c>
      <c r="F267">
        <v>5.7</v>
      </c>
      <c r="G267">
        <v>6.5</v>
      </c>
      <c r="K267" s="89">
        <f t="shared" si="6"/>
        <v>5.2666666666666631</v>
      </c>
      <c r="L267" s="25">
        <v>0.5</v>
      </c>
      <c r="M267" s="75" t="s">
        <v>423</v>
      </c>
      <c r="N267" s="58"/>
      <c r="O267" s="59" t="e">
        <v>#N/A</v>
      </c>
      <c r="P267" s="90">
        <f t="shared" si="7"/>
        <v>10.533333333333326</v>
      </c>
      <c r="Q267" s="87" t="s">
        <v>424</v>
      </c>
      <c r="R267" s="91" t="s">
        <v>6</v>
      </c>
    </row>
    <row r="268" spans="1:18" ht="15" x14ac:dyDescent="0.2">
      <c r="A268" t="s">
        <v>275</v>
      </c>
      <c r="B268" t="s">
        <v>390</v>
      </c>
      <c r="C268" t="s">
        <v>399</v>
      </c>
      <c r="D268" t="s">
        <v>267</v>
      </c>
      <c r="E268">
        <v>0.3</v>
      </c>
      <c r="F268">
        <v>2.5</v>
      </c>
      <c r="G268">
        <v>0</v>
      </c>
      <c r="K268" s="89">
        <f t="shared" si="6"/>
        <v>0.93333333333333324</v>
      </c>
      <c r="L268" s="25">
        <v>0.5</v>
      </c>
      <c r="M268" s="75" t="s">
        <v>423</v>
      </c>
      <c r="N268" s="58"/>
      <c r="O268" s="59" t="e">
        <v>#N/A</v>
      </c>
      <c r="P268" s="90">
        <f t="shared" si="7"/>
        <v>1.8666666666666665</v>
      </c>
      <c r="Q268" s="87" t="s">
        <v>424</v>
      </c>
      <c r="R268" s="91" t="s">
        <v>4</v>
      </c>
    </row>
    <row r="269" spans="1:18" ht="15" x14ac:dyDescent="0.2">
      <c r="A269" t="s">
        <v>271</v>
      </c>
      <c r="B269" t="s">
        <v>390</v>
      </c>
      <c r="C269" t="s">
        <v>399</v>
      </c>
      <c r="D269" t="s">
        <v>267</v>
      </c>
      <c r="E269">
        <v>17.399999999999999</v>
      </c>
      <c r="F269">
        <v>17.2</v>
      </c>
      <c r="G269">
        <v>17.399999999999999</v>
      </c>
      <c r="K269" s="89">
        <f t="shared" si="6"/>
        <v>17.333333333333332</v>
      </c>
      <c r="L269" s="25">
        <v>0.5</v>
      </c>
      <c r="M269" s="75" t="s">
        <v>423</v>
      </c>
      <c r="N269" s="58"/>
      <c r="O269" s="59" t="e">
        <v>#N/A</v>
      </c>
      <c r="P269" s="90">
        <f t="shared" si="7"/>
        <v>34.666666666666664</v>
      </c>
      <c r="Q269" s="87" t="s">
        <v>424</v>
      </c>
      <c r="R269" s="91" t="s">
        <v>6</v>
      </c>
    </row>
    <row r="270" spans="1:18" ht="15" x14ac:dyDescent="0.2">
      <c r="A270" t="s">
        <v>274</v>
      </c>
      <c r="B270" t="s">
        <v>390</v>
      </c>
      <c r="C270" t="s">
        <v>399</v>
      </c>
      <c r="D270" t="s">
        <v>267</v>
      </c>
      <c r="E270">
        <v>10.7</v>
      </c>
      <c r="F270">
        <v>8.9</v>
      </c>
      <c r="G270">
        <v>8.3000000000000007</v>
      </c>
      <c r="K270" s="89">
        <f t="shared" si="6"/>
        <v>9.3000000000000007</v>
      </c>
      <c r="L270" s="25">
        <v>0.5</v>
      </c>
      <c r="M270" s="75" t="s">
        <v>423</v>
      </c>
      <c r="N270" s="58"/>
      <c r="O270" s="59" t="e">
        <v>#N/A</v>
      </c>
      <c r="P270" s="90">
        <f t="shared" si="7"/>
        <v>18.600000000000001</v>
      </c>
      <c r="Q270" s="87" t="s">
        <v>424</v>
      </c>
      <c r="R270" s="91" t="s">
        <v>6</v>
      </c>
    </row>
    <row r="271" spans="1:18" ht="15" x14ac:dyDescent="0.2">
      <c r="A271" t="s">
        <v>284</v>
      </c>
      <c r="B271" t="s">
        <v>390</v>
      </c>
      <c r="C271" t="s">
        <v>399</v>
      </c>
      <c r="D271" t="s">
        <v>267</v>
      </c>
      <c r="E271">
        <v>65.599999999999994</v>
      </c>
      <c r="F271">
        <v>65.599999999999994</v>
      </c>
      <c r="G271">
        <v>67.400000000000006</v>
      </c>
      <c r="K271" s="89">
        <f t="shared" si="6"/>
        <v>66.2</v>
      </c>
      <c r="L271" s="25">
        <v>0.5</v>
      </c>
      <c r="M271" s="75" t="s">
        <v>423</v>
      </c>
      <c r="N271" s="58"/>
      <c r="O271" s="59" t="e">
        <v>#N/A</v>
      </c>
      <c r="P271" s="90">
        <f t="shared" si="7"/>
        <v>132.4</v>
      </c>
      <c r="Q271" s="87" t="s">
        <v>424</v>
      </c>
      <c r="R271" s="91" t="s">
        <v>6</v>
      </c>
    </row>
    <row r="272" spans="1:18" ht="15" x14ac:dyDescent="0.2">
      <c r="A272" t="s">
        <v>273</v>
      </c>
      <c r="B272" t="s">
        <v>390</v>
      </c>
      <c r="C272" t="s">
        <v>399</v>
      </c>
      <c r="D272" t="s">
        <v>267</v>
      </c>
      <c r="E272">
        <v>37.799999999999997</v>
      </c>
      <c r="F272">
        <v>42.699999999999903</v>
      </c>
      <c r="G272">
        <v>44.8</v>
      </c>
      <c r="K272" s="89">
        <f t="shared" si="6"/>
        <v>41.76666666666663</v>
      </c>
      <c r="L272" s="25">
        <v>0.5</v>
      </c>
      <c r="M272" s="75" t="s">
        <v>423</v>
      </c>
      <c r="N272" s="58"/>
      <c r="O272" s="59" t="e">
        <v>#N/A</v>
      </c>
      <c r="P272" s="90">
        <f t="shared" si="7"/>
        <v>83.53333333333326</v>
      </c>
      <c r="Q272" s="87" t="s">
        <v>424</v>
      </c>
      <c r="R272" s="91" t="s">
        <v>6</v>
      </c>
    </row>
    <row r="273" spans="1:18" ht="15" x14ac:dyDescent="0.2">
      <c r="A273" t="s">
        <v>282</v>
      </c>
      <c r="B273" t="s">
        <v>390</v>
      </c>
      <c r="C273" t="s">
        <v>399</v>
      </c>
      <c r="D273" t="s">
        <v>267</v>
      </c>
      <c r="E273">
        <v>16.399999999999999</v>
      </c>
      <c r="F273">
        <v>16.899999999999999</v>
      </c>
      <c r="G273">
        <v>19</v>
      </c>
      <c r="K273" s="89">
        <f t="shared" si="6"/>
        <v>17.433333333333334</v>
      </c>
      <c r="L273" s="25">
        <v>0.5</v>
      </c>
      <c r="M273" s="75" t="s">
        <v>423</v>
      </c>
      <c r="N273" s="58"/>
      <c r="O273" s="59" t="e">
        <v>#N/A</v>
      </c>
      <c r="P273" s="90">
        <f t="shared" si="7"/>
        <v>34.866666666666667</v>
      </c>
      <c r="Q273" s="87" t="s">
        <v>424</v>
      </c>
      <c r="R273" s="91" t="s">
        <v>6</v>
      </c>
    </row>
    <row r="274" spans="1:18" ht="15" x14ac:dyDescent="0.2">
      <c r="A274" t="s">
        <v>281</v>
      </c>
      <c r="B274" t="s">
        <v>390</v>
      </c>
      <c r="C274" t="s">
        <v>399</v>
      </c>
      <c r="D274" t="s">
        <v>267</v>
      </c>
      <c r="E274">
        <v>14.0999999999999</v>
      </c>
      <c r="F274">
        <v>20.599999999999898</v>
      </c>
      <c r="G274">
        <v>19.3</v>
      </c>
      <c r="K274" s="89">
        <f t="shared" si="6"/>
        <v>17.999999999999932</v>
      </c>
      <c r="L274" s="25">
        <v>0.5</v>
      </c>
      <c r="M274" s="75" t="s">
        <v>423</v>
      </c>
      <c r="N274" s="58"/>
      <c r="O274" s="59" t="e">
        <v>#N/A</v>
      </c>
      <c r="P274" s="90">
        <f t="shared" si="7"/>
        <v>35.999999999999865</v>
      </c>
      <c r="Q274" s="87" t="s">
        <v>424</v>
      </c>
      <c r="R274" s="91" t="s">
        <v>6</v>
      </c>
    </row>
    <row r="275" spans="1:18" ht="15" x14ac:dyDescent="0.2">
      <c r="A275" t="s">
        <v>268</v>
      </c>
      <c r="B275" t="s">
        <v>390</v>
      </c>
      <c r="C275" t="s">
        <v>399</v>
      </c>
      <c r="D275" t="s">
        <v>267</v>
      </c>
      <c r="E275">
        <v>11.5</v>
      </c>
      <c r="F275">
        <v>13.5</v>
      </c>
      <c r="G275">
        <v>10.9</v>
      </c>
      <c r="K275" s="89">
        <f t="shared" si="6"/>
        <v>11.966666666666667</v>
      </c>
      <c r="L275" s="25">
        <v>0.5</v>
      </c>
      <c r="M275" s="75" t="s">
        <v>423</v>
      </c>
      <c r="N275" s="58"/>
      <c r="O275" s="59" t="e">
        <v>#N/A</v>
      </c>
      <c r="P275" s="90">
        <f t="shared" si="7"/>
        <v>23.933333333333334</v>
      </c>
      <c r="Q275" s="87" t="s">
        <v>424</v>
      </c>
      <c r="R275" s="91" t="s">
        <v>6</v>
      </c>
    </row>
    <row r="276" spans="1:18" ht="15" x14ac:dyDescent="0.2">
      <c r="A276" t="s">
        <v>280</v>
      </c>
      <c r="B276" t="s">
        <v>390</v>
      </c>
      <c r="C276" t="s">
        <v>399</v>
      </c>
      <c r="D276" t="s">
        <v>267</v>
      </c>
      <c r="E276">
        <v>48.4</v>
      </c>
      <c r="F276">
        <v>49</v>
      </c>
      <c r="G276">
        <v>50.5</v>
      </c>
      <c r="K276" s="89">
        <f t="shared" si="6"/>
        <v>49.300000000000004</v>
      </c>
      <c r="L276" s="25">
        <v>0.5</v>
      </c>
      <c r="M276" s="75" t="s">
        <v>423</v>
      </c>
      <c r="N276" s="58"/>
      <c r="O276" s="59" t="e">
        <v>#N/A</v>
      </c>
      <c r="P276" s="90">
        <f t="shared" si="7"/>
        <v>98.600000000000009</v>
      </c>
      <c r="Q276" s="87" t="s">
        <v>424</v>
      </c>
      <c r="R276" s="91" t="s">
        <v>6</v>
      </c>
    </row>
    <row r="277" spans="1:18" ht="15" x14ac:dyDescent="0.2">
      <c r="A277" t="s">
        <v>269</v>
      </c>
      <c r="B277" t="s">
        <v>390</v>
      </c>
      <c r="C277" t="s">
        <v>399</v>
      </c>
      <c r="D277" t="s">
        <v>267</v>
      </c>
      <c r="E277">
        <v>8.1</v>
      </c>
      <c r="F277">
        <v>11.2</v>
      </c>
      <c r="G277">
        <v>0.8</v>
      </c>
      <c r="K277" s="89">
        <f t="shared" si="6"/>
        <v>6.6999999999999993</v>
      </c>
      <c r="L277" s="25">
        <v>0.5</v>
      </c>
      <c r="M277" s="75" t="s">
        <v>423</v>
      </c>
      <c r="N277" s="58"/>
      <c r="O277" s="59" t="e">
        <v>#N/A</v>
      </c>
      <c r="P277" s="90">
        <f t="shared" si="7"/>
        <v>13.399999999999999</v>
      </c>
      <c r="Q277" s="87" t="s">
        <v>424</v>
      </c>
      <c r="R277" s="91" t="s">
        <v>4</v>
      </c>
    </row>
    <row r="278" spans="1:18" ht="15" x14ac:dyDescent="0.2">
      <c r="A278" t="s">
        <v>283</v>
      </c>
      <c r="B278" t="s">
        <v>390</v>
      </c>
      <c r="C278" t="s">
        <v>399</v>
      </c>
      <c r="D278" t="s">
        <v>267</v>
      </c>
      <c r="E278">
        <v>50.5</v>
      </c>
      <c r="F278">
        <v>50.5</v>
      </c>
      <c r="G278">
        <v>74.900000000000006</v>
      </c>
      <c r="K278" s="89">
        <f t="shared" si="6"/>
        <v>58.633333333333333</v>
      </c>
      <c r="L278" s="25">
        <v>0.5</v>
      </c>
      <c r="M278" s="75" t="s">
        <v>423</v>
      </c>
      <c r="N278" s="58"/>
      <c r="O278" s="59" t="e">
        <v>#N/A</v>
      </c>
      <c r="P278" s="90">
        <f t="shared" si="7"/>
        <v>117.26666666666667</v>
      </c>
      <c r="Q278" s="87" t="s">
        <v>424</v>
      </c>
      <c r="R278" s="91" t="s">
        <v>6</v>
      </c>
    </row>
    <row r="279" spans="1:18" ht="15" x14ac:dyDescent="0.2">
      <c r="A279" t="s">
        <v>278</v>
      </c>
      <c r="B279" t="s">
        <v>390</v>
      </c>
      <c r="C279" t="s">
        <v>399</v>
      </c>
      <c r="D279" t="s">
        <v>267</v>
      </c>
      <c r="E279">
        <v>1.5</v>
      </c>
      <c r="F279">
        <v>-4.5</v>
      </c>
      <c r="G279">
        <v>1</v>
      </c>
      <c r="K279" s="89">
        <f t="shared" si="6"/>
        <v>-0.66666666666666663</v>
      </c>
      <c r="L279" s="25">
        <v>0.5</v>
      </c>
      <c r="M279" s="75" t="s">
        <v>423</v>
      </c>
      <c r="N279" s="58"/>
      <c r="O279" s="59" t="e">
        <v>#N/A</v>
      </c>
      <c r="P279" s="90">
        <f t="shared" si="7"/>
        <v>-1.3333333333333333</v>
      </c>
      <c r="Q279" s="87" t="s">
        <v>424</v>
      </c>
      <c r="R279" s="91" t="s">
        <v>4</v>
      </c>
    </row>
    <row r="280" spans="1:18" ht="15" x14ac:dyDescent="0.2">
      <c r="A280" t="s">
        <v>272</v>
      </c>
      <c r="B280" t="s">
        <v>390</v>
      </c>
      <c r="C280" t="s">
        <v>399</v>
      </c>
      <c r="D280" t="s">
        <v>267</v>
      </c>
      <c r="E280">
        <v>9.1</v>
      </c>
      <c r="F280">
        <v>9.1</v>
      </c>
      <c r="G280">
        <v>10.9</v>
      </c>
      <c r="K280" s="89">
        <f t="shared" si="6"/>
        <v>9.7000000000000011</v>
      </c>
      <c r="L280" s="25">
        <v>0.5</v>
      </c>
      <c r="M280" s="75" t="s">
        <v>423</v>
      </c>
      <c r="N280" s="58"/>
      <c r="O280" s="59" t="e">
        <v>#N/A</v>
      </c>
      <c r="P280" s="90">
        <f t="shared" si="7"/>
        <v>19.400000000000002</v>
      </c>
      <c r="Q280" s="87" t="s">
        <v>424</v>
      </c>
      <c r="R280" s="91" t="s">
        <v>6</v>
      </c>
    </row>
    <row r="281" spans="1:18" ht="15" x14ac:dyDescent="0.2">
      <c r="A281" t="s">
        <v>398</v>
      </c>
      <c r="B281" t="s">
        <v>390</v>
      </c>
      <c r="C281" t="s">
        <v>399</v>
      </c>
      <c r="D281" t="s">
        <v>267</v>
      </c>
      <c r="E281">
        <v>83.899999999999906</v>
      </c>
      <c r="F281">
        <v>81</v>
      </c>
      <c r="G281">
        <v>88.3</v>
      </c>
      <c r="K281" s="89">
        <f t="shared" si="6"/>
        <v>84.399999999999977</v>
      </c>
      <c r="L281" s="25">
        <v>0.5</v>
      </c>
      <c r="M281" s="75" t="s">
        <v>423</v>
      </c>
      <c r="N281" s="58"/>
      <c r="O281" s="59" t="e">
        <v>#N/A</v>
      </c>
      <c r="P281" s="90">
        <f t="shared" si="7"/>
        <v>168.79999999999995</v>
      </c>
      <c r="Q281" s="87" t="s">
        <v>424</v>
      </c>
    </row>
    <row r="282" spans="1:18" ht="15" x14ac:dyDescent="0.2">
      <c r="A282" t="s">
        <v>395</v>
      </c>
      <c r="B282" t="s">
        <v>390</v>
      </c>
      <c r="C282" t="s">
        <v>399</v>
      </c>
      <c r="D282" t="s">
        <v>267</v>
      </c>
      <c r="E282">
        <v>94.5</v>
      </c>
      <c r="F282">
        <v>94.5</v>
      </c>
      <c r="G282">
        <v>96.399999999999906</v>
      </c>
      <c r="K282" s="89">
        <f t="shared" si="6"/>
        <v>95.133333333333312</v>
      </c>
      <c r="L282" s="25">
        <v>0.5</v>
      </c>
      <c r="M282" s="75" t="s">
        <v>423</v>
      </c>
      <c r="N282" s="58"/>
      <c r="O282" s="59" t="e">
        <v>#N/A</v>
      </c>
      <c r="P282" s="90">
        <f t="shared" si="7"/>
        <v>190.26666666666662</v>
      </c>
      <c r="Q282" s="87" t="s">
        <v>424</v>
      </c>
    </row>
    <row r="283" spans="1:18" ht="15" x14ac:dyDescent="0.2">
      <c r="A283" t="s">
        <v>396</v>
      </c>
      <c r="B283" t="s">
        <v>390</v>
      </c>
      <c r="C283" t="s">
        <v>399</v>
      </c>
      <c r="D283" t="s">
        <v>267</v>
      </c>
      <c r="E283">
        <v>-1.7999999999999901</v>
      </c>
      <c r="F283">
        <v>-0.8</v>
      </c>
      <c r="G283">
        <v>2.6</v>
      </c>
      <c r="K283" s="89">
        <f t="shared" si="6"/>
        <v>3.4046839421838135E-15</v>
      </c>
      <c r="L283" s="25">
        <v>0.5</v>
      </c>
      <c r="M283" s="75" t="s">
        <v>423</v>
      </c>
      <c r="N283" s="58"/>
      <c r="O283" s="59" t="e">
        <v>#N/A</v>
      </c>
      <c r="P283" s="90">
        <f t="shared" si="7"/>
        <v>6.809367884367627E-15</v>
      </c>
      <c r="Q283" s="87" t="s">
        <v>424</v>
      </c>
    </row>
    <row r="284" spans="1:18" ht="15" x14ac:dyDescent="0.2">
      <c r="A284" t="s">
        <v>432</v>
      </c>
      <c r="B284" t="s">
        <v>390</v>
      </c>
      <c r="C284" t="s">
        <v>399</v>
      </c>
      <c r="D284" t="s">
        <v>267</v>
      </c>
      <c r="E284">
        <v>90.9</v>
      </c>
      <c r="F284">
        <v>91.1</v>
      </c>
      <c r="G284">
        <v>92.2</v>
      </c>
      <c r="K284" s="89">
        <f t="shared" si="6"/>
        <v>91.399999999999991</v>
      </c>
      <c r="L284" s="25">
        <v>0.5</v>
      </c>
      <c r="M284" s="75" t="s">
        <v>423</v>
      </c>
      <c r="N284" s="58"/>
      <c r="O284" s="59" t="e">
        <v>#N/A</v>
      </c>
      <c r="P284" s="90">
        <f t="shared" si="7"/>
        <v>182.79999999999998</v>
      </c>
      <c r="Q284" s="87" t="s">
        <v>424</v>
      </c>
    </row>
    <row r="285" spans="1:18" ht="15" x14ac:dyDescent="0.2">
      <c r="A285" s="53" t="s">
        <v>400</v>
      </c>
      <c r="B285" s="53" t="s">
        <v>390</v>
      </c>
      <c r="C285" s="53"/>
      <c r="D285" s="53" t="s">
        <v>401</v>
      </c>
      <c r="E285" s="60">
        <v>81.2</v>
      </c>
      <c r="F285" s="60">
        <v>95.7</v>
      </c>
      <c r="G285" s="60">
        <v>90.4</v>
      </c>
      <c r="H285" s="60"/>
      <c r="I285" s="60"/>
      <c r="J285" s="60"/>
      <c r="K285" s="56">
        <v>89.1</v>
      </c>
      <c r="L285" s="25">
        <v>5</v>
      </c>
      <c r="M285" s="16" t="s">
        <v>402</v>
      </c>
      <c r="N285" s="59" t="e">
        <v>#N/A</v>
      </c>
      <c r="O285" s="58">
        <v>17.82</v>
      </c>
    </row>
    <row r="286" spans="1:18" ht="15" x14ac:dyDescent="0.2">
      <c r="A286" s="53" t="s">
        <v>395</v>
      </c>
      <c r="B286" s="53" t="s">
        <v>390</v>
      </c>
      <c r="C286" s="53"/>
      <c r="D286" s="53" t="s">
        <v>401</v>
      </c>
      <c r="E286" s="60">
        <v>100</v>
      </c>
      <c r="F286" s="60">
        <v>100</v>
      </c>
      <c r="G286" s="60">
        <v>100</v>
      </c>
      <c r="H286" s="60"/>
      <c r="I286" s="60"/>
      <c r="J286" s="60"/>
      <c r="K286" s="56">
        <v>100</v>
      </c>
      <c r="L286" s="25">
        <v>5</v>
      </c>
      <c r="M286" s="16" t="s">
        <v>402</v>
      </c>
      <c r="N286" s="59" t="e">
        <v>#N/A</v>
      </c>
      <c r="O286" s="58">
        <v>20</v>
      </c>
    </row>
    <row r="287" spans="1:18" ht="15" x14ac:dyDescent="0.2">
      <c r="A287" s="53" t="s">
        <v>403</v>
      </c>
      <c r="B287" s="53" t="s">
        <v>390</v>
      </c>
      <c r="C287" s="53"/>
      <c r="D287" s="53" t="s">
        <v>401</v>
      </c>
      <c r="E287" s="60">
        <v>89.1</v>
      </c>
      <c r="F287" s="60">
        <v>35.4</v>
      </c>
      <c r="G287" s="60">
        <v>32.1</v>
      </c>
      <c r="H287" s="60"/>
      <c r="I287" s="60"/>
      <c r="J287" s="60"/>
      <c r="K287" s="56">
        <v>52.2</v>
      </c>
      <c r="L287" s="25">
        <v>5</v>
      </c>
      <c r="M287" s="16" t="s">
        <v>402</v>
      </c>
      <c r="N287" s="59" t="e">
        <v>#N/A</v>
      </c>
      <c r="O287" s="58">
        <v>10.44</v>
      </c>
    </row>
    <row r="288" spans="1:18" ht="15" x14ac:dyDescent="0.2">
      <c r="A288" s="53" t="s">
        <v>404</v>
      </c>
      <c r="B288" s="53" t="s">
        <v>390</v>
      </c>
      <c r="C288" s="53"/>
      <c r="D288" s="53" t="s">
        <v>401</v>
      </c>
      <c r="E288" s="60">
        <v>100</v>
      </c>
      <c r="F288" s="60">
        <v>100</v>
      </c>
      <c r="G288" s="60">
        <v>96.4</v>
      </c>
      <c r="H288" s="60"/>
      <c r="I288" s="60"/>
      <c r="J288" s="60"/>
      <c r="K288" s="56">
        <v>98.8</v>
      </c>
      <c r="L288" s="25">
        <v>5</v>
      </c>
      <c r="M288" s="16" t="s">
        <v>402</v>
      </c>
      <c r="N288" s="59" t="e">
        <v>#N/A</v>
      </c>
      <c r="O288" s="58">
        <v>19.760000000000002</v>
      </c>
    </row>
    <row r="289" spans="1:15" ht="15" x14ac:dyDescent="0.2">
      <c r="A289" s="53" t="s">
        <v>405</v>
      </c>
      <c r="B289" s="53" t="s">
        <v>390</v>
      </c>
      <c r="C289" s="53"/>
      <c r="D289" s="53" t="s">
        <v>401</v>
      </c>
      <c r="E289" s="60">
        <v>2.7</v>
      </c>
      <c r="F289" s="60">
        <v>2.7</v>
      </c>
      <c r="G289" s="60">
        <v>0</v>
      </c>
      <c r="H289" s="60"/>
      <c r="I289" s="60"/>
      <c r="J289" s="60"/>
      <c r="K289" s="56">
        <v>1.8</v>
      </c>
      <c r="L289" s="25">
        <v>5</v>
      </c>
      <c r="M289" s="16" t="s">
        <v>402</v>
      </c>
      <c r="N289" s="59" t="e">
        <v>#N/A</v>
      </c>
      <c r="O289" s="58">
        <v>0.36</v>
      </c>
    </row>
    <row r="290" spans="1:15" ht="15" x14ac:dyDescent="0.2">
      <c r="A290" s="53" t="s">
        <v>398</v>
      </c>
      <c r="B290" s="53" t="s">
        <v>390</v>
      </c>
      <c r="C290" s="53"/>
      <c r="D290" s="53" t="s">
        <v>401</v>
      </c>
      <c r="E290" s="60">
        <v>100</v>
      </c>
      <c r="F290" s="60">
        <v>100</v>
      </c>
      <c r="G290" s="60">
        <v>100</v>
      </c>
      <c r="H290" s="60"/>
      <c r="I290" s="60"/>
      <c r="J290" s="60"/>
      <c r="K290" s="56">
        <v>100</v>
      </c>
      <c r="L290" s="25">
        <v>5</v>
      </c>
      <c r="M290" s="16" t="s">
        <v>402</v>
      </c>
      <c r="N290" s="59" t="e">
        <v>#N/A</v>
      </c>
      <c r="O290" s="58">
        <v>20</v>
      </c>
    </row>
    <row r="291" spans="1:15" ht="15" x14ac:dyDescent="0.2">
      <c r="A291" s="53" t="s">
        <v>406</v>
      </c>
      <c r="B291" s="53" t="s">
        <v>390</v>
      </c>
      <c r="C291" s="53"/>
      <c r="D291" s="53" t="s">
        <v>401</v>
      </c>
      <c r="E291" s="60">
        <v>0</v>
      </c>
      <c r="F291" s="60">
        <v>0</v>
      </c>
      <c r="G291" s="60">
        <v>0</v>
      </c>
      <c r="H291" s="60"/>
      <c r="I291" s="60"/>
      <c r="J291" s="60"/>
      <c r="K291" s="56">
        <v>0</v>
      </c>
      <c r="L291" s="25">
        <v>5</v>
      </c>
      <c r="M291" s="16" t="s">
        <v>402</v>
      </c>
      <c r="N291" s="59" t="e">
        <v>#N/A</v>
      </c>
      <c r="O291" s="58">
        <v>0</v>
      </c>
    </row>
    <row r="292" spans="1:15" ht="15" x14ac:dyDescent="0.2">
      <c r="A292" s="53" t="s">
        <v>396</v>
      </c>
      <c r="B292" s="53" t="s">
        <v>390</v>
      </c>
      <c r="C292" s="53"/>
      <c r="D292" s="53" t="s">
        <v>401</v>
      </c>
      <c r="E292" s="60">
        <v>0</v>
      </c>
      <c r="F292" s="60">
        <v>0.8</v>
      </c>
      <c r="G292" s="60">
        <v>0</v>
      </c>
      <c r="H292" s="60"/>
      <c r="I292" s="60"/>
      <c r="J292" s="60"/>
      <c r="K292" s="56">
        <v>0.26666699999999999</v>
      </c>
      <c r="L292" s="25">
        <v>5</v>
      </c>
      <c r="M292" s="16" t="s">
        <v>402</v>
      </c>
      <c r="N292" s="59" t="e">
        <v>#N/A</v>
      </c>
      <c r="O292" s="58">
        <v>5.3332999999999998E-2</v>
      </c>
    </row>
    <row r="293" spans="1:15" ht="15" x14ac:dyDescent="0.2">
      <c r="A293" s="53" t="s">
        <v>407</v>
      </c>
      <c r="B293" s="53" t="s">
        <v>390</v>
      </c>
      <c r="C293" s="53"/>
      <c r="D293" s="53" t="s">
        <v>401</v>
      </c>
      <c r="E293" s="60">
        <v>0</v>
      </c>
      <c r="F293" s="60">
        <v>0</v>
      </c>
      <c r="G293" s="60">
        <v>0</v>
      </c>
      <c r="H293" s="60"/>
      <c r="I293" s="60"/>
      <c r="J293" s="60"/>
      <c r="K293" s="56">
        <v>0</v>
      </c>
      <c r="L293" s="25">
        <v>5</v>
      </c>
      <c r="M293" s="16" t="s">
        <v>402</v>
      </c>
      <c r="N293" s="59" t="e">
        <v>#N/A</v>
      </c>
      <c r="O293" s="58">
        <v>0</v>
      </c>
    </row>
    <row r="294" spans="1:15" ht="15" x14ac:dyDescent="0.2">
      <c r="A294" s="53" t="s">
        <v>408</v>
      </c>
      <c r="B294" s="53" t="s">
        <v>390</v>
      </c>
      <c r="C294" s="53"/>
      <c r="D294" s="53" t="s">
        <v>401</v>
      </c>
      <c r="E294" s="60">
        <v>8</v>
      </c>
      <c r="F294" s="60">
        <v>6.7</v>
      </c>
      <c r="G294" s="60">
        <v>-7.8</v>
      </c>
      <c r="H294" s="60"/>
      <c r="I294" s="60"/>
      <c r="J294" s="60"/>
      <c r="K294" s="56">
        <v>2.2999999999999998</v>
      </c>
      <c r="L294" s="25">
        <v>5</v>
      </c>
      <c r="M294" s="16" t="s">
        <v>402</v>
      </c>
      <c r="N294" s="59" t="e">
        <v>#N/A</v>
      </c>
      <c r="O294" s="58">
        <v>0.46</v>
      </c>
    </row>
    <row r="295" spans="1:15" ht="15" x14ac:dyDescent="0.2">
      <c r="A295" s="53" t="s">
        <v>409</v>
      </c>
      <c r="B295" s="53" t="s">
        <v>390</v>
      </c>
      <c r="C295" s="53"/>
      <c r="D295" s="53" t="s">
        <v>401</v>
      </c>
      <c r="E295" s="60">
        <v>88.5</v>
      </c>
      <c r="F295" s="60">
        <v>80.2</v>
      </c>
      <c r="G295" s="60">
        <v>61.8</v>
      </c>
      <c r="H295" s="60"/>
      <c r="I295" s="60"/>
      <c r="J295" s="60"/>
      <c r="K295" s="56">
        <v>76.833330000000004</v>
      </c>
      <c r="L295" s="25">
        <v>5</v>
      </c>
      <c r="M295" s="16" t="s">
        <v>402</v>
      </c>
      <c r="N295" s="59" t="e">
        <v>#N/A</v>
      </c>
      <c r="O295" s="58">
        <v>15.366669999999999</v>
      </c>
    </row>
  </sheetData>
  <phoneticPr fontId="2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F5C12-3E53-4601-8AE6-CD921F694764}">
  <dimension ref="A1:P312"/>
  <sheetViews>
    <sheetView zoomScale="109" zoomScaleNormal="55" workbookViewId="0">
      <selection activeCell="T36" sqref="T36"/>
    </sheetView>
  </sheetViews>
  <sheetFormatPr baseColWidth="10" defaultColWidth="8.83203125" defaultRowHeight="13" x14ac:dyDescent="0.15"/>
  <cols>
    <col min="1" max="1" width="25.6640625" customWidth="1"/>
    <col min="4" max="4" width="21.5" customWidth="1"/>
    <col min="5" max="5" width="11" customWidth="1"/>
    <col min="6" max="6" width="10.83203125" customWidth="1"/>
    <col min="7" max="7" width="13.6640625" customWidth="1"/>
    <col min="9" max="9" width="15.33203125" customWidth="1"/>
    <col min="12" max="12" width="16.33203125" customWidth="1"/>
    <col min="13" max="13" width="26.5" customWidth="1"/>
    <col min="14" max="14" width="16.6640625" customWidth="1"/>
  </cols>
  <sheetData>
    <row r="1" spans="1:16" x14ac:dyDescent="0.15">
      <c r="A1" s="50" t="s">
        <v>379</v>
      </c>
      <c r="B1" s="50" t="s">
        <v>380</v>
      </c>
      <c r="C1" s="50" t="s">
        <v>381</v>
      </c>
      <c r="D1" s="50" t="s">
        <v>1</v>
      </c>
      <c r="E1" s="51" t="s">
        <v>382</v>
      </c>
      <c r="F1" s="51" t="s">
        <v>383</v>
      </c>
      <c r="G1" s="51" t="s">
        <v>384</v>
      </c>
      <c r="H1" s="51" t="s">
        <v>410</v>
      </c>
      <c r="I1" s="88" t="s">
        <v>385</v>
      </c>
      <c r="J1" s="51" t="s">
        <v>386</v>
      </c>
      <c r="K1" s="51" t="s">
        <v>387</v>
      </c>
      <c r="L1" s="51" t="s">
        <v>411</v>
      </c>
      <c r="M1" s="63" t="s">
        <v>388</v>
      </c>
      <c r="N1" s="63" t="s">
        <v>421</v>
      </c>
      <c r="O1" s="51" t="s">
        <v>422</v>
      </c>
      <c r="P1" s="51" t="s">
        <v>433</v>
      </c>
    </row>
    <row r="2" spans="1:16" ht="15" x14ac:dyDescent="0.2">
      <c r="A2" s="64" t="s">
        <v>68</v>
      </c>
      <c r="B2" s="65" t="s">
        <v>362</v>
      </c>
      <c r="C2" s="65" t="s">
        <v>391</v>
      </c>
      <c r="D2" s="65" t="s">
        <v>119</v>
      </c>
      <c r="E2" s="55">
        <v>-5.2359999999999997E-2</v>
      </c>
      <c r="F2" s="55">
        <v>-3.388E-2</v>
      </c>
      <c r="G2" s="55">
        <v>9.2399999999999999E-3</v>
      </c>
      <c r="H2" s="65"/>
      <c r="I2" s="62">
        <f t="shared" ref="I2:I83" si="0">AVERAGE(E2:H2)</f>
        <v>-2.5666666666666667E-2</v>
      </c>
      <c r="J2" s="66">
        <v>2</v>
      </c>
      <c r="K2" s="16" t="s">
        <v>392</v>
      </c>
      <c r="L2" s="61" t="s">
        <v>412</v>
      </c>
      <c r="M2" s="62">
        <f>IF($K2="µl",$I2/$J2, NA())</f>
        <v>-1.2833333333333334E-2</v>
      </c>
      <c r="N2" s="62" t="e">
        <f>IF($K2="µg",$I2/$J2, NA())</f>
        <v>#N/A</v>
      </c>
      <c r="P2" t="s">
        <v>4</v>
      </c>
    </row>
    <row r="3" spans="1:16" ht="15" x14ac:dyDescent="0.2">
      <c r="A3" s="64" t="s">
        <v>70</v>
      </c>
      <c r="B3" s="65" t="s">
        <v>362</v>
      </c>
      <c r="C3" s="65" t="s">
        <v>391</v>
      </c>
      <c r="D3" s="65" t="s">
        <v>119</v>
      </c>
      <c r="E3" s="55">
        <v>-7.6999999999999999E-2</v>
      </c>
      <c r="F3" s="55">
        <v>4.9279000000000003E-2</v>
      </c>
      <c r="G3" s="55">
        <v>6.4677999999999999E-2</v>
      </c>
      <c r="H3" s="65"/>
      <c r="I3" s="62">
        <f t="shared" si="0"/>
        <v>1.2319000000000002E-2</v>
      </c>
      <c r="J3" s="66">
        <v>2</v>
      </c>
      <c r="K3" s="16" t="s">
        <v>392</v>
      </c>
      <c r="L3" s="61" t="s">
        <v>412</v>
      </c>
      <c r="M3" s="62">
        <f t="shared" ref="M3:M85" si="1">IF(K3="µl",I3/J3, NA())</f>
        <v>6.1595000000000009E-3</v>
      </c>
      <c r="N3" s="62" t="e">
        <f t="shared" ref="N3:N66" si="2">IF($K3="µg",$I3/$J3, NA())</f>
        <v>#N/A</v>
      </c>
      <c r="P3" t="s">
        <v>4</v>
      </c>
    </row>
    <row r="4" spans="1:16" ht="15" x14ac:dyDescent="0.2">
      <c r="A4" s="64" t="s">
        <v>76</v>
      </c>
      <c r="B4" s="65" t="s">
        <v>362</v>
      </c>
      <c r="C4" s="65" t="s">
        <v>391</v>
      </c>
      <c r="D4" s="65" t="s">
        <v>119</v>
      </c>
      <c r="E4" s="55">
        <v>2.7719000000000001E-2</v>
      </c>
      <c r="F4" s="55">
        <v>-0.12936</v>
      </c>
      <c r="G4" s="55">
        <v>0.126277</v>
      </c>
      <c r="H4" s="65"/>
      <c r="I4" s="62">
        <f t="shared" si="0"/>
        <v>8.2119999999999971E-3</v>
      </c>
      <c r="J4" s="66">
        <v>2</v>
      </c>
      <c r="K4" s="16" t="s">
        <v>392</v>
      </c>
      <c r="L4" s="61" t="s">
        <v>412</v>
      </c>
      <c r="M4" s="62">
        <f t="shared" si="1"/>
        <v>4.1059999999999985E-3</v>
      </c>
      <c r="N4" s="62" t="e">
        <f t="shared" si="2"/>
        <v>#N/A</v>
      </c>
      <c r="P4" t="s">
        <v>4</v>
      </c>
    </row>
    <row r="5" spans="1:16" ht="15" x14ac:dyDescent="0.2">
      <c r="A5" s="64" t="s">
        <v>74</v>
      </c>
      <c r="B5" s="65" t="s">
        <v>362</v>
      </c>
      <c r="C5" s="65" t="s">
        <v>391</v>
      </c>
      <c r="D5" s="65" t="s">
        <v>119</v>
      </c>
      <c r="E5" s="55">
        <v>1.3767229999999999</v>
      </c>
      <c r="F5" s="55">
        <v>1.7524729999999999</v>
      </c>
      <c r="G5" s="64"/>
      <c r="H5" s="65"/>
      <c r="I5" s="62">
        <f t="shared" si="0"/>
        <v>1.5645979999999999</v>
      </c>
      <c r="J5" s="66">
        <v>2</v>
      </c>
      <c r="K5" s="16" t="s">
        <v>392</v>
      </c>
      <c r="L5" s="61" t="s">
        <v>412</v>
      </c>
      <c r="M5" s="62">
        <f t="shared" si="1"/>
        <v>0.78229899999999997</v>
      </c>
      <c r="N5" s="62" t="e">
        <f t="shared" si="2"/>
        <v>#N/A</v>
      </c>
      <c r="P5" t="s">
        <v>4</v>
      </c>
    </row>
    <row r="6" spans="1:16" ht="15" x14ac:dyDescent="0.2">
      <c r="A6" s="64" t="s">
        <v>72</v>
      </c>
      <c r="B6" s="65" t="s">
        <v>362</v>
      </c>
      <c r="C6" s="65" t="s">
        <v>391</v>
      </c>
      <c r="D6" s="65" t="s">
        <v>119</v>
      </c>
      <c r="E6" s="55">
        <v>2.1558999999999998E-2</v>
      </c>
      <c r="F6" s="55">
        <v>-6.1599999999999997E-3</v>
      </c>
      <c r="G6" s="55">
        <v>4.3118999999999998E-2</v>
      </c>
      <c r="H6" s="65"/>
      <c r="I6" s="62">
        <f t="shared" si="0"/>
        <v>1.9505999999999999E-2</v>
      </c>
      <c r="J6" s="66">
        <v>2</v>
      </c>
      <c r="K6" s="16" t="s">
        <v>392</v>
      </c>
      <c r="L6" s="61" t="s">
        <v>412</v>
      </c>
      <c r="M6" s="62">
        <f t="shared" si="1"/>
        <v>9.7529999999999995E-3</v>
      </c>
      <c r="N6" s="62" t="e">
        <f t="shared" si="2"/>
        <v>#N/A</v>
      </c>
      <c r="P6" t="s">
        <v>4</v>
      </c>
    </row>
    <row r="7" spans="1:16" ht="15" x14ac:dyDescent="0.2">
      <c r="A7" s="64" t="s">
        <v>66</v>
      </c>
      <c r="B7" s="65" t="s">
        <v>362</v>
      </c>
      <c r="C7" s="65" t="s">
        <v>391</v>
      </c>
      <c r="D7" s="65" t="s">
        <v>119</v>
      </c>
      <c r="E7" s="55">
        <v>-6.7760000000000001E-2</v>
      </c>
      <c r="F7" s="55">
        <v>-0.18787000000000001</v>
      </c>
      <c r="G7" s="55">
        <v>-3.388E-2</v>
      </c>
      <c r="H7" s="65"/>
      <c r="I7" s="62">
        <f t="shared" si="0"/>
        <v>-9.6503333333333344E-2</v>
      </c>
      <c r="J7" s="66">
        <v>2</v>
      </c>
      <c r="K7" s="16" t="s">
        <v>392</v>
      </c>
      <c r="L7" s="61" t="s">
        <v>412</v>
      </c>
      <c r="M7" s="62">
        <f t="shared" si="1"/>
        <v>-4.8251666666666672E-2</v>
      </c>
      <c r="N7" s="62" t="e">
        <f t="shared" si="2"/>
        <v>#N/A</v>
      </c>
      <c r="P7" t="s">
        <v>4</v>
      </c>
    </row>
    <row r="8" spans="1:16" ht="15" x14ac:dyDescent="0.2">
      <c r="A8" s="64" t="s">
        <v>63</v>
      </c>
      <c r="B8" s="65" t="s">
        <v>362</v>
      </c>
      <c r="C8" s="65" t="s">
        <v>391</v>
      </c>
      <c r="D8" s="65" t="s">
        <v>119</v>
      </c>
      <c r="E8" s="55">
        <v>0.77305900000000005</v>
      </c>
      <c r="F8" s="55">
        <v>1.3767229999999999</v>
      </c>
      <c r="G8" s="55">
        <v>1.142649</v>
      </c>
      <c r="H8" s="65"/>
      <c r="I8" s="62">
        <f t="shared" si="0"/>
        <v>1.097477</v>
      </c>
      <c r="J8" s="66">
        <v>2</v>
      </c>
      <c r="K8" s="16" t="s">
        <v>392</v>
      </c>
      <c r="L8" s="61" t="s">
        <v>412</v>
      </c>
      <c r="M8" s="62">
        <f t="shared" si="1"/>
        <v>0.54873850000000002</v>
      </c>
      <c r="N8" s="62" t="e">
        <f t="shared" si="2"/>
        <v>#N/A</v>
      </c>
      <c r="P8" t="s">
        <v>6</v>
      </c>
    </row>
    <row r="9" spans="1:16" ht="15" x14ac:dyDescent="0.2">
      <c r="A9" s="64" t="s">
        <v>62</v>
      </c>
      <c r="B9" s="65" t="s">
        <v>362</v>
      </c>
      <c r="C9" s="65" t="s">
        <v>391</v>
      </c>
      <c r="D9" s="65" t="s">
        <v>119</v>
      </c>
      <c r="E9" s="55">
        <v>2.1005039999999999</v>
      </c>
      <c r="F9" s="55">
        <v>2.6702889999999999</v>
      </c>
      <c r="G9" s="55">
        <v>1.9495880000000001</v>
      </c>
      <c r="H9" s="65"/>
      <c r="I9" s="62">
        <f t="shared" si="0"/>
        <v>2.2401269999999998</v>
      </c>
      <c r="J9" s="66">
        <v>2</v>
      </c>
      <c r="K9" s="16" t="s">
        <v>392</v>
      </c>
      <c r="L9" s="61" t="s">
        <v>412</v>
      </c>
      <c r="M9" s="62">
        <f t="shared" si="1"/>
        <v>1.1200634999999999</v>
      </c>
      <c r="N9" s="62" t="e">
        <f t="shared" si="2"/>
        <v>#N/A</v>
      </c>
      <c r="P9" t="s">
        <v>6</v>
      </c>
    </row>
    <row r="10" spans="1:16" ht="15" x14ac:dyDescent="0.2">
      <c r="A10" s="64" t="s">
        <v>77</v>
      </c>
      <c r="B10" s="65" t="s">
        <v>362</v>
      </c>
      <c r="C10" s="65" t="s">
        <v>391</v>
      </c>
      <c r="D10" s="65" t="s">
        <v>119</v>
      </c>
      <c r="E10" s="55">
        <v>0.132436</v>
      </c>
      <c r="F10" s="55">
        <v>0.249473</v>
      </c>
      <c r="G10" s="55">
        <v>0.10163700000000001</v>
      </c>
      <c r="H10" s="65"/>
      <c r="I10" s="62">
        <f t="shared" si="0"/>
        <v>0.16118200000000002</v>
      </c>
      <c r="J10" s="66">
        <v>2</v>
      </c>
      <c r="K10" s="16" t="s">
        <v>392</v>
      </c>
      <c r="L10" s="61" t="s">
        <v>412</v>
      </c>
      <c r="M10" s="62">
        <f t="shared" si="1"/>
        <v>8.059100000000001E-2</v>
      </c>
      <c r="N10" s="62" t="e">
        <f t="shared" si="2"/>
        <v>#N/A</v>
      </c>
      <c r="P10" t="s">
        <v>4</v>
      </c>
    </row>
    <row r="11" spans="1:16" ht="15" x14ac:dyDescent="0.2">
      <c r="A11" s="64" t="s">
        <v>67</v>
      </c>
      <c r="B11" s="65" t="s">
        <v>362</v>
      </c>
      <c r="C11" s="65" t="s">
        <v>391</v>
      </c>
      <c r="D11" s="65" t="s">
        <v>119</v>
      </c>
      <c r="E11" s="55">
        <v>5.5439000000000002E-2</v>
      </c>
      <c r="F11" s="55">
        <v>-3.0799999999999998E-3</v>
      </c>
      <c r="G11" s="55">
        <v>-2.1559999999999999E-2</v>
      </c>
      <c r="H11" s="65"/>
      <c r="I11" s="62">
        <f t="shared" si="0"/>
        <v>1.0266333333333334E-2</v>
      </c>
      <c r="J11" s="66">
        <v>2</v>
      </c>
      <c r="K11" s="16" t="s">
        <v>392</v>
      </c>
      <c r="L11" s="61" t="s">
        <v>412</v>
      </c>
      <c r="M11" s="62">
        <f t="shared" si="1"/>
        <v>5.133166666666667E-3</v>
      </c>
      <c r="N11" s="62" t="e">
        <f t="shared" si="2"/>
        <v>#N/A</v>
      </c>
      <c r="P11" t="s">
        <v>4</v>
      </c>
    </row>
    <row r="12" spans="1:16" ht="15" x14ac:dyDescent="0.2">
      <c r="A12" s="64" t="s">
        <v>71</v>
      </c>
      <c r="B12" s="65" t="s">
        <v>362</v>
      </c>
      <c r="C12" s="65" t="s">
        <v>391</v>
      </c>
      <c r="D12" s="65" t="s">
        <v>119</v>
      </c>
      <c r="E12" s="55">
        <v>-7.392E-2</v>
      </c>
      <c r="F12" s="55">
        <v>-0.21251</v>
      </c>
      <c r="G12" s="55">
        <v>-0.15092</v>
      </c>
      <c r="H12" s="65"/>
      <c r="I12" s="62">
        <f t="shared" si="0"/>
        <v>-0.14578333333333335</v>
      </c>
      <c r="J12" s="66">
        <v>2</v>
      </c>
      <c r="K12" s="16" t="s">
        <v>392</v>
      </c>
      <c r="L12" s="61" t="s">
        <v>412</v>
      </c>
      <c r="M12" s="62">
        <f t="shared" si="1"/>
        <v>-7.2891666666666674E-2</v>
      </c>
      <c r="N12" s="62" t="e">
        <f t="shared" si="2"/>
        <v>#N/A</v>
      </c>
      <c r="P12" t="s">
        <v>4</v>
      </c>
    </row>
    <row r="13" spans="1:16" ht="15" x14ac:dyDescent="0.2">
      <c r="A13" s="64" t="s">
        <v>75</v>
      </c>
      <c r="B13" s="65" t="s">
        <v>362</v>
      </c>
      <c r="C13" s="65" t="s">
        <v>391</v>
      </c>
      <c r="D13" s="65" t="s">
        <v>119</v>
      </c>
      <c r="E13" s="55">
        <v>5.8518000000000001E-2</v>
      </c>
      <c r="F13" s="55">
        <v>0.15091599999999999</v>
      </c>
      <c r="G13" s="55">
        <v>-3.388E-2</v>
      </c>
      <c r="H13" s="65"/>
      <c r="I13" s="62">
        <f t="shared" si="0"/>
        <v>5.8518000000000008E-2</v>
      </c>
      <c r="J13" s="66">
        <v>2</v>
      </c>
      <c r="K13" s="16" t="s">
        <v>392</v>
      </c>
      <c r="L13" s="61" t="s">
        <v>412</v>
      </c>
      <c r="M13" s="62">
        <f t="shared" si="1"/>
        <v>2.9259000000000004E-2</v>
      </c>
      <c r="N13" s="62" t="e">
        <f t="shared" si="2"/>
        <v>#N/A</v>
      </c>
      <c r="P13" t="s">
        <v>4</v>
      </c>
    </row>
    <row r="14" spans="1:16" ht="15" x14ac:dyDescent="0.2">
      <c r="A14" s="64" t="s">
        <v>64</v>
      </c>
      <c r="B14" s="65" t="s">
        <v>362</v>
      </c>
      <c r="C14" s="65" t="s">
        <v>391</v>
      </c>
      <c r="D14" s="65" t="s">
        <v>119</v>
      </c>
      <c r="E14" s="55">
        <v>0.65910199999999997</v>
      </c>
      <c r="F14" s="55">
        <v>2.4238949999999999</v>
      </c>
      <c r="G14" s="55">
        <v>2.4854940000000001</v>
      </c>
      <c r="H14" s="65"/>
      <c r="I14" s="62">
        <f t="shared" si="0"/>
        <v>1.8561636666666665</v>
      </c>
      <c r="J14" s="66">
        <v>2</v>
      </c>
      <c r="K14" s="16" t="s">
        <v>392</v>
      </c>
      <c r="L14" s="61" t="s">
        <v>412</v>
      </c>
      <c r="M14" s="62">
        <f t="shared" si="1"/>
        <v>0.92808183333333327</v>
      </c>
      <c r="N14" s="62" t="e">
        <f t="shared" si="2"/>
        <v>#N/A</v>
      </c>
      <c r="P14" t="s">
        <v>6</v>
      </c>
    </row>
    <row r="15" spans="1:16" ht="15" x14ac:dyDescent="0.2">
      <c r="A15" s="64" t="s">
        <v>69</v>
      </c>
      <c r="B15" s="65" t="s">
        <v>362</v>
      </c>
      <c r="C15" s="65" t="s">
        <v>391</v>
      </c>
      <c r="D15" s="65" t="s">
        <v>119</v>
      </c>
      <c r="E15" s="55">
        <v>7.0837999999999998E-2</v>
      </c>
      <c r="F15" s="55">
        <v>2.4639000000000001E-2</v>
      </c>
      <c r="G15" s="55">
        <v>-4.9279999999999997E-2</v>
      </c>
      <c r="H15" s="65"/>
      <c r="I15" s="62">
        <f t="shared" si="0"/>
        <v>1.5399000000000003E-2</v>
      </c>
      <c r="J15" s="66">
        <v>2</v>
      </c>
      <c r="K15" s="16" t="s">
        <v>392</v>
      </c>
      <c r="L15" s="61" t="s">
        <v>412</v>
      </c>
      <c r="M15" s="62">
        <f t="shared" si="1"/>
        <v>7.6995000000000015E-3</v>
      </c>
      <c r="N15" s="62" t="e">
        <f t="shared" si="2"/>
        <v>#N/A</v>
      </c>
      <c r="P15" t="s">
        <v>4</v>
      </c>
    </row>
    <row r="16" spans="1:16" ht="15" x14ac:dyDescent="0.2">
      <c r="A16" s="64" t="s">
        <v>73</v>
      </c>
      <c r="B16" s="65" t="s">
        <v>362</v>
      </c>
      <c r="C16" s="65" t="s">
        <v>391</v>
      </c>
      <c r="D16" s="65" t="s">
        <v>119</v>
      </c>
      <c r="E16" s="55">
        <v>0.60674399999999995</v>
      </c>
      <c r="F16" s="55">
        <v>2.0666250000000002</v>
      </c>
      <c r="G16" s="55">
        <v>1.395203</v>
      </c>
      <c r="H16" s="65"/>
      <c r="I16" s="62">
        <f t="shared" si="0"/>
        <v>1.3561906666666665</v>
      </c>
      <c r="J16" s="66">
        <v>2</v>
      </c>
      <c r="K16" s="16" t="s">
        <v>392</v>
      </c>
      <c r="L16" s="61" t="s">
        <v>412</v>
      </c>
      <c r="M16" s="62">
        <f t="shared" si="1"/>
        <v>0.67809533333333327</v>
      </c>
      <c r="N16" s="62" t="e">
        <f t="shared" si="2"/>
        <v>#N/A</v>
      </c>
      <c r="P16" t="s">
        <v>4</v>
      </c>
    </row>
    <row r="17" spans="1:16" ht="15" x14ac:dyDescent="0.2">
      <c r="A17" s="64" t="s">
        <v>61</v>
      </c>
      <c r="B17" s="65" t="s">
        <v>362</v>
      </c>
      <c r="C17" s="65" t="s">
        <v>391</v>
      </c>
      <c r="D17" s="65" t="s">
        <v>119</v>
      </c>
      <c r="E17" s="55">
        <v>5.2359000000000003E-2</v>
      </c>
      <c r="F17" s="55">
        <v>-4.9279999999999997E-2</v>
      </c>
      <c r="G17" s="55">
        <v>-0.12012</v>
      </c>
      <c r="H17" s="65"/>
      <c r="I17" s="62">
        <f t="shared" si="0"/>
        <v>-3.9013666666666669E-2</v>
      </c>
      <c r="J17" s="66">
        <v>2</v>
      </c>
      <c r="K17" s="16" t="s">
        <v>392</v>
      </c>
      <c r="L17" s="61" t="s">
        <v>412</v>
      </c>
      <c r="M17" s="62">
        <f t="shared" si="1"/>
        <v>-1.9506833333333334E-2</v>
      </c>
      <c r="N17" s="62" t="e">
        <f t="shared" si="2"/>
        <v>#N/A</v>
      </c>
      <c r="P17" t="s">
        <v>6</v>
      </c>
    </row>
    <row r="18" spans="1:16" ht="15" x14ac:dyDescent="0.2">
      <c r="A18" s="64" t="s">
        <v>65</v>
      </c>
      <c r="B18" s="65" t="s">
        <v>362</v>
      </c>
      <c r="C18" s="65" t="s">
        <v>391</v>
      </c>
      <c r="D18" s="65" t="s">
        <v>119</v>
      </c>
      <c r="E18" s="55">
        <v>0.135516</v>
      </c>
      <c r="F18" s="55">
        <v>0.28027299999999999</v>
      </c>
      <c r="G18" s="55">
        <v>-1.848E-2</v>
      </c>
      <c r="H18" s="65"/>
      <c r="I18" s="62">
        <f t="shared" si="0"/>
        <v>0.13243633333333332</v>
      </c>
      <c r="J18" s="66">
        <v>2</v>
      </c>
      <c r="K18" s="16" t="s">
        <v>392</v>
      </c>
      <c r="L18" s="61" t="s">
        <v>412</v>
      </c>
      <c r="M18" s="62">
        <f t="shared" si="1"/>
        <v>6.6218166666666661E-2</v>
      </c>
      <c r="N18" s="62" t="e">
        <f t="shared" si="2"/>
        <v>#N/A</v>
      </c>
      <c r="P18" t="s">
        <v>4</v>
      </c>
    </row>
    <row r="19" spans="1:16" ht="15" x14ac:dyDescent="0.2">
      <c r="A19" s="64" t="s">
        <v>413</v>
      </c>
      <c r="B19" s="65" t="s">
        <v>362</v>
      </c>
      <c r="C19" s="65" t="s">
        <v>391</v>
      </c>
      <c r="D19" s="65" t="s">
        <v>119</v>
      </c>
      <c r="E19" s="55">
        <v>1.49068</v>
      </c>
      <c r="F19" s="55">
        <v>3.3879090000000001</v>
      </c>
      <c r="G19" s="55">
        <v>2.1528619999999998</v>
      </c>
      <c r="H19" s="65"/>
      <c r="I19" s="62">
        <f t="shared" si="0"/>
        <v>2.343817</v>
      </c>
      <c r="J19" s="66">
        <v>2</v>
      </c>
      <c r="K19" s="16" t="s">
        <v>392</v>
      </c>
      <c r="L19" s="61" t="s">
        <v>412</v>
      </c>
      <c r="M19" s="62">
        <f t="shared" si="1"/>
        <v>1.1719085</v>
      </c>
      <c r="N19" s="62" t="e">
        <f t="shared" si="2"/>
        <v>#N/A</v>
      </c>
    </row>
    <row r="20" spans="1:16" ht="15" x14ac:dyDescent="0.2">
      <c r="A20" s="64" t="s">
        <v>396</v>
      </c>
      <c r="B20" s="65" t="s">
        <v>362</v>
      </c>
      <c r="C20" s="65" t="s">
        <v>391</v>
      </c>
      <c r="D20" s="65" t="s">
        <v>119</v>
      </c>
      <c r="E20" s="55">
        <v>-0.16016</v>
      </c>
      <c r="F20" s="55">
        <v>-0.18171999999999999</v>
      </c>
      <c r="G20" s="55">
        <v>-1.54E-2</v>
      </c>
      <c r="H20" s="65"/>
      <c r="I20" s="62">
        <f t="shared" si="0"/>
        <v>-0.11909333333333333</v>
      </c>
      <c r="J20" s="66">
        <v>2</v>
      </c>
      <c r="K20" s="16" t="s">
        <v>392</v>
      </c>
      <c r="L20" s="61" t="s">
        <v>412</v>
      </c>
      <c r="M20" s="62">
        <f t="shared" si="1"/>
        <v>-5.9546666666666664E-2</v>
      </c>
      <c r="N20" s="62" t="e">
        <f t="shared" si="2"/>
        <v>#N/A</v>
      </c>
    </row>
    <row r="21" spans="1:16" ht="15" x14ac:dyDescent="0.2">
      <c r="A21" s="64" t="s">
        <v>43</v>
      </c>
      <c r="B21" s="65" t="s">
        <v>362</v>
      </c>
      <c r="C21" s="65" t="s">
        <v>391</v>
      </c>
      <c r="D21" s="65" t="s">
        <v>3</v>
      </c>
      <c r="E21" s="55">
        <v>-6.8442599999999996E-3</v>
      </c>
      <c r="F21" s="55">
        <v>-0.14885999999999999</v>
      </c>
      <c r="G21" s="55">
        <v>3.5931999999999999E-2</v>
      </c>
      <c r="H21" s="65"/>
      <c r="I21" s="62">
        <f t="shared" si="0"/>
        <v>-3.9924086666666664E-2</v>
      </c>
      <c r="J21" s="66">
        <v>2</v>
      </c>
      <c r="K21" s="16" t="s">
        <v>392</v>
      </c>
      <c r="L21" s="16" t="s">
        <v>412</v>
      </c>
      <c r="M21" s="62">
        <f t="shared" si="1"/>
        <v>-1.9962043333333332E-2</v>
      </c>
      <c r="N21" s="62" t="e">
        <f t="shared" si="2"/>
        <v>#N/A</v>
      </c>
      <c r="P21" t="s">
        <v>4</v>
      </c>
    </row>
    <row r="22" spans="1:16" ht="15" x14ac:dyDescent="0.2">
      <c r="A22" s="64" t="s">
        <v>45</v>
      </c>
      <c r="B22" s="65" t="s">
        <v>362</v>
      </c>
      <c r="C22" s="65" t="s">
        <v>391</v>
      </c>
      <c r="D22" s="65" t="s">
        <v>3</v>
      </c>
      <c r="E22" s="55">
        <v>1.7555529999999999</v>
      </c>
      <c r="F22" s="55">
        <v>1.6272230000000001</v>
      </c>
      <c r="G22" s="55">
        <v>1.5758909999999999</v>
      </c>
      <c r="H22" s="65"/>
      <c r="I22" s="62">
        <f t="shared" si="0"/>
        <v>1.6528890000000001</v>
      </c>
      <c r="J22" s="66">
        <v>2</v>
      </c>
      <c r="K22" s="16" t="s">
        <v>392</v>
      </c>
      <c r="L22" s="16" t="s">
        <v>414</v>
      </c>
      <c r="M22" s="62">
        <f t="shared" si="1"/>
        <v>0.82644450000000003</v>
      </c>
      <c r="N22" s="62" t="e">
        <f t="shared" si="2"/>
        <v>#N/A</v>
      </c>
      <c r="P22" t="s">
        <v>4</v>
      </c>
    </row>
    <row r="23" spans="1:16" ht="15" x14ac:dyDescent="0.2">
      <c r="A23" s="64" t="s">
        <v>47</v>
      </c>
      <c r="B23" s="65" t="s">
        <v>362</v>
      </c>
      <c r="C23" s="65" t="s">
        <v>391</v>
      </c>
      <c r="D23" s="65" t="s">
        <v>3</v>
      </c>
      <c r="E23" s="55">
        <v>-1.54E-2</v>
      </c>
      <c r="F23" s="55">
        <v>-0.17282</v>
      </c>
      <c r="G23" s="55">
        <v>5.4753999999999997E-2</v>
      </c>
      <c r="H23" s="65"/>
      <c r="I23" s="62">
        <f t="shared" si="0"/>
        <v>-4.4488666666666669E-2</v>
      </c>
      <c r="J23" s="66">
        <v>2</v>
      </c>
      <c r="K23" s="16" t="s">
        <v>392</v>
      </c>
      <c r="L23" s="16" t="s">
        <v>412</v>
      </c>
      <c r="M23" s="62">
        <f t="shared" si="1"/>
        <v>-2.2244333333333335E-2</v>
      </c>
      <c r="N23" s="62" t="e">
        <f t="shared" si="2"/>
        <v>#N/A</v>
      </c>
      <c r="P23" t="s">
        <v>4</v>
      </c>
    </row>
    <row r="24" spans="1:16" ht="15" x14ac:dyDescent="0.2">
      <c r="A24" s="64" t="s">
        <v>51</v>
      </c>
      <c r="B24" s="65" t="s">
        <v>362</v>
      </c>
      <c r="C24" s="65" t="s">
        <v>391</v>
      </c>
      <c r="D24" s="65" t="s">
        <v>3</v>
      </c>
      <c r="E24" s="55">
        <v>0.92226399999999997</v>
      </c>
      <c r="F24" s="55">
        <v>0.12661900000000001</v>
      </c>
      <c r="G24" s="55">
        <v>0.33707999999999999</v>
      </c>
      <c r="H24" s="65"/>
      <c r="I24" s="62">
        <f t="shared" si="0"/>
        <v>0.46198766666666669</v>
      </c>
      <c r="J24" s="66">
        <v>2</v>
      </c>
      <c r="K24" s="16" t="s">
        <v>392</v>
      </c>
      <c r="L24" s="16" t="s">
        <v>412</v>
      </c>
      <c r="M24" s="62">
        <f t="shared" si="1"/>
        <v>0.23099383333333334</v>
      </c>
      <c r="N24" s="62" t="e">
        <f t="shared" si="2"/>
        <v>#N/A</v>
      </c>
      <c r="P24" t="s">
        <v>6</v>
      </c>
    </row>
    <row r="25" spans="1:16" ht="15" x14ac:dyDescent="0.2">
      <c r="A25" s="64" t="s">
        <v>49</v>
      </c>
      <c r="B25" s="65" t="s">
        <v>362</v>
      </c>
      <c r="C25" s="65" t="s">
        <v>391</v>
      </c>
      <c r="D25" s="65" t="s">
        <v>3</v>
      </c>
      <c r="E25" s="55">
        <v>0.24297099999999999</v>
      </c>
      <c r="F25" s="55">
        <v>1.7110000000000001E-3</v>
      </c>
      <c r="G25" s="55">
        <v>0.162551</v>
      </c>
      <c r="H25" s="65"/>
      <c r="I25" s="62">
        <f t="shared" si="0"/>
        <v>0.13574433333333333</v>
      </c>
      <c r="J25" s="66">
        <v>2</v>
      </c>
      <c r="K25" s="16" t="s">
        <v>392</v>
      </c>
      <c r="L25" s="16" t="s">
        <v>412</v>
      </c>
      <c r="M25" s="62">
        <f t="shared" si="1"/>
        <v>6.7872166666666664E-2</v>
      </c>
      <c r="N25" s="62" t="e">
        <f t="shared" si="2"/>
        <v>#N/A</v>
      </c>
      <c r="P25" t="s">
        <v>6</v>
      </c>
    </row>
    <row r="26" spans="1:16" ht="15" x14ac:dyDescent="0.2">
      <c r="A26" s="64" t="s">
        <v>53</v>
      </c>
      <c r="B26" s="65" t="s">
        <v>362</v>
      </c>
      <c r="C26" s="65" t="s">
        <v>391</v>
      </c>
      <c r="D26" s="65" t="s">
        <v>3</v>
      </c>
      <c r="E26" s="55">
        <v>0.86751</v>
      </c>
      <c r="F26" s="55">
        <v>0.72891399999999995</v>
      </c>
      <c r="G26" s="55">
        <v>0.63993800000000001</v>
      </c>
      <c r="H26" s="65"/>
      <c r="I26" s="62">
        <f t="shared" si="0"/>
        <v>0.74545399999999995</v>
      </c>
      <c r="J26" s="66">
        <v>2</v>
      </c>
      <c r="K26" s="16" t="s">
        <v>392</v>
      </c>
      <c r="L26" s="16" t="s">
        <v>414</v>
      </c>
      <c r="M26" s="62">
        <f t="shared" si="1"/>
        <v>0.37272699999999997</v>
      </c>
      <c r="N26" s="62" t="e">
        <f t="shared" si="2"/>
        <v>#N/A</v>
      </c>
      <c r="P26" t="s">
        <v>6</v>
      </c>
    </row>
    <row r="27" spans="1:16" ht="15" x14ac:dyDescent="0.2">
      <c r="A27" s="64" t="s">
        <v>56</v>
      </c>
      <c r="B27" s="65" t="s">
        <v>362</v>
      </c>
      <c r="C27" s="65" t="s">
        <v>391</v>
      </c>
      <c r="D27" s="65" t="s">
        <v>3</v>
      </c>
      <c r="E27" s="55">
        <v>2.2449180000000002</v>
      </c>
      <c r="F27" s="55">
        <v>2.2380740000000001</v>
      </c>
      <c r="G27" s="55">
        <v>2.3253379999999999</v>
      </c>
      <c r="H27" s="65"/>
      <c r="I27" s="62">
        <f t="shared" si="0"/>
        <v>2.2694433333333333</v>
      </c>
      <c r="J27" s="66">
        <v>2</v>
      </c>
      <c r="K27" s="16" t="s">
        <v>392</v>
      </c>
      <c r="L27" s="16" t="s">
        <v>412</v>
      </c>
      <c r="M27" s="62">
        <f t="shared" si="1"/>
        <v>1.1347216666666666</v>
      </c>
      <c r="N27" s="62" t="e">
        <f t="shared" si="2"/>
        <v>#N/A</v>
      </c>
      <c r="P27" t="s">
        <v>6</v>
      </c>
    </row>
    <row r="28" spans="1:16" ht="15" x14ac:dyDescent="0.2">
      <c r="A28" s="64" t="s">
        <v>59</v>
      </c>
      <c r="B28" s="65" t="s">
        <v>362</v>
      </c>
      <c r="C28" s="65" t="s">
        <v>391</v>
      </c>
      <c r="D28" s="65" t="s">
        <v>3</v>
      </c>
      <c r="E28" s="55">
        <v>1.9300820000000001</v>
      </c>
      <c r="F28" s="55">
        <v>2.03959</v>
      </c>
      <c r="G28" s="55">
        <v>2.1662089999999998</v>
      </c>
      <c r="H28" s="65"/>
      <c r="I28" s="62">
        <f t="shared" si="0"/>
        <v>2.0452936666666663</v>
      </c>
      <c r="J28" s="66">
        <v>2</v>
      </c>
      <c r="K28" s="16" t="s">
        <v>392</v>
      </c>
      <c r="L28" s="16" t="s">
        <v>412</v>
      </c>
      <c r="M28" s="62">
        <f t="shared" si="1"/>
        <v>1.0226468333333332</v>
      </c>
      <c r="N28" s="62" t="e">
        <f t="shared" si="2"/>
        <v>#N/A</v>
      </c>
      <c r="P28" t="s">
        <v>6</v>
      </c>
    </row>
    <row r="29" spans="1:16" ht="15" x14ac:dyDescent="0.2">
      <c r="A29" s="64" t="s">
        <v>55</v>
      </c>
      <c r="B29" s="65" t="s">
        <v>362</v>
      </c>
      <c r="C29" s="65" t="s">
        <v>391</v>
      </c>
      <c r="D29" s="65" t="s">
        <v>3</v>
      </c>
      <c r="E29" s="55">
        <v>3.2509999999999997E-2</v>
      </c>
      <c r="F29" s="55">
        <v>-0.23441999999999999</v>
      </c>
      <c r="G29" s="55">
        <v>-0.12833</v>
      </c>
      <c r="H29" s="65"/>
      <c r="I29" s="62">
        <f t="shared" si="0"/>
        <v>-0.11008</v>
      </c>
      <c r="J29" s="66">
        <v>2</v>
      </c>
      <c r="K29" s="16" t="s">
        <v>392</v>
      </c>
      <c r="L29" s="16" t="s">
        <v>412</v>
      </c>
      <c r="M29" s="62">
        <f t="shared" si="1"/>
        <v>-5.5039999999999999E-2</v>
      </c>
      <c r="N29" s="62" t="e">
        <f t="shared" si="2"/>
        <v>#N/A</v>
      </c>
      <c r="P29" t="s">
        <v>4</v>
      </c>
    </row>
    <row r="30" spans="1:16" ht="15" x14ac:dyDescent="0.2">
      <c r="A30" s="64" t="s">
        <v>58</v>
      </c>
      <c r="B30" s="65" t="s">
        <v>362</v>
      </c>
      <c r="C30" s="65" t="s">
        <v>391</v>
      </c>
      <c r="D30" s="65" t="s">
        <v>3</v>
      </c>
      <c r="E30" s="55">
        <v>0.15057400000000001</v>
      </c>
      <c r="F30" s="55">
        <v>-0.22414999999999999</v>
      </c>
      <c r="G30" s="55">
        <v>-0.36103000000000002</v>
      </c>
      <c r="H30" s="65"/>
      <c r="I30" s="62">
        <f t="shared" si="0"/>
        <v>-0.14486866666666667</v>
      </c>
      <c r="J30" s="66">
        <v>2</v>
      </c>
      <c r="K30" s="16" t="s">
        <v>392</v>
      </c>
      <c r="L30" s="16" t="s">
        <v>412</v>
      </c>
      <c r="M30" s="62">
        <f t="shared" si="1"/>
        <v>-7.2434333333333337E-2</v>
      </c>
      <c r="N30" s="62" t="e">
        <f t="shared" si="2"/>
        <v>#N/A</v>
      </c>
      <c r="P30" t="s">
        <v>4</v>
      </c>
    </row>
    <row r="31" spans="1:16" ht="15" x14ac:dyDescent="0.2">
      <c r="A31" s="64" t="s">
        <v>48</v>
      </c>
      <c r="B31" s="65" t="s">
        <v>362</v>
      </c>
      <c r="C31" s="65" t="s">
        <v>391</v>
      </c>
      <c r="D31" s="65" t="s">
        <v>3</v>
      </c>
      <c r="E31" s="55">
        <v>0.715225</v>
      </c>
      <c r="F31" s="55">
        <v>1.1583909999999999</v>
      </c>
      <c r="G31" s="55">
        <v>1.168658</v>
      </c>
      <c r="H31" s="65"/>
      <c r="I31" s="62">
        <f t="shared" si="0"/>
        <v>1.0140913333333332</v>
      </c>
      <c r="J31" s="66">
        <v>20</v>
      </c>
      <c r="K31" s="16" t="s">
        <v>392</v>
      </c>
      <c r="L31" s="16" t="s">
        <v>414</v>
      </c>
      <c r="M31" s="62">
        <f t="shared" si="1"/>
        <v>5.0704566666666659E-2</v>
      </c>
      <c r="N31" s="62" t="e">
        <f t="shared" si="2"/>
        <v>#N/A</v>
      </c>
      <c r="P31" t="s">
        <v>4</v>
      </c>
    </row>
    <row r="32" spans="1:16" ht="15" x14ac:dyDescent="0.2">
      <c r="A32" s="64" t="s">
        <v>52</v>
      </c>
      <c r="B32" s="65" t="s">
        <v>362</v>
      </c>
      <c r="C32" s="65" t="s">
        <v>391</v>
      </c>
      <c r="D32" s="65" t="s">
        <v>3</v>
      </c>
      <c r="E32" s="55">
        <v>3.0799E-2</v>
      </c>
      <c r="F32" s="55">
        <v>-0.60743000000000003</v>
      </c>
      <c r="G32" s="55">
        <v>-0.20874999999999999</v>
      </c>
      <c r="H32" s="65"/>
      <c r="I32" s="62">
        <f t="shared" si="0"/>
        <v>-0.26179366666666665</v>
      </c>
      <c r="J32" s="66">
        <v>20</v>
      </c>
      <c r="K32" s="16" t="s">
        <v>392</v>
      </c>
      <c r="L32" s="16" t="s">
        <v>412</v>
      </c>
      <c r="M32" s="62">
        <f t="shared" si="1"/>
        <v>-1.3089683333333333E-2</v>
      </c>
      <c r="N32" s="62" t="e">
        <f t="shared" si="2"/>
        <v>#N/A</v>
      </c>
      <c r="P32" t="s">
        <v>4</v>
      </c>
    </row>
    <row r="33" spans="1:16" ht="15" x14ac:dyDescent="0.2">
      <c r="A33" s="64" t="s">
        <v>54</v>
      </c>
      <c r="B33" s="65" t="s">
        <v>362</v>
      </c>
      <c r="C33" s="65" t="s">
        <v>391</v>
      </c>
      <c r="D33" s="65" t="s">
        <v>3</v>
      </c>
      <c r="E33" s="55">
        <v>-0.21217</v>
      </c>
      <c r="F33" s="55">
        <v>-0.20533000000000001</v>
      </c>
      <c r="G33" s="55">
        <v>-8.0420000000000005E-2</v>
      </c>
      <c r="H33" s="65"/>
      <c r="I33" s="62">
        <f t="shared" si="0"/>
        <v>-0.16597333333333333</v>
      </c>
      <c r="J33" s="66">
        <v>20</v>
      </c>
      <c r="K33" s="16" t="s">
        <v>392</v>
      </c>
      <c r="L33" s="16" t="s">
        <v>412</v>
      </c>
      <c r="M33" s="62">
        <f t="shared" si="1"/>
        <v>-8.298666666666666E-3</v>
      </c>
      <c r="N33" s="62" t="e">
        <f t="shared" si="2"/>
        <v>#N/A</v>
      </c>
      <c r="P33" t="s">
        <v>4</v>
      </c>
    </row>
    <row r="34" spans="1:16" ht="15" x14ac:dyDescent="0.2">
      <c r="A34" s="64" t="s">
        <v>57</v>
      </c>
      <c r="B34" s="65" t="s">
        <v>362</v>
      </c>
      <c r="C34" s="65" t="s">
        <v>391</v>
      </c>
      <c r="D34" s="65" t="s">
        <v>3</v>
      </c>
      <c r="E34" s="55">
        <v>0.12833</v>
      </c>
      <c r="F34" s="55">
        <v>3.4221000000000001E-2</v>
      </c>
      <c r="G34" s="55">
        <v>9.2397999999999994E-2</v>
      </c>
      <c r="H34" s="65"/>
      <c r="I34" s="62">
        <f t="shared" si="0"/>
        <v>8.4982999999999989E-2</v>
      </c>
      <c r="J34" s="66">
        <v>2</v>
      </c>
      <c r="K34" s="16" t="s">
        <v>392</v>
      </c>
      <c r="L34" s="16" t="s">
        <v>412</v>
      </c>
      <c r="M34" s="62">
        <f t="shared" si="1"/>
        <v>4.2491499999999995E-2</v>
      </c>
      <c r="N34" s="62" t="e">
        <f t="shared" si="2"/>
        <v>#N/A</v>
      </c>
      <c r="P34" t="s">
        <v>4</v>
      </c>
    </row>
    <row r="35" spans="1:16" ht="15" x14ac:dyDescent="0.2">
      <c r="A35" s="64" t="s">
        <v>44</v>
      </c>
      <c r="B35" s="65" t="s">
        <v>362</v>
      </c>
      <c r="C35" s="65" t="s">
        <v>391</v>
      </c>
      <c r="D35" s="65" t="s">
        <v>3</v>
      </c>
      <c r="E35" s="55">
        <v>1.137858</v>
      </c>
      <c r="F35" s="55">
        <v>1.0985039999999999</v>
      </c>
      <c r="G35" s="55">
        <v>1.290143</v>
      </c>
      <c r="H35" s="65"/>
      <c r="I35" s="62">
        <f t="shared" si="0"/>
        <v>1.1755016666666667</v>
      </c>
      <c r="J35" s="66">
        <v>2</v>
      </c>
      <c r="K35" s="16" t="s">
        <v>392</v>
      </c>
      <c r="L35" s="16" t="s">
        <v>412</v>
      </c>
      <c r="M35" s="62">
        <f t="shared" si="1"/>
        <v>0.58775083333333333</v>
      </c>
      <c r="N35" s="62" t="e">
        <f t="shared" si="2"/>
        <v>#N/A</v>
      </c>
      <c r="P35" t="s">
        <v>6</v>
      </c>
    </row>
    <row r="36" spans="1:16" ht="15" x14ac:dyDescent="0.2">
      <c r="A36" s="64" t="s">
        <v>46</v>
      </c>
      <c r="B36" s="65" t="s">
        <v>362</v>
      </c>
      <c r="C36" s="65" t="s">
        <v>391</v>
      </c>
      <c r="D36" s="65" t="s">
        <v>3</v>
      </c>
      <c r="E36" s="55">
        <v>2.2055630000000002</v>
      </c>
      <c r="F36" s="55">
        <v>2.2449180000000002</v>
      </c>
      <c r="G36" s="55">
        <v>2.2004299999999999</v>
      </c>
      <c r="H36" s="65"/>
      <c r="I36" s="62">
        <f t="shared" si="0"/>
        <v>2.2169703333333333</v>
      </c>
      <c r="J36" s="66">
        <v>2</v>
      </c>
      <c r="K36" s="16" t="s">
        <v>392</v>
      </c>
      <c r="L36" s="16" t="s">
        <v>412</v>
      </c>
      <c r="M36" s="62">
        <f t="shared" si="1"/>
        <v>1.1084851666666666</v>
      </c>
      <c r="N36" s="62" t="e">
        <f t="shared" si="2"/>
        <v>#N/A</v>
      </c>
      <c r="P36" t="s">
        <v>6</v>
      </c>
    </row>
    <row r="37" spans="1:16" ht="15" x14ac:dyDescent="0.2">
      <c r="A37" s="64" t="s">
        <v>50</v>
      </c>
      <c r="B37" s="65" t="s">
        <v>362</v>
      </c>
      <c r="C37" s="65" t="s">
        <v>391</v>
      </c>
      <c r="D37" s="65" t="s">
        <v>3</v>
      </c>
      <c r="E37" s="55">
        <v>-2.2239999999999999E-2</v>
      </c>
      <c r="F37" s="55">
        <v>3.4220000000000001E-3</v>
      </c>
      <c r="G37" s="55">
        <v>-1.882E-2</v>
      </c>
      <c r="H37" s="65"/>
      <c r="I37" s="62">
        <f t="shared" si="0"/>
        <v>-1.2546E-2</v>
      </c>
      <c r="J37" s="66">
        <v>2</v>
      </c>
      <c r="K37" s="16" t="s">
        <v>392</v>
      </c>
      <c r="L37" s="16" t="s">
        <v>412</v>
      </c>
      <c r="M37" s="62">
        <f t="shared" si="1"/>
        <v>-6.2729999999999999E-3</v>
      </c>
      <c r="N37" s="62" t="e">
        <f t="shared" si="2"/>
        <v>#N/A</v>
      </c>
      <c r="P37" t="s">
        <v>4</v>
      </c>
    </row>
    <row r="38" spans="1:16" ht="15" x14ac:dyDescent="0.2">
      <c r="A38" s="64" t="s">
        <v>60</v>
      </c>
      <c r="B38" s="65" t="s">
        <v>362</v>
      </c>
      <c r="C38" s="65" t="s">
        <v>391</v>
      </c>
      <c r="D38" s="65" t="s">
        <v>3</v>
      </c>
      <c r="E38" s="55">
        <v>0.87777700000000003</v>
      </c>
      <c r="F38" s="55">
        <v>0.96675199999999994</v>
      </c>
      <c r="G38" s="55">
        <v>0.99412900000000004</v>
      </c>
      <c r="H38" s="65"/>
      <c r="I38" s="62">
        <f t="shared" si="0"/>
        <v>0.94621933333333341</v>
      </c>
      <c r="J38" s="66">
        <v>2</v>
      </c>
      <c r="K38" s="16" t="s">
        <v>392</v>
      </c>
      <c r="L38" s="16" t="s">
        <v>412</v>
      </c>
      <c r="M38" s="62">
        <f t="shared" si="1"/>
        <v>0.47310966666666671</v>
      </c>
      <c r="N38" s="62" t="e">
        <f t="shared" si="2"/>
        <v>#N/A</v>
      </c>
      <c r="P38" t="s">
        <v>4</v>
      </c>
    </row>
    <row r="39" spans="1:16" ht="15" x14ac:dyDescent="0.2">
      <c r="A39" s="64" t="s">
        <v>413</v>
      </c>
      <c r="B39" s="65" t="s">
        <v>362</v>
      </c>
      <c r="C39" s="65" t="s">
        <v>391</v>
      </c>
      <c r="D39" s="65" t="s">
        <v>3</v>
      </c>
      <c r="E39" s="55">
        <v>0.359734</v>
      </c>
      <c r="F39" s="55">
        <v>0.31969500000000001</v>
      </c>
      <c r="G39" s="55">
        <v>0.34187099999999998</v>
      </c>
      <c r="H39" s="65"/>
      <c r="I39" s="62">
        <f t="shared" si="0"/>
        <v>0.34043333333333337</v>
      </c>
      <c r="J39" s="66">
        <v>2</v>
      </c>
      <c r="K39" s="16" t="s">
        <v>392</v>
      </c>
      <c r="L39" s="16" t="s">
        <v>412</v>
      </c>
      <c r="M39" s="62">
        <f t="shared" si="1"/>
        <v>0.17021666666666668</v>
      </c>
      <c r="N39" s="62" t="e">
        <f t="shared" si="2"/>
        <v>#N/A</v>
      </c>
    </row>
    <row r="40" spans="1:16" ht="15" x14ac:dyDescent="0.2">
      <c r="A40" s="64" t="s">
        <v>396</v>
      </c>
      <c r="B40" s="65" t="s">
        <v>362</v>
      </c>
      <c r="C40" s="65" t="s">
        <v>391</v>
      </c>
      <c r="D40" s="65" t="s">
        <v>3</v>
      </c>
      <c r="E40" s="55">
        <v>-6.8440000000000001E-2</v>
      </c>
      <c r="F40" s="55">
        <v>-3.9350000000000003E-2</v>
      </c>
      <c r="G40" s="55">
        <v>-0.11464000000000001</v>
      </c>
      <c r="H40" s="65"/>
      <c r="I40" s="62">
        <f t="shared" si="0"/>
        <v>-7.4143333333333339E-2</v>
      </c>
      <c r="J40" s="66">
        <v>2</v>
      </c>
      <c r="K40" s="16" t="s">
        <v>392</v>
      </c>
      <c r="L40" s="16" t="s">
        <v>412</v>
      </c>
      <c r="M40" s="62">
        <f t="shared" si="1"/>
        <v>-3.7071666666666669E-2</v>
      </c>
      <c r="N40" s="62" t="e">
        <f t="shared" si="2"/>
        <v>#N/A</v>
      </c>
    </row>
    <row r="41" spans="1:16" ht="15" x14ac:dyDescent="0.2">
      <c r="A41" s="55">
        <v>2491</v>
      </c>
      <c r="B41" s="65" t="s">
        <v>362</v>
      </c>
      <c r="C41" s="65" t="s">
        <v>391</v>
      </c>
      <c r="D41" s="65" t="s">
        <v>23</v>
      </c>
      <c r="E41" s="55">
        <v>-9.425E-2</v>
      </c>
      <c r="F41" s="55">
        <v>-0.15892000000000001</v>
      </c>
      <c r="G41" s="55">
        <v>-0.12381</v>
      </c>
      <c r="H41" s="65"/>
      <c r="I41" s="62">
        <f t="shared" si="0"/>
        <v>-0.12565999999999999</v>
      </c>
      <c r="J41" s="66">
        <v>20</v>
      </c>
      <c r="K41" s="16" t="s">
        <v>392</v>
      </c>
      <c r="L41" s="16" t="s">
        <v>412</v>
      </c>
      <c r="M41" s="62">
        <f t="shared" si="1"/>
        <v>-6.2829999999999995E-3</v>
      </c>
      <c r="N41" s="62" t="e">
        <f t="shared" si="2"/>
        <v>#N/A</v>
      </c>
      <c r="P41" t="s">
        <v>4</v>
      </c>
    </row>
    <row r="42" spans="1:16" ht="15" x14ac:dyDescent="0.2">
      <c r="A42" s="55">
        <v>2568</v>
      </c>
      <c r="B42" s="65" t="s">
        <v>362</v>
      </c>
      <c r="C42" s="65" t="s">
        <v>391</v>
      </c>
      <c r="D42" s="65" t="s">
        <v>23</v>
      </c>
      <c r="E42" s="55">
        <v>2.7719000000000001E-2</v>
      </c>
      <c r="F42" s="55">
        <v>-4.2500000000000003E-2</v>
      </c>
      <c r="G42" s="55">
        <v>-0.20143</v>
      </c>
      <c r="H42" s="65"/>
      <c r="I42" s="62">
        <f t="shared" si="0"/>
        <v>-7.2070333333333333E-2</v>
      </c>
      <c r="J42" s="66">
        <v>20</v>
      </c>
      <c r="K42" s="16" t="s">
        <v>392</v>
      </c>
      <c r="L42" s="16" t="s">
        <v>412</v>
      </c>
      <c r="M42" s="62">
        <f t="shared" si="1"/>
        <v>-3.6035166666666665E-3</v>
      </c>
      <c r="N42" s="62" t="e">
        <f t="shared" si="2"/>
        <v>#N/A</v>
      </c>
      <c r="P42" t="s">
        <v>4</v>
      </c>
    </row>
    <row r="43" spans="1:16" ht="15" x14ac:dyDescent="0.2">
      <c r="A43" s="55">
        <v>2584</v>
      </c>
      <c r="B43" s="65" t="s">
        <v>362</v>
      </c>
      <c r="C43" s="65" t="s">
        <v>391</v>
      </c>
      <c r="D43" s="65" t="s">
        <v>23</v>
      </c>
      <c r="E43" s="55">
        <v>-5.1740000000000001E-2</v>
      </c>
      <c r="F43" s="55">
        <v>-0.41764000000000001</v>
      </c>
      <c r="G43" s="55">
        <v>-0.24023</v>
      </c>
      <c r="H43" s="65"/>
      <c r="I43" s="62">
        <f t="shared" si="0"/>
        <v>-0.2365366666666667</v>
      </c>
      <c r="J43" s="66">
        <v>20</v>
      </c>
      <c r="K43" s="16" t="s">
        <v>392</v>
      </c>
      <c r="L43" s="16" t="s">
        <v>412</v>
      </c>
      <c r="M43" s="62">
        <f t="shared" si="1"/>
        <v>-1.1826833333333335E-2</v>
      </c>
      <c r="N43" s="62" t="e">
        <f t="shared" si="2"/>
        <v>#N/A</v>
      </c>
      <c r="P43" t="s">
        <v>4</v>
      </c>
    </row>
    <row r="44" spans="1:16" ht="15" x14ac:dyDescent="0.2">
      <c r="A44" s="55">
        <v>2808</v>
      </c>
      <c r="B44" s="65" t="s">
        <v>362</v>
      </c>
      <c r="C44" s="65" t="s">
        <v>391</v>
      </c>
      <c r="D44" s="65" t="s">
        <v>23</v>
      </c>
      <c r="E44" s="55">
        <v>-0.21251</v>
      </c>
      <c r="F44" s="55">
        <v>-0.23283999999999999</v>
      </c>
      <c r="G44" s="55">
        <v>-0.16261999999999999</v>
      </c>
      <c r="H44" s="65"/>
      <c r="I44" s="62">
        <f t="shared" si="0"/>
        <v>-0.20265666666666668</v>
      </c>
      <c r="J44" s="66">
        <v>20</v>
      </c>
      <c r="K44" s="16" t="s">
        <v>392</v>
      </c>
      <c r="L44" s="16" t="s">
        <v>412</v>
      </c>
      <c r="M44" s="62">
        <f t="shared" si="1"/>
        <v>-1.0132833333333334E-2</v>
      </c>
      <c r="N44" s="62" t="e">
        <f t="shared" si="2"/>
        <v>#N/A</v>
      </c>
      <c r="P44" t="s">
        <v>4</v>
      </c>
    </row>
    <row r="45" spans="1:16" ht="15" x14ac:dyDescent="0.2">
      <c r="A45" s="55">
        <v>3854</v>
      </c>
      <c r="B45" s="65" t="s">
        <v>362</v>
      </c>
      <c r="C45" s="65" t="s">
        <v>391</v>
      </c>
      <c r="D45" s="65" t="s">
        <v>23</v>
      </c>
      <c r="E45" s="55">
        <v>-1.1089999999999999E-2</v>
      </c>
      <c r="F45" s="55">
        <v>-0.23654</v>
      </c>
      <c r="G45" s="55">
        <v>-0.18848999999999999</v>
      </c>
      <c r="H45" s="65"/>
      <c r="I45" s="62">
        <f t="shared" si="0"/>
        <v>-0.14537333333333333</v>
      </c>
      <c r="J45" s="66">
        <v>20</v>
      </c>
      <c r="K45" s="16" t="s">
        <v>392</v>
      </c>
      <c r="L45" s="16" t="s">
        <v>412</v>
      </c>
      <c r="M45" s="62">
        <f t="shared" si="1"/>
        <v>-7.2686666666666663E-3</v>
      </c>
      <c r="N45" s="62" t="e">
        <f t="shared" si="2"/>
        <v>#N/A</v>
      </c>
      <c r="P45" t="s">
        <v>4</v>
      </c>
    </row>
    <row r="46" spans="1:16" ht="15" x14ac:dyDescent="0.2">
      <c r="A46" s="55">
        <v>3960</v>
      </c>
      <c r="B46" s="65" t="s">
        <v>362</v>
      </c>
      <c r="C46" s="65" t="s">
        <v>391</v>
      </c>
      <c r="D46" s="65" t="s">
        <v>23</v>
      </c>
      <c r="E46" s="55">
        <v>-6.0979999999999999E-2</v>
      </c>
      <c r="F46" s="55">
        <v>-0.14784</v>
      </c>
      <c r="G46" s="55">
        <v>-0.15153</v>
      </c>
      <c r="H46" s="65"/>
      <c r="I46" s="62">
        <f t="shared" si="0"/>
        <v>-0.12011666666666666</v>
      </c>
      <c r="J46" s="66">
        <v>20</v>
      </c>
      <c r="K46" s="16" t="s">
        <v>392</v>
      </c>
      <c r="L46" s="16" t="s">
        <v>412</v>
      </c>
      <c r="M46" s="62">
        <f t="shared" si="1"/>
        <v>-6.0058333333333335E-3</v>
      </c>
      <c r="N46" s="62" t="e">
        <f t="shared" si="2"/>
        <v>#N/A</v>
      </c>
      <c r="P46" t="s">
        <v>4</v>
      </c>
    </row>
    <row r="47" spans="1:16" ht="15" x14ac:dyDescent="0.2">
      <c r="A47" s="55">
        <v>4380</v>
      </c>
      <c r="B47" s="65" t="s">
        <v>362</v>
      </c>
      <c r="C47" s="65" t="s">
        <v>391</v>
      </c>
      <c r="D47" s="65" t="s">
        <v>23</v>
      </c>
      <c r="E47" s="55">
        <v>-8.5010000000000002E-2</v>
      </c>
      <c r="F47" s="55">
        <v>-0.13489999999999999</v>
      </c>
      <c r="G47" s="55">
        <v>-0.25686999999999999</v>
      </c>
      <c r="H47" s="65"/>
      <c r="I47" s="62">
        <f t="shared" si="0"/>
        <v>-0.15892666666666666</v>
      </c>
      <c r="J47" s="66">
        <v>20</v>
      </c>
      <c r="K47" s="16" t="s">
        <v>392</v>
      </c>
      <c r="L47" s="16" t="s">
        <v>412</v>
      </c>
      <c r="M47" s="62">
        <f t="shared" si="1"/>
        <v>-7.946333333333333E-3</v>
      </c>
      <c r="N47" s="62" t="e">
        <f t="shared" si="2"/>
        <v>#N/A</v>
      </c>
      <c r="P47" t="s">
        <v>4</v>
      </c>
    </row>
    <row r="48" spans="1:16" ht="15" x14ac:dyDescent="0.2">
      <c r="A48" s="55">
        <v>4751</v>
      </c>
      <c r="B48" s="65" t="s">
        <v>362</v>
      </c>
      <c r="C48" s="65" t="s">
        <v>391</v>
      </c>
      <c r="D48" s="65" t="s">
        <v>23</v>
      </c>
      <c r="E48" s="55">
        <v>-0.16816</v>
      </c>
      <c r="F48" s="55">
        <v>-0.27165</v>
      </c>
      <c r="G48" s="55">
        <v>-0.18664</v>
      </c>
      <c r="H48" s="65"/>
      <c r="I48" s="62">
        <f t="shared" si="0"/>
        <v>-0.20881666666666668</v>
      </c>
      <c r="J48" s="66">
        <v>20</v>
      </c>
      <c r="K48" s="16" t="s">
        <v>392</v>
      </c>
      <c r="L48" s="16" t="s">
        <v>412</v>
      </c>
      <c r="M48" s="62">
        <f t="shared" si="1"/>
        <v>-1.0440833333333333E-2</v>
      </c>
      <c r="N48" s="62" t="e">
        <f t="shared" si="2"/>
        <v>#N/A</v>
      </c>
      <c r="P48" t="s">
        <v>4</v>
      </c>
    </row>
    <row r="49" spans="1:16" ht="15" x14ac:dyDescent="0.2">
      <c r="A49" s="55">
        <v>4806</v>
      </c>
      <c r="B49" s="65" t="s">
        <v>362</v>
      </c>
      <c r="C49" s="65" t="s">
        <v>391</v>
      </c>
      <c r="D49" s="65" t="s">
        <v>23</v>
      </c>
      <c r="E49" s="55">
        <v>-9.9790000000000004E-2</v>
      </c>
      <c r="F49" s="55">
        <v>7.5766E-2</v>
      </c>
      <c r="G49" s="55">
        <v>3.1414999999999998E-2</v>
      </c>
      <c r="H49" s="65"/>
      <c r="I49" s="62">
        <f t="shared" si="0"/>
        <v>2.4636666666666648E-3</v>
      </c>
      <c r="J49" s="66">
        <v>20</v>
      </c>
      <c r="K49" s="16" t="s">
        <v>392</v>
      </c>
      <c r="L49" s="16" t="s">
        <v>412</v>
      </c>
      <c r="M49" s="62">
        <f t="shared" si="1"/>
        <v>1.2318333333333323E-4</v>
      </c>
      <c r="N49" s="62" t="e">
        <f t="shared" si="2"/>
        <v>#N/A</v>
      </c>
      <c r="P49" t="s">
        <v>4</v>
      </c>
    </row>
    <row r="50" spans="1:16" ht="15" x14ac:dyDescent="0.2">
      <c r="A50" s="55">
        <v>317</v>
      </c>
      <c r="B50" s="65" t="s">
        <v>362</v>
      </c>
      <c r="C50" s="65" t="s">
        <v>391</v>
      </c>
      <c r="D50" s="65" t="s">
        <v>23</v>
      </c>
      <c r="E50" s="55">
        <v>-0.27533999999999997</v>
      </c>
      <c r="F50" s="55">
        <v>-3.8809999999999997E-2</v>
      </c>
      <c r="G50" s="55">
        <v>-9.425E-2</v>
      </c>
      <c r="H50" s="65"/>
      <c r="I50" s="62">
        <f t="shared" si="0"/>
        <v>-0.13613333333333333</v>
      </c>
      <c r="J50" s="66">
        <v>20</v>
      </c>
      <c r="K50" s="16" t="s">
        <v>392</v>
      </c>
      <c r="L50" s="16" t="s">
        <v>412</v>
      </c>
      <c r="M50" s="62">
        <f t="shared" si="1"/>
        <v>-6.8066666666666666E-3</v>
      </c>
      <c r="N50" s="62" t="e">
        <f t="shared" si="2"/>
        <v>#N/A</v>
      </c>
      <c r="P50" t="s">
        <v>4</v>
      </c>
    </row>
    <row r="51" spans="1:16" ht="15" x14ac:dyDescent="0.2">
      <c r="A51" s="55">
        <v>40</v>
      </c>
      <c r="B51" s="65" t="s">
        <v>362</v>
      </c>
      <c r="C51" s="65" t="s">
        <v>391</v>
      </c>
      <c r="D51" s="65" t="s">
        <v>23</v>
      </c>
      <c r="E51" s="55">
        <v>-8.8700000000000001E-2</v>
      </c>
      <c r="F51" s="55">
        <v>-0.18295</v>
      </c>
      <c r="G51" s="55">
        <v>-0.35296</v>
      </c>
      <c r="H51" s="65"/>
      <c r="I51" s="62">
        <f>AVERAGE(E51:H51)</f>
        <v>-0.20820333333333332</v>
      </c>
      <c r="J51" s="66">
        <v>20</v>
      </c>
      <c r="K51" s="16" t="s">
        <v>392</v>
      </c>
      <c r="L51" s="16" t="s">
        <v>412</v>
      </c>
      <c r="M51" s="62">
        <f t="shared" si="1"/>
        <v>-1.0410166666666667E-2</v>
      </c>
      <c r="N51" s="62" t="e">
        <f t="shared" si="2"/>
        <v>#N/A</v>
      </c>
      <c r="P51" t="s">
        <v>4</v>
      </c>
    </row>
    <row r="52" spans="1:16" ht="15" x14ac:dyDescent="0.2">
      <c r="A52" s="55">
        <v>474</v>
      </c>
      <c r="B52" s="65" t="s">
        <v>362</v>
      </c>
      <c r="C52" s="65" t="s">
        <v>391</v>
      </c>
      <c r="D52" s="65" t="s">
        <v>23</v>
      </c>
      <c r="E52" s="55">
        <v>-8.1309999999999993E-2</v>
      </c>
      <c r="F52" s="55">
        <v>-0.14968000000000001</v>
      </c>
      <c r="G52" s="55">
        <v>-0.46753</v>
      </c>
      <c r="H52" s="65"/>
      <c r="I52" s="62">
        <f t="shared" si="0"/>
        <v>-0.23284000000000002</v>
      </c>
      <c r="J52" s="66">
        <v>20</v>
      </c>
      <c r="K52" s="16" t="s">
        <v>392</v>
      </c>
      <c r="L52" s="16" t="s">
        <v>412</v>
      </c>
      <c r="M52" s="62">
        <f t="shared" si="1"/>
        <v>-1.1642000000000001E-2</v>
      </c>
      <c r="N52" s="62" t="e">
        <f t="shared" si="2"/>
        <v>#N/A</v>
      </c>
      <c r="P52" t="s">
        <v>4</v>
      </c>
    </row>
    <row r="53" spans="1:16" ht="15" x14ac:dyDescent="0.2">
      <c r="A53" s="55">
        <v>692</v>
      </c>
      <c r="B53" s="65" t="s">
        <v>362</v>
      </c>
      <c r="C53" s="65" t="s">
        <v>391</v>
      </c>
      <c r="D53" s="65" t="s">
        <v>23</v>
      </c>
      <c r="E53" s="55">
        <v>-0.41578999999999999</v>
      </c>
      <c r="F53" s="55">
        <v>-9.6089999999999995E-2</v>
      </c>
      <c r="G53" s="55">
        <v>-5.5440000000000003E-2</v>
      </c>
      <c r="H53" s="65"/>
      <c r="I53" s="62">
        <f t="shared" si="0"/>
        <v>-0.18910666666666667</v>
      </c>
      <c r="J53" s="66">
        <v>20</v>
      </c>
      <c r="K53" s="16" t="s">
        <v>392</v>
      </c>
      <c r="L53" s="16" t="s">
        <v>412</v>
      </c>
      <c r="M53" s="62">
        <f t="shared" si="1"/>
        <v>-9.455333333333333E-3</v>
      </c>
      <c r="N53" s="62" t="e">
        <f t="shared" si="2"/>
        <v>#N/A</v>
      </c>
      <c r="P53" t="s">
        <v>4</v>
      </c>
    </row>
    <row r="54" spans="1:16" ht="15" x14ac:dyDescent="0.2">
      <c r="A54" s="64" t="s">
        <v>413</v>
      </c>
      <c r="B54" s="65" t="s">
        <v>362</v>
      </c>
      <c r="C54" s="65" t="s">
        <v>391</v>
      </c>
      <c r="D54" s="65" t="s">
        <v>23</v>
      </c>
      <c r="E54" s="55">
        <v>0.73178799999999999</v>
      </c>
      <c r="F54" s="55">
        <v>0.38991799999999999</v>
      </c>
      <c r="G54" s="55">
        <v>0.54514499999999999</v>
      </c>
      <c r="H54" s="65"/>
      <c r="I54" s="62">
        <f t="shared" si="0"/>
        <v>0.55561700000000003</v>
      </c>
      <c r="J54" s="66">
        <v>2</v>
      </c>
      <c r="K54" s="16" t="s">
        <v>392</v>
      </c>
      <c r="L54" s="16" t="s">
        <v>412</v>
      </c>
      <c r="M54" s="62">
        <f t="shared" si="1"/>
        <v>0.27780850000000001</v>
      </c>
      <c r="N54" s="62" t="e">
        <f t="shared" si="2"/>
        <v>#N/A</v>
      </c>
    </row>
    <row r="55" spans="1:16" ht="15" x14ac:dyDescent="0.2">
      <c r="A55" s="64" t="s">
        <v>396</v>
      </c>
      <c r="B55" s="65" t="s">
        <v>362</v>
      </c>
      <c r="C55" s="65" t="s">
        <v>391</v>
      </c>
      <c r="D55" s="65" t="s">
        <v>23</v>
      </c>
      <c r="E55" s="55">
        <v>-0.19219</v>
      </c>
      <c r="F55" s="55">
        <v>-0.21806</v>
      </c>
      <c r="G55" s="55">
        <v>-0.13489999999999999</v>
      </c>
      <c r="H55" s="65"/>
      <c r="I55" s="62">
        <f t="shared" si="0"/>
        <v>-0.18171666666666667</v>
      </c>
      <c r="J55" s="66">
        <v>2</v>
      </c>
      <c r="K55" s="16" t="s">
        <v>392</v>
      </c>
      <c r="L55" s="16" t="s">
        <v>412</v>
      </c>
      <c r="M55" s="62">
        <f t="shared" si="1"/>
        <v>-9.0858333333333333E-2</v>
      </c>
      <c r="N55" s="62" t="e">
        <f t="shared" si="2"/>
        <v>#N/A</v>
      </c>
    </row>
    <row r="56" spans="1:16" ht="15" x14ac:dyDescent="0.2">
      <c r="A56" s="55">
        <v>1231</v>
      </c>
      <c r="B56" s="65" t="s">
        <v>362</v>
      </c>
      <c r="C56" s="65" t="s">
        <v>391</v>
      </c>
      <c r="D56" s="65" t="s">
        <v>23</v>
      </c>
      <c r="E56" s="55">
        <v>3.9649999999999998E-3</v>
      </c>
      <c r="F56" s="55">
        <v>3.8400000000000001E-3</v>
      </c>
      <c r="G56" s="55">
        <v>3.712E-3</v>
      </c>
      <c r="H56" s="65"/>
      <c r="I56" s="62">
        <f t="shared" si="0"/>
        <v>3.839E-3</v>
      </c>
      <c r="J56" s="66">
        <v>20</v>
      </c>
      <c r="K56" s="16" t="s">
        <v>392</v>
      </c>
      <c r="L56" s="16" t="s">
        <v>412</v>
      </c>
      <c r="M56" s="62">
        <f t="shared" si="1"/>
        <v>1.9195E-4</v>
      </c>
      <c r="N56" s="62" t="e">
        <f t="shared" si="2"/>
        <v>#N/A</v>
      </c>
      <c r="P56" t="s">
        <v>4</v>
      </c>
    </row>
    <row r="57" spans="1:16" ht="15" x14ac:dyDescent="0.2">
      <c r="A57" s="55">
        <v>1838</v>
      </c>
      <c r="B57" s="65" t="s">
        <v>362</v>
      </c>
      <c r="C57" s="65" t="s">
        <v>391</v>
      </c>
      <c r="D57" s="65" t="s">
        <v>23</v>
      </c>
      <c r="E57" s="55">
        <v>4.359E-3</v>
      </c>
      <c r="F57" s="55">
        <v>4.0460000000000001E-3</v>
      </c>
      <c r="G57" s="55">
        <v>3.7239999999999999E-3</v>
      </c>
      <c r="H57" s="65"/>
      <c r="I57" s="62">
        <f t="shared" si="0"/>
        <v>4.0429999999999997E-3</v>
      </c>
      <c r="J57" s="66">
        <v>20</v>
      </c>
      <c r="K57" s="16" t="s">
        <v>392</v>
      </c>
      <c r="L57" s="16" t="s">
        <v>412</v>
      </c>
      <c r="M57" s="62">
        <f t="shared" si="1"/>
        <v>2.0214999999999998E-4</v>
      </c>
      <c r="N57" s="62" t="e">
        <f t="shared" si="2"/>
        <v>#N/A</v>
      </c>
      <c r="P57" t="s">
        <v>4</v>
      </c>
    </row>
    <row r="58" spans="1:16" ht="15" x14ac:dyDescent="0.2">
      <c r="A58" s="55">
        <v>317</v>
      </c>
      <c r="B58" s="65" t="s">
        <v>362</v>
      </c>
      <c r="C58" s="65" t="s">
        <v>391</v>
      </c>
      <c r="D58" s="65" t="s">
        <v>23</v>
      </c>
      <c r="E58" s="55">
        <v>3.1800000000000001E-3</v>
      </c>
      <c r="F58" s="55">
        <v>3.5869999999999999E-3</v>
      </c>
      <c r="G58" s="55">
        <v>3.421E-3</v>
      </c>
      <c r="H58" s="65"/>
      <c r="I58" s="62">
        <f t="shared" si="0"/>
        <v>3.3960000000000001E-3</v>
      </c>
      <c r="J58" s="66">
        <v>20</v>
      </c>
      <c r="K58" s="16" t="s">
        <v>392</v>
      </c>
      <c r="L58" s="16" t="s">
        <v>412</v>
      </c>
      <c r="M58" s="62">
        <f t="shared" si="1"/>
        <v>1.6980000000000001E-4</v>
      </c>
      <c r="N58" s="62" t="e">
        <f t="shared" si="2"/>
        <v>#N/A</v>
      </c>
      <c r="P58" t="s">
        <v>4</v>
      </c>
    </row>
    <row r="59" spans="1:16" ht="15" x14ac:dyDescent="0.2">
      <c r="A59" s="55">
        <v>1524</v>
      </c>
      <c r="B59" s="65" t="s">
        <v>362</v>
      </c>
      <c r="C59" s="65" t="s">
        <v>391</v>
      </c>
      <c r="D59" s="65" t="s">
        <v>23</v>
      </c>
      <c r="E59" s="55">
        <v>4.2589999999999998E-3</v>
      </c>
      <c r="F59" s="55">
        <v>4.0309999999999999E-3</v>
      </c>
      <c r="G59" s="64" t="s">
        <v>415</v>
      </c>
      <c r="H59" s="65"/>
      <c r="I59" s="62">
        <f t="shared" si="0"/>
        <v>4.1449999999999994E-3</v>
      </c>
      <c r="J59" s="66">
        <v>20</v>
      </c>
      <c r="K59" s="16" t="s">
        <v>392</v>
      </c>
      <c r="L59" s="16" t="s">
        <v>412</v>
      </c>
      <c r="M59" s="62">
        <f t="shared" si="1"/>
        <v>2.0724999999999997E-4</v>
      </c>
      <c r="N59" s="62" t="e">
        <f t="shared" si="2"/>
        <v>#N/A</v>
      </c>
      <c r="P59" t="s">
        <v>4</v>
      </c>
    </row>
    <row r="60" spans="1:16" ht="15" x14ac:dyDescent="0.2">
      <c r="A60" s="55">
        <v>1047</v>
      </c>
      <c r="B60" s="65" t="s">
        <v>362</v>
      </c>
      <c r="C60" s="65" t="s">
        <v>391</v>
      </c>
      <c r="D60" s="65" t="s">
        <v>23</v>
      </c>
      <c r="E60" s="55">
        <v>4.5059999999999996E-3</v>
      </c>
      <c r="F60" s="55">
        <v>4.3119999999999999E-3</v>
      </c>
      <c r="G60" s="55">
        <v>3.718E-3</v>
      </c>
      <c r="H60" s="65"/>
      <c r="I60" s="62">
        <f t="shared" si="0"/>
        <v>4.1786666666666665E-3</v>
      </c>
      <c r="J60" s="66">
        <v>20</v>
      </c>
      <c r="K60" s="16" t="s">
        <v>392</v>
      </c>
      <c r="L60" s="16" t="s">
        <v>412</v>
      </c>
      <c r="M60" s="62">
        <f t="shared" si="1"/>
        <v>2.0893333333333333E-4</v>
      </c>
      <c r="N60" s="62" t="e">
        <f t="shared" si="2"/>
        <v>#N/A</v>
      </c>
      <c r="P60" t="s">
        <v>4</v>
      </c>
    </row>
    <row r="61" spans="1:16" ht="15" x14ac:dyDescent="0.2">
      <c r="A61" s="64" t="s">
        <v>413</v>
      </c>
      <c r="B61" s="65" t="s">
        <v>362</v>
      </c>
      <c r="C61" s="65" t="s">
        <v>391</v>
      </c>
      <c r="D61" s="65" t="s">
        <v>23</v>
      </c>
      <c r="E61" s="64" t="s">
        <v>415</v>
      </c>
      <c r="F61" s="64" t="s">
        <v>415</v>
      </c>
      <c r="G61" s="64" t="s">
        <v>415</v>
      </c>
      <c r="H61" s="65"/>
      <c r="I61" s="62" t="e">
        <f t="shared" si="0"/>
        <v>#DIV/0!</v>
      </c>
      <c r="J61" s="55">
        <v>2</v>
      </c>
      <c r="K61" s="16" t="s">
        <v>392</v>
      </c>
      <c r="L61" s="16" t="s">
        <v>416</v>
      </c>
      <c r="M61" s="62" t="e">
        <f t="shared" si="1"/>
        <v>#DIV/0!</v>
      </c>
      <c r="N61" s="62" t="e">
        <f t="shared" si="2"/>
        <v>#N/A</v>
      </c>
    </row>
    <row r="62" spans="1:16" ht="15" x14ac:dyDescent="0.2">
      <c r="A62" s="64" t="s">
        <v>396</v>
      </c>
      <c r="B62" s="65" t="s">
        <v>362</v>
      </c>
      <c r="C62" s="65" t="s">
        <v>391</v>
      </c>
      <c r="D62" s="65" t="s">
        <v>23</v>
      </c>
      <c r="E62" s="55">
        <v>3.9060000000000002E-3</v>
      </c>
      <c r="F62" s="55">
        <v>3.9090000000000001E-3</v>
      </c>
      <c r="G62" s="55">
        <v>4.2459999999999998E-3</v>
      </c>
      <c r="H62" s="65"/>
      <c r="I62" s="62">
        <f t="shared" si="0"/>
        <v>4.0203333333333332E-3</v>
      </c>
      <c r="J62" s="66">
        <v>2</v>
      </c>
      <c r="K62" s="16" t="s">
        <v>392</v>
      </c>
      <c r="L62" s="16" t="s">
        <v>412</v>
      </c>
      <c r="M62" s="62">
        <f t="shared" si="1"/>
        <v>2.0101666666666666E-3</v>
      </c>
      <c r="N62" s="62" t="e">
        <f t="shared" si="2"/>
        <v>#N/A</v>
      </c>
    </row>
    <row r="63" spans="1:16" ht="15" x14ac:dyDescent="0.2">
      <c r="A63" s="55">
        <v>8941</v>
      </c>
      <c r="B63" s="65" t="s">
        <v>362</v>
      </c>
      <c r="C63" s="65" t="s">
        <v>391</v>
      </c>
      <c r="D63" s="65" t="s">
        <v>24</v>
      </c>
      <c r="E63" s="55">
        <v>-0.17247999999999999</v>
      </c>
      <c r="F63" s="55">
        <v>-0.13552</v>
      </c>
      <c r="G63" s="55">
        <v>-0.17863999999999999</v>
      </c>
      <c r="H63" s="65"/>
      <c r="I63" s="62">
        <f t="shared" si="0"/>
        <v>-0.16221333333333332</v>
      </c>
      <c r="J63" s="66">
        <v>20</v>
      </c>
      <c r="K63" s="16" t="s">
        <v>392</v>
      </c>
      <c r="L63" s="16" t="s">
        <v>412</v>
      </c>
      <c r="M63" s="62">
        <f t="shared" si="1"/>
        <v>-8.1106666666666653E-3</v>
      </c>
      <c r="N63" s="62" t="e">
        <f t="shared" si="2"/>
        <v>#N/A</v>
      </c>
      <c r="P63" t="s">
        <v>4</v>
      </c>
    </row>
    <row r="64" spans="1:16" ht="15" x14ac:dyDescent="0.2">
      <c r="A64" s="55">
        <v>9364</v>
      </c>
      <c r="B64" s="65" t="s">
        <v>362</v>
      </c>
      <c r="C64" s="65" t="s">
        <v>391</v>
      </c>
      <c r="D64" s="65" t="s">
        <v>24</v>
      </c>
      <c r="E64" s="55">
        <v>-0.29259000000000002</v>
      </c>
      <c r="F64" s="55">
        <v>-3.0799999999999998E-3</v>
      </c>
      <c r="G64" s="55">
        <v>8.0077999999999996E-2</v>
      </c>
      <c r="H64" s="65"/>
      <c r="I64" s="62">
        <f t="shared" si="0"/>
        <v>-7.1864000000000025E-2</v>
      </c>
      <c r="J64" s="66">
        <v>20</v>
      </c>
      <c r="K64" s="16" t="s">
        <v>392</v>
      </c>
      <c r="L64" s="16" t="s">
        <v>412</v>
      </c>
      <c r="M64" s="62">
        <f t="shared" si="1"/>
        <v>-3.5932000000000013E-3</v>
      </c>
      <c r="N64" s="62" t="e">
        <f t="shared" si="2"/>
        <v>#N/A</v>
      </c>
      <c r="P64" t="s">
        <v>4</v>
      </c>
    </row>
    <row r="65" spans="1:16" ht="15" x14ac:dyDescent="0.2">
      <c r="A65" s="64" t="s">
        <v>413</v>
      </c>
      <c r="B65" s="65" t="s">
        <v>362</v>
      </c>
      <c r="C65" s="65" t="s">
        <v>391</v>
      </c>
      <c r="D65" s="65" t="s">
        <v>24</v>
      </c>
      <c r="E65" s="55">
        <v>2.2483399999999998</v>
      </c>
      <c r="F65" s="55">
        <v>1.8140719999999999</v>
      </c>
      <c r="G65" s="55">
        <v>1.8510310000000001</v>
      </c>
      <c r="H65" s="65"/>
      <c r="I65" s="62">
        <f t="shared" si="0"/>
        <v>1.9711476666666667</v>
      </c>
      <c r="J65" s="66">
        <v>2</v>
      </c>
      <c r="K65" s="16" t="s">
        <v>392</v>
      </c>
      <c r="L65" s="16" t="s">
        <v>412</v>
      </c>
      <c r="M65" s="62">
        <f t="shared" si="1"/>
        <v>0.98557383333333337</v>
      </c>
      <c r="N65" s="62" t="e">
        <f t="shared" si="2"/>
        <v>#N/A</v>
      </c>
    </row>
    <row r="66" spans="1:16" ht="15" x14ac:dyDescent="0.2">
      <c r="A66" s="64" t="s">
        <v>396</v>
      </c>
      <c r="B66" s="65" t="s">
        <v>362</v>
      </c>
      <c r="C66" s="65" t="s">
        <v>391</v>
      </c>
      <c r="D66" s="65" t="s">
        <v>24</v>
      </c>
      <c r="E66" s="55">
        <v>8.3157999999999996E-2</v>
      </c>
      <c r="F66" s="55">
        <v>7.3917999999999998E-2</v>
      </c>
      <c r="G66" s="55">
        <v>6.7757999999999999E-2</v>
      </c>
      <c r="H66" s="65"/>
      <c r="I66" s="62">
        <f t="shared" si="0"/>
        <v>7.4944666666666659E-2</v>
      </c>
      <c r="J66" s="66">
        <v>2</v>
      </c>
      <c r="K66" s="16" t="s">
        <v>392</v>
      </c>
      <c r="L66" s="16" t="s">
        <v>412</v>
      </c>
      <c r="M66" s="62">
        <f t="shared" si="1"/>
        <v>3.747233333333333E-2</v>
      </c>
      <c r="N66" s="62" t="e">
        <f t="shared" si="2"/>
        <v>#N/A</v>
      </c>
    </row>
    <row r="67" spans="1:16" ht="15" x14ac:dyDescent="0.2">
      <c r="A67" s="55">
        <v>1356</v>
      </c>
      <c r="B67" s="65" t="s">
        <v>362</v>
      </c>
      <c r="C67" s="65" t="s">
        <v>391</v>
      </c>
      <c r="D67" s="65" t="s">
        <v>24</v>
      </c>
      <c r="E67" s="55">
        <v>-0.14168</v>
      </c>
      <c r="F67" s="55">
        <v>2.4639000000000001E-2</v>
      </c>
      <c r="G67" s="55">
        <v>-7.392E-2</v>
      </c>
      <c r="H67" s="65"/>
      <c r="I67" s="62">
        <f t="shared" si="0"/>
        <v>-6.3653666666666664E-2</v>
      </c>
      <c r="J67" s="66">
        <v>20</v>
      </c>
      <c r="K67" s="16" t="s">
        <v>392</v>
      </c>
      <c r="L67" s="16" t="s">
        <v>412</v>
      </c>
      <c r="M67" s="62">
        <f t="shared" si="1"/>
        <v>-3.1826833333333331E-3</v>
      </c>
      <c r="N67" s="62" t="e">
        <f t="shared" ref="N67:N130" si="3">IF($K67="µg",$I67/$J67, NA())</f>
        <v>#N/A</v>
      </c>
      <c r="P67" t="s">
        <v>4</v>
      </c>
    </row>
    <row r="68" spans="1:16" ht="15" x14ac:dyDescent="0.2">
      <c r="A68" s="55">
        <v>1536</v>
      </c>
      <c r="B68" s="65" t="s">
        <v>362</v>
      </c>
      <c r="C68" s="65" t="s">
        <v>391</v>
      </c>
      <c r="D68" s="65" t="s">
        <v>24</v>
      </c>
      <c r="E68" s="55">
        <v>-0.20635000000000001</v>
      </c>
      <c r="F68" s="55">
        <v>-0.20019000000000001</v>
      </c>
      <c r="G68" s="55">
        <v>2.7719000000000001E-2</v>
      </c>
      <c r="H68" s="65"/>
      <c r="I68" s="62">
        <f t="shared" si="0"/>
        <v>-0.12627366666666667</v>
      </c>
      <c r="J68" s="66">
        <v>20</v>
      </c>
      <c r="K68" s="16" t="s">
        <v>392</v>
      </c>
      <c r="L68" s="16" t="s">
        <v>412</v>
      </c>
      <c r="M68" s="62">
        <f t="shared" si="1"/>
        <v>-6.3136833333333336E-3</v>
      </c>
      <c r="N68" s="62" t="e">
        <f t="shared" si="3"/>
        <v>#N/A</v>
      </c>
      <c r="P68" t="s">
        <v>4</v>
      </c>
    </row>
    <row r="69" spans="1:16" ht="15" x14ac:dyDescent="0.2">
      <c r="A69" s="55">
        <v>1548</v>
      </c>
      <c r="B69" s="65" t="s">
        <v>362</v>
      </c>
      <c r="C69" s="65" t="s">
        <v>391</v>
      </c>
      <c r="D69" s="65" t="s">
        <v>24</v>
      </c>
      <c r="E69" s="55">
        <v>0.20943400000000001</v>
      </c>
      <c r="F69" s="55">
        <v>3.6958999999999999E-2</v>
      </c>
      <c r="G69" s="55">
        <v>-0.20635000000000001</v>
      </c>
      <c r="H69" s="65"/>
      <c r="I69" s="62">
        <f t="shared" si="0"/>
        <v>1.3347666666666666E-2</v>
      </c>
      <c r="J69" s="66">
        <v>20</v>
      </c>
      <c r="K69" s="16" t="s">
        <v>392</v>
      </c>
      <c r="L69" s="16" t="s">
        <v>412</v>
      </c>
      <c r="M69" s="62">
        <f t="shared" si="1"/>
        <v>6.6738333333333328E-4</v>
      </c>
      <c r="N69" s="62" t="e">
        <f t="shared" si="3"/>
        <v>#N/A</v>
      </c>
      <c r="P69" t="s">
        <v>4</v>
      </c>
    </row>
    <row r="70" spans="1:16" ht="15" x14ac:dyDescent="0.2">
      <c r="A70" s="55">
        <v>1954</v>
      </c>
      <c r="B70" s="65" t="s">
        <v>362</v>
      </c>
      <c r="C70" s="65" t="s">
        <v>391</v>
      </c>
      <c r="D70" s="65" t="s">
        <v>24</v>
      </c>
      <c r="E70" s="55">
        <v>0.40654899999999999</v>
      </c>
      <c r="F70" s="55">
        <v>0.22791400000000001</v>
      </c>
      <c r="G70" s="55">
        <v>0.107797</v>
      </c>
      <c r="H70" s="65"/>
      <c r="I70" s="62">
        <f t="shared" si="0"/>
        <v>0.24742</v>
      </c>
      <c r="J70" s="66">
        <v>20</v>
      </c>
      <c r="K70" s="16" t="s">
        <v>392</v>
      </c>
      <c r="L70" s="16" t="s">
        <v>412</v>
      </c>
      <c r="M70" s="62">
        <f t="shared" si="1"/>
        <v>1.2371E-2</v>
      </c>
      <c r="N70" s="62" t="e">
        <f t="shared" si="3"/>
        <v>#N/A</v>
      </c>
      <c r="P70" t="s">
        <v>4</v>
      </c>
    </row>
    <row r="71" spans="1:16" ht="15" x14ac:dyDescent="0.2">
      <c r="A71" s="55">
        <v>2412</v>
      </c>
      <c r="B71" s="65" t="s">
        <v>362</v>
      </c>
      <c r="C71" s="65" t="s">
        <v>391</v>
      </c>
      <c r="D71" s="65" t="s">
        <v>24</v>
      </c>
      <c r="E71" s="55">
        <v>0.16939499999999999</v>
      </c>
      <c r="F71" s="55">
        <v>-8.3159999999999998E-2</v>
      </c>
      <c r="G71" s="55">
        <v>0.16015599999999999</v>
      </c>
      <c r="H71" s="65"/>
      <c r="I71" s="62">
        <f t="shared" si="0"/>
        <v>8.2130333333333319E-2</v>
      </c>
      <c r="J71" s="66">
        <v>20</v>
      </c>
      <c r="K71" s="16" t="s">
        <v>392</v>
      </c>
      <c r="L71" s="16" t="s">
        <v>412</v>
      </c>
      <c r="M71" s="62">
        <f t="shared" si="1"/>
        <v>4.1065166666666656E-3</v>
      </c>
      <c r="N71" s="62" t="e">
        <f t="shared" si="3"/>
        <v>#N/A</v>
      </c>
      <c r="P71" t="s">
        <v>4</v>
      </c>
    </row>
    <row r="72" spans="1:16" ht="15" x14ac:dyDescent="0.2">
      <c r="A72" s="55">
        <v>2852</v>
      </c>
      <c r="B72" s="65" t="s">
        <v>362</v>
      </c>
      <c r="C72" s="65" t="s">
        <v>391</v>
      </c>
      <c r="D72" s="65" t="s">
        <v>24</v>
      </c>
      <c r="E72" s="55">
        <v>-3.696E-2</v>
      </c>
      <c r="F72" s="55">
        <v>-2.7720000000000002E-2</v>
      </c>
      <c r="G72" s="55">
        <v>-2.1559999999999999E-2</v>
      </c>
      <c r="H72" s="65"/>
      <c r="I72" s="62">
        <f t="shared" si="0"/>
        <v>-2.8746666666666667E-2</v>
      </c>
      <c r="J72" s="66">
        <v>20</v>
      </c>
      <c r="K72" s="16" t="s">
        <v>392</v>
      </c>
      <c r="L72" s="16" t="s">
        <v>412</v>
      </c>
      <c r="M72" s="62">
        <f t="shared" si="1"/>
        <v>-1.4373333333333334E-3</v>
      </c>
      <c r="N72" s="62" t="e">
        <f t="shared" si="3"/>
        <v>#N/A</v>
      </c>
      <c r="P72" t="s">
        <v>4</v>
      </c>
    </row>
    <row r="73" spans="1:16" ht="15" x14ac:dyDescent="0.2">
      <c r="A73" s="55">
        <v>3902</v>
      </c>
      <c r="B73" s="65" t="s">
        <v>362</v>
      </c>
      <c r="C73" s="65" t="s">
        <v>391</v>
      </c>
      <c r="D73" s="65" t="s">
        <v>24</v>
      </c>
      <c r="E73" s="55">
        <v>-0.31107000000000001</v>
      </c>
      <c r="F73" s="55">
        <v>-7.084E-2</v>
      </c>
      <c r="G73" s="55">
        <v>-7.6999999999999999E-2</v>
      </c>
      <c r="H73" s="65"/>
      <c r="I73" s="62">
        <f t="shared" si="0"/>
        <v>-0.15297000000000002</v>
      </c>
      <c r="J73" s="66">
        <v>20</v>
      </c>
      <c r="K73" s="16" t="s">
        <v>392</v>
      </c>
      <c r="L73" s="16" t="s">
        <v>412</v>
      </c>
      <c r="M73" s="62">
        <f t="shared" si="1"/>
        <v>-7.6485000000000008E-3</v>
      </c>
      <c r="N73" s="62" t="e">
        <f t="shared" si="3"/>
        <v>#N/A</v>
      </c>
      <c r="P73" t="s">
        <v>4</v>
      </c>
    </row>
    <row r="74" spans="1:16" ht="15" x14ac:dyDescent="0.2">
      <c r="A74" s="55">
        <v>4093</v>
      </c>
      <c r="B74" s="65" t="s">
        <v>362</v>
      </c>
      <c r="C74" s="65" t="s">
        <v>391</v>
      </c>
      <c r="D74" s="65" t="s">
        <v>24</v>
      </c>
      <c r="E74" s="55">
        <v>4.9279000000000003E-2</v>
      </c>
      <c r="F74" s="55">
        <v>-0.27718999999999999</v>
      </c>
      <c r="G74" s="55">
        <v>0.274113</v>
      </c>
      <c r="H74" s="65"/>
      <c r="I74" s="62">
        <f t="shared" si="0"/>
        <v>1.5400666666666674E-2</v>
      </c>
      <c r="J74" s="66">
        <v>20</v>
      </c>
      <c r="K74" s="16" t="s">
        <v>392</v>
      </c>
      <c r="L74" s="16" t="s">
        <v>412</v>
      </c>
      <c r="M74" s="62">
        <f t="shared" si="1"/>
        <v>7.7003333333333364E-4</v>
      </c>
      <c r="N74" s="62" t="e">
        <f t="shared" si="3"/>
        <v>#N/A</v>
      </c>
      <c r="P74" t="s">
        <v>4</v>
      </c>
    </row>
    <row r="75" spans="1:16" ht="15" x14ac:dyDescent="0.2">
      <c r="A75" s="55">
        <v>4109</v>
      </c>
      <c r="B75" s="65" t="s">
        <v>362</v>
      </c>
      <c r="C75" s="65" t="s">
        <v>391</v>
      </c>
      <c r="D75" s="65" t="s">
        <v>24</v>
      </c>
      <c r="E75" s="55">
        <v>5.5439000000000002E-2</v>
      </c>
      <c r="F75" s="55">
        <v>-0.23099</v>
      </c>
      <c r="G75" s="55">
        <v>-0.17247999999999999</v>
      </c>
      <c r="H75" s="65"/>
      <c r="I75" s="62">
        <f t="shared" si="0"/>
        <v>-0.11601033333333333</v>
      </c>
      <c r="J75" s="66">
        <v>20</v>
      </c>
      <c r="K75" s="16" t="s">
        <v>392</v>
      </c>
      <c r="L75" s="16" t="s">
        <v>412</v>
      </c>
      <c r="M75" s="62">
        <f t="shared" si="1"/>
        <v>-5.8005166666666667E-3</v>
      </c>
      <c r="N75" s="62" t="e">
        <f t="shared" si="3"/>
        <v>#N/A</v>
      </c>
      <c r="P75" t="s">
        <v>4</v>
      </c>
    </row>
    <row r="76" spans="1:16" ht="15" x14ac:dyDescent="0.2">
      <c r="A76" s="55">
        <v>4362</v>
      </c>
      <c r="B76" s="65" t="s">
        <v>362</v>
      </c>
      <c r="C76" s="65" t="s">
        <v>391</v>
      </c>
      <c r="D76" s="65" t="s">
        <v>24</v>
      </c>
      <c r="E76" s="55">
        <v>-0.36958999999999997</v>
      </c>
      <c r="F76" s="55">
        <v>-0.46199000000000001</v>
      </c>
      <c r="G76" s="55">
        <v>6.1599999999999997E-3</v>
      </c>
      <c r="H76" s="65"/>
      <c r="I76" s="62">
        <f t="shared" si="0"/>
        <v>-0.27514</v>
      </c>
      <c r="J76" s="66">
        <v>20</v>
      </c>
      <c r="K76" s="16" t="s">
        <v>392</v>
      </c>
      <c r="L76" s="16" t="s">
        <v>412</v>
      </c>
      <c r="M76" s="62">
        <f t="shared" si="1"/>
        <v>-1.3757E-2</v>
      </c>
      <c r="N76" s="62" t="e">
        <f t="shared" si="3"/>
        <v>#N/A</v>
      </c>
      <c r="P76" t="s">
        <v>4</v>
      </c>
    </row>
    <row r="77" spans="1:16" ht="15" x14ac:dyDescent="0.2">
      <c r="A77" s="55">
        <v>6565</v>
      </c>
      <c r="B77" s="65" t="s">
        <v>362</v>
      </c>
      <c r="C77" s="65" t="s">
        <v>391</v>
      </c>
      <c r="D77" s="65" t="s">
        <v>24</v>
      </c>
      <c r="E77" s="55">
        <v>-0.32030999999999998</v>
      </c>
      <c r="F77" s="55">
        <v>6.1598E-2</v>
      </c>
      <c r="G77" s="55">
        <v>0.129357</v>
      </c>
      <c r="H77" s="65"/>
      <c r="I77" s="62">
        <f t="shared" si="0"/>
        <v>-4.3118333333333335E-2</v>
      </c>
      <c r="J77" s="66">
        <v>20</v>
      </c>
      <c r="K77" s="16" t="s">
        <v>392</v>
      </c>
      <c r="L77" s="16" t="s">
        <v>412</v>
      </c>
      <c r="M77" s="62">
        <f t="shared" si="1"/>
        <v>-2.1559166666666667E-3</v>
      </c>
      <c r="N77" s="62" t="e">
        <f t="shared" si="3"/>
        <v>#N/A</v>
      </c>
      <c r="P77" t="s">
        <v>4</v>
      </c>
    </row>
    <row r="78" spans="1:16" ht="15" x14ac:dyDescent="0.2">
      <c r="A78" s="55">
        <v>8251</v>
      </c>
      <c r="B78" s="65" t="s">
        <v>362</v>
      </c>
      <c r="C78" s="65" t="s">
        <v>391</v>
      </c>
      <c r="D78" s="65" t="s">
        <v>24</v>
      </c>
      <c r="E78" s="55">
        <v>-5.2359999999999997E-2</v>
      </c>
      <c r="F78" s="55">
        <v>-2.1559999999999999E-2</v>
      </c>
      <c r="G78" s="55">
        <v>-0.28334999999999999</v>
      </c>
      <c r="H78" s="65"/>
      <c r="I78" s="62">
        <f t="shared" si="0"/>
        <v>-0.11908999999999999</v>
      </c>
      <c r="J78" s="66">
        <v>20</v>
      </c>
      <c r="K78" s="16" t="s">
        <v>392</v>
      </c>
      <c r="L78" s="16" t="s">
        <v>412</v>
      </c>
      <c r="M78" s="62">
        <f t="shared" si="1"/>
        <v>-5.9544999999999997E-3</v>
      </c>
      <c r="N78" s="62" t="e">
        <f t="shared" si="3"/>
        <v>#N/A</v>
      </c>
      <c r="P78" t="s">
        <v>4</v>
      </c>
    </row>
    <row r="79" spans="1:16" ht="15" x14ac:dyDescent="0.2">
      <c r="A79" s="55">
        <v>1165</v>
      </c>
      <c r="B79" s="65" t="s">
        <v>362</v>
      </c>
      <c r="C79" s="65" t="s">
        <v>391</v>
      </c>
      <c r="D79" s="65" t="s">
        <v>24</v>
      </c>
      <c r="E79" s="55">
        <v>-0.14784</v>
      </c>
      <c r="F79" s="55">
        <v>8.9317999999999995E-2</v>
      </c>
      <c r="G79" s="55">
        <v>9.2399999999999999E-3</v>
      </c>
      <c r="H79" s="65"/>
      <c r="I79" s="62">
        <f t="shared" si="0"/>
        <v>-1.6427333333333335E-2</v>
      </c>
      <c r="J79" s="66">
        <v>20</v>
      </c>
      <c r="K79" s="16" t="s">
        <v>392</v>
      </c>
      <c r="L79" s="16" t="s">
        <v>412</v>
      </c>
      <c r="M79" s="62">
        <f t="shared" si="1"/>
        <v>-8.2136666666666677E-4</v>
      </c>
      <c r="N79" s="62" t="e">
        <f t="shared" si="3"/>
        <v>#N/A</v>
      </c>
      <c r="P79" t="s">
        <v>4</v>
      </c>
    </row>
    <row r="80" spans="1:16" ht="15" x14ac:dyDescent="0.2">
      <c r="A80" s="55">
        <v>38</v>
      </c>
      <c r="B80" s="65" t="s">
        <v>362</v>
      </c>
      <c r="C80" s="65" t="s">
        <v>391</v>
      </c>
      <c r="D80" s="65" t="s">
        <v>24</v>
      </c>
      <c r="E80" s="55">
        <v>-0.21559</v>
      </c>
      <c r="F80" s="55">
        <v>-6.7760000000000001E-2</v>
      </c>
      <c r="G80" s="55">
        <v>0.20019500000000001</v>
      </c>
      <c r="H80" s="65"/>
      <c r="I80" s="62">
        <f t="shared" si="0"/>
        <v>-2.7718333333333327E-2</v>
      </c>
      <c r="J80" s="66">
        <v>20</v>
      </c>
      <c r="K80" s="16" t="s">
        <v>392</v>
      </c>
      <c r="L80" s="16" t="s">
        <v>412</v>
      </c>
      <c r="M80" s="62">
        <f t="shared" si="1"/>
        <v>-1.3859166666666664E-3</v>
      </c>
      <c r="N80" s="62" t="e">
        <f t="shared" si="3"/>
        <v>#N/A</v>
      </c>
      <c r="P80" t="s">
        <v>4</v>
      </c>
    </row>
    <row r="81" spans="1:16" ht="15" x14ac:dyDescent="0.2">
      <c r="A81" s="55">
        <v>731</v>
      </c>
      <c r="B81" s="65" t="s">
        <v>362</v>
      </c>
      <c r="C81" s="65" t="s">
        <v>391</v>
      </c>
      <c r="D81" s="65" t="s">
        <v>24</v>
      </c>
      <c r="E81" s="55">
        <v>-0.48047000000000001</v>
      </c>
      <c r="F81" s="55">
        <v>-0.16324</v>
      </c>
      <c r="G81" s="55">
        <v>-0.13552</v>
      </c>
      <c r="H81" s="65"/>
      <c r="I81" s="62">
        <f t="shared" si="0"/>
        <v>-0.25974333333333333</v>
      </c>
      <c r="J81" s="66">
        <v>20</v>
      </c>
      <c r="K81" s="16" t="s">
        <v>392</v>
      </c>
      <c r="L81" s="16" t="s">
        <v>412</v>
      </c>
      <c r="M81" s="62">
        <f t="shared" si="1"/>
        <v>-1.2987166666666666E-2</v>
      </c>
      <c r="N81" s="62" t="e">
        <f t="shared" si="3"/>
        <v>#N/A</v>
      </c>
      <c r="P81" t="s">
        <v>4</v>
      </c>
    </row>
    <row r="82" spans="1:16" ht="15" x14ac:dyDescent="0.2">
      <c r="A82" s="55">
        <v>766</v>
      </c>
      <c r="B82" s="65" t="s">
        <v>362</v>
      </c>
      <c r="C82" s="65" t="s">
        <v>391</v>
      </c>
      <c r="D82" s="65" t="s">
        <v>24</v>
      </c>
      <c r="E82" s="55">
        <v>4.6198999999999997E-2</v>
      </c>
      <c r="F82" s="55">
        <v>0.126277</v>
      </c>
      <c r="G82" s="55">
        <v>0.237154</v>
      </c>
      <c r="H82" s="65"/>
      <c r="I82" s="62">
        <f t="shared" si="0"/>
        <v>0.13654333333333332</v>
      </c>
      <c r="J82" s="66">
        <v>20</v>
      </c>
      <c r="K82" s="16" t="s">
        <v>392</v>
      </c>
      <c r="L82" s="16" t="s">
        <v>412</v>
      </c>
      <c r="M82" s="62">
        <f t="shared" si="1"/>
        <v>6.8271666666666663E-3</v>
      </c>
      <c r="N82" s="62" t="e">
        <f t="shared" si="3"/>
        <v>#N/A</v>
      </c>
      <c r="P82" t="s">
        <v>4</v>
      </c>
    </row>
    <row r="83" spans="1:16" ht="15" x14ac:dyDescent="0.2">
      <c r="A83" s="64" t="s">
        <v>413</v>
      </c>
      <c r="B83" s="65" t="s">
        <v>362</v>
      </c>
      <c r="C83" s="65" t="s">
        <v>391</v>
      </c>
      <c r="D83" s="65" t="s">
        <v>24</v>
      </c>
      <c r="E83" s="55">
        <v>1.7863519999999999</v>
      </c>
      <c r="F83" s="55">
        <v>1.392123</v>
      </c>
      <c r="G83" s="55">
        <v>1.0964510000000001</v>
      </c>
      <c r="H83" s="65"/>
      <c r="I83" s="62">
        <f t="shared" si="0"/>
        <v>1.4249753333333333</v>
      </c>
      <c r="J83" s="66">
        <v>2</v>
      </c>
      <c r="K83" s="16" t="s">
        <v>392</v>
      </c>
      <c r="L83" s="16" t="s">
        <v>412</v>
      </c>
      <c r="M83" s="62">
        <f t="shared" si="1"/>
        <v>0.71248766666666663</v>
      </c>
      <c r="N83" s="62" t="e">
        <f t="shared" si="3"/>
        <v>#N/A</v>
      </c>
    </row>
    <row r="84" spans="1:16" ht="15" x14ac:dyDescent="0.2">
      <c r="A84" s="64" t="s">
        <v>396</v>
      </c>
      <c r="B84" s="65" t="s">
        <v>362</v>
      </c>
      <c r="C84" s="65" t="s">
        <v>391</v>
      </c>
      <c r="D84" s="65" t="s">
        <v>24</v>
      </c>
      <c r="E84" s="55">
        <v>0.20943400000000001</v>
      </c>
      <c r="F84" s="55">
        <v>0.16015599999999999</v>
      </c>
      <c r="G84" s="55">
        <v>0.21251400000000001</v>
      </c>
      <c r="H84" s="65"/>
      <c r="I84" s="62">
        <f>AVERAGE(E84:H84)</f>
        <v>0.19403466666666666</v>
      </c>
      <c r="J84" s="66">
        <v>2</v>
      </c>
      <c r="K84" s="16" t="s">
        <v>392</v>
      </c>
      <c r="L84" s="16" t="s">
        <v>412</v>
      </c>
      <c r="M84" s="62">
        <f t="shared" si="1"/>
        <v>9.701733333333333E-2</v>
      </c>
      <c r="N84" s="62" t="e">
        <f t="shared" si="3"/>
        <v>#N/A</v>
      </c>
    </row>
    <row r="85" spans="1:16" ht="15" x14ac:dyDescent="0.2">
      <c r="A85" t="s">
        <v>169</v>
      </c>
      <c r="B85" t="s">
        <v>362</v>
      </c>
      <c r="C85" t="s">
        <v>397</v>
      </c>
      <c r="D85" t="s">
        <v>23</v>
      </c>
      <c r="E85">
        <v>9.2333333333332698E-2</v>
      </c>
      <c r="F85">
        <v>-0.11695555555555499</v>
      </c>
      <c r="G85">
        <v>-9.8488888888889195E-2</v>
      </c>
      <c r="H85" s="55"/>
      <c r="I85" s="62">
        <f t="shared" ref="I85:I148" si="4">AVERAGE(E85:H85)</f>
        <v>-4.1037037037037163E-2</v>
      </c>
      <c r="J85" s="66">
        <v>2</v>
      </c>
      <c r="K85" s="16" t="s">
        <v>423</v>
      </c>
      <c r="L85" s="16" t="s">
        <v>425</v>
      </c>
      <c r="M85" s="62" t="e">
        <f t="shared" si="1"/>
        <v>#N/A</v>
      </c>
      <c r="N85" s="62">
        <f t="shared" si="3"/>
        <v>-2.0518518518518582E-2</v>
      </c>
      <c r="P85" t="s">
        <v>4</v>
      </c>
    </row>
    <row r="86" spans="1:16" ht="15" x14ac:dyDescent="0.2">
      <c r="A86" t="s">
        <v>185</v>
      </c>
      <c r="B86" t="s">
        <v>362</v>
      </c>
      <c r="C86" t="s">
        <v>397</v>
      </c>
      <c r="D86" t="s">
        <v>23</v>
      </c>
      <c r="E86">
        <v>0.12311111111111001</v>
      </c>
      <c r="F86">
        <v>3.0777777777778199E-2</v>
      </c>
      <c r="G86">
        <v>5.5399999999999797E-2</v>
      </c>
      <c r="H86" s="55"/>
      <c r="I86" s="62">
        <f t="shared" si="4"/>
        <v>6.976296296296268E-2</v>
      </c>
      <c r="J86" s="66">
        <v>2</v>
      </c>
      <c r="K86" s="16" t="s">
        <v>423</v>
      </c>
      <c r="L86" s="16" t="s">
        <v>425</v>
      </c>
      <c r="M86" s="62" t="e">
        <f t="shared" ref="M86:M149" si="5">IF(K86="µl",I86/J86, NA())</f>
        <v>#N/A</v>
      </c>
      <c r="N86" s="62">
        <f t="shared" si="3"/>
        <v>3.488148148148134E-2</v>
      </c>
      <c r="P86" t="s">
        <v>4</v>
      </c>
    </row>
    <row r="87" spans="1:16" ht="15" x14ac:dyDescent="0.2">
      <c r="A87" t="s">
        <v>170</v>
      </c>
      <c r="B87" t="s">
        <v>362</v>
      </c>
      <c r="C87" t="s">
        <v>397</v>
      </c>
      <c r="D87" t="s">
        <v>23</v>
      </c>
      <c r="E87">
        <v>1.25983703703703</v>
      </c>
      <c r="F87">
        <v>1.1428814814814801</v>
      </c>
      <c r="G87">
        <v>1.14903703703703</v>
      </c>
      <c r="H87" s="55"/>
      <c r="I87" s="62">
        <f t="shared" si="4"/>
        <v>1.1839185185185135</v>
      </c>
      <c r="J87" s="66">
        <v>2</v>
      </c>
      <c r="K87" s="16" t="s">
        <v>423</v>
      </c>
      <c r="L87" s="16" t="s">
        <v>425</v>
      </c>
      <c r="M87" s="62" t="e">
        <f t="shared" si="5"/>
        <v>#N/A</v>
      </c>
      <c r="N87" s="62">
        <f t="shared" si="3"/>
        <v>0.59195925925925674</v>
      </c>
      <c r="O87" t="s">
        <v>434</v>
      </c>
      <c r="P87" t="s">
        <v>6</v>
      </c>
    </row>
    <row r="88" spans="1:16" ht="15" x14ac:dyDescent="0.2">
      <c r="A88" t="s">
        <v>186</v>
      </c>
      <c r="B88" t="s">
        <v>362</v>
      </c>
      <c r="C88" t="s">
        <v>397</v>
      </c>
      <c r="D88" t="s">
        <v>23</v>
      </c>
      <c r="E88">
        <v>1.2536814814814801</v>
      </c>
      <c r="F88">
        <v>1.29061481481481</v>
      </c>
      <c r="G88">
        <v>1.33985925925925</v>
      </c>
      <c r="H88" s="55"/>
      <c r="I88" s="62">
        <f t="shared" si="4"/>
        <v>1.2947185185185133</v>
      </c>
      <c r="J88" s="66">
        <v>2</v>
      </c>
      <c r="K88" s="16" t="s">
        <v>423</v>
      </c>
      <c r="L88" s="16" t="s">
        <v>425</v>
      </c>
      <c r="M88" s="62" t="e">
        <f t="shared" si="5"/>
        <v>#N/A</v>
      </c>
      <c r="N88" s="62">
        <f t="shared" si="3"/>
        <v>0.64735925925925664</v>
      </c>
      <c r="O88" t="s">
        <v>434</v>
      </c>
      <c r="P88" t="s">
        <v>6</v>
      </c>
    </row>
    <row r="89" spans="1:16" ht="15" x14ac:dyDescent="0.2">
      <c r="A89" t="s">
        <v>171</v>
      </c>
      <c r="B89" t="s">
        <v>362</v>
      </c>
      <c r="C89" t="s">
        <v>397</v>
      </c>
      <c r="D89" t="s">
        <v>23</v>
      </c>
      <c r="E89">
        <v>8.6177777777778103E-2</v>
      </c>
      <c r="F89">
        <v>-0.15388888888888799</v>
      </c>
      <c r="G89">
        <v>-0.17235555555555601</v>
      </c>
      <c r="H89" s="55"/>
      <c r="I89" s="62">
        <f t="shared" si="4"/>
        <v>-8.0022222222221967E-2</v>
      </c>
      <c r="J89" s="66">
        <v>2</v>
      </c>
      <c r="K89" s="16" t="s">
        <v>423</v>
      </c>
      <c r="L89" s="16" t="s">
        <v>425</v>
      </c>
      <c r="M89" s="62" t="e">
        <f t="shared" si="5"/>
        <v>#N/A</v>
      </c>
      <c r="N89" s="62">
        <f t="shared" si="3"/>
        <v>-4.0011111111110984E-2</v>
      </c>
      <c r="P89" t="s">
        <v>4</v>
      </c>
    </row>
    <row r="90" spans="1:16" ht="15" x14ac:dyDescent="0.2">
      <c r="A90" t="s">
        <v>172</v>
      </c>
      <c r="B90" t="s">
        <v>362</v>
      </c>
      <c r="C90" t="s">
        <v>397</v>
      </c>
      <c r="D90" t="s">
        <v>23</v>
      </c>
      <c r="E90">
        <v>6.7711111111111E-2</v>
      </c>
      <c r="F90">
        <v>-0.196977777777777</v>
      </c>
      <c r="G90">
        <v>-0.141577777777777</v>
      </c>
      <c r="H90" s="55"/>
      <c r="I90" s="62">
        <f t="shared" si="4"/>
        <v>-9.0281481481481005E-2</v>
      </c>
      <c r="J90" s="66">
        <v>2</v>
      </c>
      <c r="K90" s="16" t="s">
        <v>423</v>
      </c>
      <c r="L90" s="16" t="s">
        <v>425</v>
      </c>
      <c r="M90" s="62" t="e">
        <f t="shared" si="5"/>
        <v>#N/A</v>
      </c>
      <c r="N90" s="62">
        <f t="shared" si="3"/>
        <v>-4.5140740740740502E-2</v>
      </c>
      <c r="P90" t="s">
        <v>4</v>
      </c>
    </row>
    <row r="91" spans="1:16" ht="15" x14ac:dyDescent="0.2">
      <c r="A91" t="s">
        <v>173</v>
      </c>
      <c r="B91" t="s">
        <v>362</v>
      </c>
      <c r="C91" t="s">
        <v>397</v>
      </c>
      <c r="D91" t="s">
        <v>23</v>
      </c>
      <c r="E91">
        <v>1.3460148148148099</v>
      </c>
      <c r="F91">
        <v>1.62301481481481</v>
      </c>
      <c r="G91">
        <v>1.4937481481481401</v>
      </c>
      <c r="H91" s="55"/>
      <c r="I91" s="62">
        <f t="shared" si="4"/>
        <v>1.4875925925925866</v>
      </c>
      <c r="J91" s="66">
        <v>2</v>
      </c>
      <c r="K91" s="16" t="s">
        <v>423</v>
      </c>
      <c r="L91" s="16" t="s">
        <v>425</v>
      </c>
      <c r="M91" s="62" t="e">
        <f t="shared" si="5"/>
        <v>#N/A</v>
      </c>
      <c r="N91" s="62">
        <f t="shared" si="3"/>
        <v>0.74379629629629329</v>
      </c>
      <c r="O91" t="s">
        <v>434</v>
      </c>
      <c r="P91" t="s">
        <v>6</v>
      </c>
    </row>
    <row r="92" spans="1:16" ht="15" x14ac:dyDescent="0.2">
      <c r="A92" t="s">
        <v>174</v>
      </c>
      <c r="B92" t="s">
        <v>362</v>
      </c>
      <c r="C92" t="s">
        <v>397</v>
      </c>
      <c r="D92" t="s">
        <v>23</v>
      </c>
      <c r="E92">
        <v>0.30162222222222201</v>
      </c>
      <c r="F92">
        <v>7.3866666666666303E-2</v>
      </c>
      <c r="G92">
        <v>0.22775555555555499</v>
      </c>
      <c r="H92" s="55"/>
      <c r="I92" s="62">
        <f t="shared" si="4"/>
        <v>0.20108148148148111</v>
      </c>
      <c r="J92" s="66">
        <v>2</v>
      </c>
      <c r="K92" s="16" t="s">
        <v>423</v>
      </c>
      <c r="L92" s="16" t="s">
        <v>425</v>
      </c>
      <c r="M92" s="62" t="e">
        <f t="shared" si="5"/>
        <v>#N/A</v>
      </c>
      <c r="N92" s="62">
        <f t="shared" si="3"/>
        <v>0.10054074074074056</v>
      </c>
      <c r="P92" t="s">
        <v>6</v>
      </c>
    </row>
    <row r="93" spans="1:16" ht="15" x14ac:dyDescent="0.2">
      <c r="A93" t="s">
        <v>184</v>
      </c>
      <c r="B93" t="s">
        <v>362</v>
      </c>
      <c r="C93" t="s">
        <v>397</v>
      </c>
      <c r="D93" t="s">
        <v>23</v>
      </c>
      <c r="E93">
        <v>1.2311111111111101E-2</v>
      </c>
      <c r="F93">
        <v>6.15555555555551E-2</v>
      </c>
      <c r="G93">
        <v>4.9244444444443897E-2</v>
      </c>
      <c r="H93" s="55"/>
      <c r="I93" s="62">
        <f t="shared" si="4"/>
        <v>4.1037037037036699E-2</v>
      </c>
      <c r="J93" s="66">
        <v>2</v>
      </c>
      <c r="K93" s="16" t="s">
        <v>423</v>
      </c>
      <c r="L93" s="16" t="s">
        <v>425</v>
      </c>
      <c r="M93" s="62" t="e">
        <f t="shared" si="5"/>
        <v>#N/A</v>
      </c>
      <c r="N93" s="62">
        <f t="shared" si="3"/>
        <v>2.0518518518518349E-2</v>
      </c>
      <c r="P93" t="s">
        <v>4</v>
      </c>
    </row>
    <row r="94" spans="1:16" ht="15" x14ac:dyDescent="0.2">
      <c r="A94" t="s">
        <v>175</v>
      </c>
      <c r="B94" t="s">
        <v>362</v>
      </c>
      <c r="C94" t="s">
        <v>397</v>
      </c>
      <c r="D94" t="s">
        <v>23</v>
      </c>
      <c r="E94">
        <v>8.0022222222222203E-2</v>
      </c>
      <c r="F94">
        <v>-5.5400000000000497E-2</v>
      </c>
      <c r="G94">
        <v>-9.2333333333333295E-2</v>
      </c>
      <c r="H94" s="55"/>
      <c r="I94" s="62">
        <f t="shared" si="4"/>
        <v>-2.2570370370370529E-2</v>
      </c>
      <c r="J94" s="66">
        <v>2</v>
      </c>
      <c r="K94" s="16" t="s">
        <v>423</v>
      </c>
      <c r="L94" s="16" t="s">
        <v>425</v>
      </c>
      <c r="M94" s="62" t="e">
        <f t="shared" si="5"/>
        <v>#N/A</v>
      </c>
      <c r="N94" s="62">
        <f t="shared" si="3"/>
        <v>-1.1285185185185264E-2</v>
      </c>
      <c r="P94" t="s">
        <v>4</v>
      </c>
    </row>
    <row r="95" spans="1:16" ht="15" x14ac:dyDescent="0.2">
      <c r="A95" t="s">
        <v>176</v>
      </c>
      <c r="B95" t="s">
        <v>362</v>
      </c>
      <c r="C95" t="s">
        <v>397</v>
      </c>
      <c r="D95" t="s">
        <v>23</v>
      </c>
      <c r="E95">
        <v>1.2229037037037001</v>
      </c>
      <c r="F95">
        <v>1.1367259259259199</v>
      </c>
      <c r="G95">
        <v>1.19212592592592</v>
      </c>
      <c r="H95" s="55"/>
      <c r="I95" s="62">
        <f t="shared" si="4"/>
        <v>1.1839185185185135</v>
      </c>
      <c r="J95" s="66">
        <v>2</v>
      </c>
      <c r="K95" s="16" t="s">
        <v>423</v>
      </c>
      <c r="L95" s="16" t="s">
        <v>425</v>
      </c>
      <c r="M95" s="62" t="e">
        <f t="shared" si="5"/>
        <v>#N/A</v>
      </c>
      <c r="N95" s="62">
        <f t="shared" si="3"/>
        <v>0.59195925925925674</v>
      </c>
      <c r="O95" t="s">
        <v>434</v>
      </c>
      <c r="P95" t="s">
        <v>6</v>
      </c>
    </row>
    <row r="96" spans="1:16" ht="15" x14ac:dyDescent="0.2">
      <c r="A96" t="s">
        <v>183</v>
      </c>
      <c r="B96" t="s">
        <v>362</v>
      </c>
      <c r="C96" t="s">
        <v>397</v>
      </c>
      <c r="D96" t="s">
        <v>23</v>
      </c>
      <c r="E96">
        <v>0.23391111111111099</v>
      </c>
      <c r="F96">
        <v>0.135422222222222</v>
      </c>
      <c r="G96">
        <v>0.110799999999999</v>
      </c>
      <c r="H96" s="55"/>
      <c r="I96" s="62">
        <f t="shared" si="4"/>
        <v>0.16004444444444399</v>
      </c>
      <c r="J96" s="66">
        <v>2</v>
      </c>
      <c r="K96" s="16" t="s">
        <v>423</v>
      </c>
      <c r="L96" s="16" t="s">
        <v>425</v>
      </c>
      <c r="M96" s="62" t="e">
        <f t="shared" si="5"/>
        <v>#N/A</v>
      </c>
      <c r="N96" s="62">
        <f t="shared" si="3"/>
        <v>8.0022222222221995E-2</v>
      </c>
      <c r="P96" t="s">
        <v>6</v>
      </c>
    </row>
    <row r="97" spans="1:16" ht="15" x14ac:dyDescent="0.2">
      <c r="A97" t="s">
        <v>177</v>
      </c>
      <c r="B97" t="s">
        <v>362</v>
      </c>
      <c r="C97" t="s">
        <v>397</v>
      </c>
      <c r="D97" t="s">
        <v>23</v>
      </c>
      <c r="E97">
        <v>1.3275481481481399</v>
      </c>
      <c r="F97">
        <v>1.0628592592592501</v>
      </c>
      <c r="G97">
        <v>1.1059481481481399</v>
      </c>
      <c r="H97" s="55"/>
      <c r="I97" s="62">
        <f t="shared" si="4"/>
        <v>1.1654518518518433</v>
      </c>
      <c r="J97" s="66">
        <v>2</v>
      </c>
      <c r="K97" s="16" t="s">
        <v>423</v>
      </c>
      <c r="L97" s="16" t="s">
        <v>425</v>
      </c>
      <c r="M97" s="62" t="e">
        <f t="shared" si="5"/>
        <v>#N/A</v>
      </c>
      <c r="N97" s="62">
        <f t="shared" si="3"/>
        <v>0.58272592592592165</v>
      </c>
      <c r="O97" t="s">
        <v>434</v>
      </c>
      <c r="P97" t="s">
        <v>6</v>
      </c>
    </row>
    <row r="98" spans="1:16" ht="15" x14ac:dyDescent="0.2">
      <c r="A98" t="s">
        <v>187</v>
      </c>
      <c r="B98" t="s">
        <v>362</v>
      </c>
      <c r="C98" t="s">
        <v>397</v>
      </c>
      <c r="D98" t="s">
        <v>23</v>
      </c>
      <c r="E98">
        <v>1.30908148148148</v>
      </c>
      <c r="F98">
        <v>1.1675037037036999</v>
      </c>
      <c r="G98">
        <v>1.3644814814814801</v>
      </c>
      <c r="H98" s="55"/>
      <c r="I98" s="62">
        <f t="shared" si="4"/>
        <v>1.2803555555555535</v>
      </c>
      <c r="J98" s="66">
        <v>2</v>
      </c>
      <c r="K98" s="16" t="s">
        <v>423</v>
      </c>
      <c r="L98" s="16" t="s">
        <v>425</v>
      </c>
      <c r="M98" s="62" t="e">
        <f t="shared" si="5"/>
        <v>#N/A</v>
      </c>
      <c r="N98" s="62">
        <f t="shared" si="3"/>
        <v>0.64017777777777674</v>
      </c>
      <c r="O98" t="s">
        <v>434</v>
      </c>
      <c r="P98" t="s">
        <v>6</v>
      </c>
    </row>
    <row r="99" spans="1:16" ht="15" x14ac:dyDescent="0.2">
      <c r="A99" t="s">
        <v>178</v>
      </c>
      <c r="B99" t="s">
        <v>362</v>
      </c>
      <c r="C99" t="s">
        <v>397</v>
      </c>
      <c r="D99" t="s">
        <v>23</v>
      </c>
      <c r="E99">
        <v>1.1244148148148101</v>
      </c>
      <c r="F99">
        <v>0.89050370370370302</v>
      </c>
      <c r="G99">
        <v>0.90897037037036998</v>
      </c>
      <c r="H99" s="55"/>
      <c r="I99" s="62">
        <f t="shared" si="4"/>
        <v>0.97462962962962774</v>
      </c>
      <c r="J99" s="66">
        <v>2</v>
      </c>
      <c r="K99" s="16" t="s">
        <v>423</v>
      </c>
      <c r="L99" s="16" t="s">
        <v>425</v>
      </c>
      <c r="M99" s="62" t="e">
        <f t="shared" si="5"/>
        <v>#N/A</v>
      </c>
      <c r="N99" s="62">
        <f t="shared" si="3"/>
        <v>0.48731481481481387</v>
      </c>
      <c r="O99" t="s">
        <v>434</v>
      </c>
      <c r="P99" t="s">
        <v>6</v>
      </c>
    </row>
    <row r="100" spans="1:16" ht="15" x14ac:dyDescent="0.2">
      <c r="A100" t="s">
        <v>179</v>
      </c>
      <c r="B100" t="s">
        <v>362</v>
      </c>
      <c r="C100" t="s">
        <v>397</v>
      </c>
      <c r="D100" t="s">
        <v>23</v>
      </c>
      <c r="E100">
        <v>8.6177777777778103E-2</v>
      </c>
      <c r="F100">
        <v>-0.14773333333333299</v>
      </c>
      <c r="G100">
        <v>-0.16619999999999899</v>
      </c>
      <c r="H100" s="55"/>
      <c r="I100" s="62">
        <f t="shared" si="4"/>
        <v>-7.5918518518517955E-2</v>
      </c>
      <c r="J100" s="66">
        <v>2</v>
      </c>
      <c r="K100" s="16" t="s">
        <v>423</v>
      </c>
      <c r="L100" s="16" t="s">
        <v>425</v>
      </c>
      <c r="M100" s="62" t="e">
        <f t="shared" si="5"/>
        <v>#N/A</v>
      </c>
      <c r="N100" s="62">
        <f t="shared" si="3"/>
        <v>-3.7959259259258978E-2</v>
      </c>
      <c r="P100" t="s">
        <v>4</v>
      </c>
    </row>
    <row r="101" spans="1:16" ht="15" x14ac:dyDescent="0.2">
      <c r="A101" t="s">
        <v>180</v>
      </c>
      <c r="B101" t="s">
        <v>362</v>
      </c>
      <c r="C101" t="s">
        <v>397</v>
      </c>
      <c r="D101" t="s">
        <v>23</v>
      </c>
      <c r="E101">
        <v>1.30908148148148</v>
      </c>
      <c r="F101">
        <v>0.94590370370370302</v>
      </c>
      <c r="G101">
        <v>0.78585925925925904</v>
      </c>
      <c r="H101" s="55"/>
      <c r="I101" s="62">
        <f t="shared" si="4"/>
        <v>1.0136148148148141</v>
      </c>
      <c r="J101" s="66">
        <v>2</v>
      </c>
      <c r="K101" s="16" t="s">
        <v>423</v>
      </c>
      <c r="L101" s="16" t="s">
        <v>425</v>
      </c>
      <c r="M101" s="62" t="e">
        <f t="shared" si="5"/>
        <v>#N/A</v>
      </c>
      <c r="N101" s="62">
        <f t="shared" si="3"/>
        <v>0.50680740740740704</v>
      </c>
      <c r="O101" t="s">
        <v>434</v>
      </c>
      <c r="P101" t="s">
        <v>6</v>
      </c>
    </row>
    <row r="102" spans="1:16" ht="15" x14ac:dyDescent="0.2">
      <c r="A102" t="s">
        <v>182</v>
      </c>
      <c r="B102" t="s">
        <v>362</v>
      </c>
      <c r="C102" t="s">
        <v>397</v>
      </c>
      <c r="D102" t="s">
        <v>23</v>
      </c>
      <c r="E102">
        <v>1.35217037037037</v>
      </c>
      <c r="F102">
        <v>1.40141481481481</v>
      </c>
      <c r="G102">
        <v>1.4260370370370301</v>
      </c>
      <c r="H102" s="55"/>
      <c r="I102" s="62">
        <f t="shared" si="4"/>
        <v>1.3932074074074035</v>
      </c>
      <c r="J102" s="66">
        <v>2</v>
      </c>
      <c r="K102" s="16" t="s">
        <v>423</v>
      </c>
      <c r="L102" s="16" t="s">
        <v>425</v>
      </c>
      <c r="M102" s="62" t="e">
        <f t="shared" si="5"/>
        <v>#N/A</v>
      </c>
      <c r="N102" s="62">
        <f t="shared" si="3"/>
        <v>0.69660370370370173</v>
      </c>
      <c r="O102" t="s">
        <v>434</v>
      </c>
      <c r="P102" t="s">
        <v>6</v>
      </c>
    </row>
    <row r="103" spans="1:16" ht="15" x14ac:dyDescent="0.2">
      <c r="A103" t="s">
        <v>413</v>
      </c>
      <c r="B103" t="s">
        <v>362</v>
      </c>
      <c r="C103" t="s">
        <v>397</v>
      </c>
      <c r="D103" t="s">
        <v>23</v>
      </c>
      <c r="E103">
        <v>2.6140592592592502</v>
      </c>
      <c r="F103">
        <v>2.5525037037036999</v>
      </c>
      <c r="G103">
        <v>2.5709703703703699</v>
      </c>
      <c r="H103" s="55"/>
      <c r="I103" s="62">
        <f t="shared" si="4"/>
        <v>2.5791777777777734</v>
      </c>
      <c r="J103" s="66">
        <v>2</v>
      </c>
      <c r="K103" s="16" t="s">
        <v>423</v>
      </c>
      <c r="L103" s="16" t="s">
        <v>425</v>
      </c>
      <c r="M103" s="62" t="e">
        <f t="shared" si="5"/>
        <v>#N/A</v>
      </c>
      <c r="N103" s="62">
        <f t="shared" si="3"/>
        <v>1.2895888888888867</v>
      </c>
      <c r="O103" t="s">
        <v>434</v>
      </c>
    </row>
    <row r="104" spans="1:16" ht="15" x14ac:dyDescent="0.2">
      <c r="A104" t="s">
        <v>396</v>
      </c>
      <c r="B104" t="s">
        <v>362</v>
      </c>
      <c r="C104" t="s">
        <v>397</v>
      </c>
      <c r="D104" t="s">
        <v>23</v>
      </c>
      <c r="E104">
        <v>-4.3088888888888698E-2</v>
      </c>
      <c r="F104">
        <v>-3.6933333333333401E-2</v>
      </c>
      <c r="G104">
        <v>-0.14773333333333299</v>
      </c>
      <c r="H104" s="55"/>
      <c r="I104" s="62">
        <f t="shared" si="4"/>
        <v>-7.5918518518518371E-2</v>
      </c>
      <c r="J104" s="66">
        <v>2</v>
      </c>
      <c r="K104" s="16" t="s">
        <v>423</v>
      </c>
      <c r="L104" s="16" t="s">
        <v>425</v>
      </c>
      <c r="M104" s="62" t="e">
        <f t="shared" si="5"/>
        <v>#N/A</v>
      </c>
      <c r="N104" s="62">
        <f t="shared" si="3"/>
        <v>-3.7959259259259186E-2</v>
      </c>
    </row>
    <row r="105" spans="1:16" ht="15" x14ac:dyDescent="0.2">
      <c r="A105" t="s">
        <v>151</v>
      </c>
      <c r="B105" t="s">
        <v>362</v>
      </c>
      <c r="C105" t="s">
        <v>397</v>
      </c>
      <c r="D105" t="s">
        <v>3</v>
      </c>
      <c r="E105">
        <v>2.6571481481481398</v>
      </c>
      <c r="F105">
        <v>2.7187037037036998</v>
      </c>
      <c r="G105">
        <v>2.7002370370370299</v>
      </c>
      <c r="H105" s="64"/>
      <c r="I105" s="62">
        <f t="shared" si="4"/>
        <v>2.6920296296296229</v>
      </c>
      <c r="J105" s="66">
        <v>2</v>
      </c>
      <c r="K105" s="16" t="s">
        <v>423</v>
      </c>
      <c r="L105" s="16" t="s">
        <v>425</v>
      </c>
      <c r="M105" s="62" t="e">
        <f t="shared" si="5"/>
        <v>#N/A</v>
      </c>
      <c r="N105" s="62">
        <f t="shared" si="3"/>
        <v>1.3460148148148114</v>
      </c>
      <c r="O105" t="s">
        <v>434</v>
      </c>
      <c r="P105" t="s">
        <v>6</v>
      </c>
    </row>
    <row r="106" spans="1:16" ht="15" x14ac:dyDescent="0.2">
      <c r="A106" t="s">
        <v>152</v>
      </c>
      <c r="B106" t="s">
        <v>362</v>
      </c>
      <c r="C106" t="s">
        <v>397</v>
      </c>
      <c r="D106" t="s">
        <v>3</v>
      </c>
      <c r="E106">
        <v>2.7063925925925898</v>
      </c>
      <c r="F106">
        <v>2.6879259259259198</v>
      </c>
      <c r="G106">
        <v>2.6879259259259198</v>
      </c>
      <c r="H106" s="65"/>
      <c r="I106" s="62">
        <f t="shared" si="4"/>
        <v>2.6940814814814771</v>
      </c>
      <c r="J106" s="66">
        <v>2</v>
      </c>
      <c r="K106" s="16" t="s">
        <v>423</v>
      </c>
      <c r="L106" s="16" t="s">
        <v>425</v>
      </c>
      <c r="M106" s="62" t="e">
        <f t="shared" si="5"/>
        <v>#N/A</v>
      </c>
      <c r="N106" s="62">
        <f t="shared" si="3"/>
        <v>1.3470407407407385</v>
      </c>
      <c r="O106" t="s">
        <v>434</v>
      </c>
      <c r="P106" t="s">
        <v>6</v>
      </c>
    </row>
    <row r="107" spans="1:16" ht="15" x14ac:dyDescent="0.2">
      <c r="A107" t="s">
        <v>153</v>
      </c>
      <c r="B107" t="s">
        <v>362</v>
      </c>
      <c r="C107" t="s">
        <v>397</v>
      </c>
      <c r="D107" t="s">
        <v>3</v>
      </c>
      <c r="E107">
        <v>2.6202148148148101</v>
      </c>
      <c r="F107">
        <v>2.4663259259259198</v>
      </c>
      <c r="G107">
        <v>2.5894370370370301</v>
      </c>
      <c r="H107" s="65"/>
      <c r="I107" s="62">
        <f t="shared" si="4"/>
        <v>2.5586592592592532</v>
      </c>
      <c r="J107" s="66">
        <v>2</v>
      </c>
      <c r="K107" s="16" t="s">
        <v>423</v>
      </c>
      <c r="L107" s="16" t="s">
        <v>425</v>
      </c>
      <c r="M107" s="62" t="e">
        <f t="shared" si="5"/>
        <v>#N/A</v>
      </c>
      <c r="N107" s="62">
        <f t="shared" si="3"/>
        <v>1.2793296296296266</v>
      </c>
      <c r="O107" t="s">
        <v>434</v>
      </c>
      <c r="P107" t="s">
        <v>6</v>
      </c>
    </row>
    <row r="108" spans="1:16" ht="15" x14ac:dyDescent="0.2">
      <c r="A108" t="s">
        <v>154</v>
      </c>
      <c r="B108" t="s">
        <v>362</v>
      </c>
      <c r="C108" t="s">
        <v>397</v>
      </c>
      <c r="D108" t="s">
        <v>3</v>
      </c>
      <c r="E108">
        <v>6.1555555555552598E-3</v>
      </c>
      <c r="F108">
        <v>0</v>
      </c>
      <c r="G108">
        <v>1.8466666666666399E-2</v>
      </c>
      <c r="H108" s="65"/>
      <c r="I108" s="62">
        <f t="shared" si="4"/>
        <v>8.207407407407219E-3</v>
      </c>
      <c r="J108" s="66">
        <v>2</v>
      </c>
      <c r="K108" s="16" t="s">
        <v>423</v>
      </c>
      <c r="L108" s="16" t="s">
        <v>425</v>
      </c>
      <c r="M108" s="62" t="e">
        <f t="shared" si="5"/>
        <v>#N/A</v>
      </c>
      <c r="N108" s="62">
        <f t="shared" si="3"/>
        <v>4.1037037037036095E-3</v>
      </c>
      <c r="P108" t="s">
        <v>4</v>
      </c>
    </row>
    <row r="109" spans="1:16" ht="15" x14ac:dyDescent="0.2">
      <c r="A109" t="s">
        <v>155</v>
      </c>
      <c r="B109" t="s">
        <v>362</v>
      </c>
      <c r="C109" t="s">
        <v>397</v>
      </c>
      <c r="D109" t="s">
        <v>3</v>
      </c>
      <c r="E109">
        <v>2.0415925925925902</v>
      </c>
      <c r="F109">
        <v>1.99234814814814</v>
      </c>
      <c r="G109">
        <v>1.8569259259259201</v>
      </c>
      <c r="H109" s="65"/>
      <c r="I109" s="62">
        <f t="shared" si="4"/>
        <v>1.9636222222222168</v>
      </c>
      <c r="J109" s="66">
        <v>2</v>
      </c>
      <c r="K109" s="16" t="s">
        <v>423</v>
      </c>
      <c r="L109" s="16" t="s">
        <v>425</v>
      </c>
      <c r="M109" s="62" t="e">
        <f t="shared" si="5"/>
        <v>#N/A</v>
      </c>
      <c r="N109" s="62">
        <f t="shared" si="3"/>
        <v>0.98181111111110841</v>
      </c>
      <c r="O109" t="s">
        <v>434</v>
      </c>
      <c r="P109" t="s">
        <v>6</v>
      </c>
    </row>
    <row r="110" spans="1:16" ht="15" x14ac:dyDescent="0.2">
      <c r="A110" t="s">
        <v>156</v>
      </c>
      <c r="B110" t="s">
        <v>362</v>
      </c>
      <c r="C110" t="s">
        <v>397</v>
      </c>
      <c r="D110" t="s">
        <v>3</v>
      </c>
      <c r="E110">
        <v>0.338555555555555</v>
      </c>
      <c r="F110">
        <v>0.36933333333333301</v>
      </c>
      <c r="G110">
        <v>0.34471111111111102</v>
      </c>
      <c r="H110" s="65"/>
      <c r="I110" s="62">
        <f t="shared" si="4"/>
        <v>0.35086666666666638</v>
      </c>
      <c r="J110" s="66">
        <v>2</v>
      </c>
      <c r="K110" s="16" t="s">
        <v>423</v>
      </c>
      <c r="L110" s="16" t="s">
        <v>425</v>
      </c>
      <c r="M110" s="62" t="e">
        <f t="shared" si="5"/>
        <v>#N/A</v>
      </c>
      <c r="N110" s="62">
        <f t="shared" si="3"/>
        <v>0.17543333333333319</v>
      </c>
      <c r="P110" t="s">
        <v>6</v>
      </c>
    </row>
    <row r="111" spans="1:16" ht="15" x14ac:dyDescent="0.2">
      <c r="A111" t="s">
        <v>157</v>
      </c>
      <c r="B111" t="s">
        <v>362</v>
      </c>
      <c r="C111" t="s">
        <v>397</v>
      </c>
      <c r="D111" t="s">
        <v>3</v>
      </c>
      <c r="E111">
        <v>0.338555555555555</v>
      </c>
      <c r="F111">
        <v>0.27700000000000002</v>
      </c>
      <c r="G111">
        <v>0.37548888888888798</v>
      </c>
      <c r="H111" s="65"/>
      <c r="I111" s="62">
        <f t="shared" si="4"/>
        <v>0.33034814814814767</v>
      </c>
      <c r="J111" s="66">
        <v>2</v>
      </c>
      <c r="K111" s="16" t="s">
        <v>423</v>
      </c>
      <c r="L111" s="16" t="s">
        <v>425</v>
      </c>
      <c r="M111" s="62" t="e">
        <f t="shared" si="5"/>
        <v>#N/A</v>
      </c>
      <c r="N111" s="62">
        <f t="shared" si="3"/>
        <v>0.16517407407407383</v>
      </c>
      <c r="P111" t="s">
        <v>6</v>
      </c>
    </row>
    <row r="112" spans="1:16" ht="15" x14ac:dyDescent="0.2">
      <c r="A112" t="s">
        <v>158</v>
      </c>
      <c r="B112" t="s">
        <v>362</v>
      </c>
      <c r="C112" t="s">
        <v>397</v>
      </c>
      <c r="D112" t="s">
        <v>3</v>
      </c>
      <c r="E112">
        <v>2.7987259259259201</v>
      </c>
      <c r="F112">
        <v>2.57712592592592</v>
      </c>
      <c r="G112">
        <v>2.6694592592592499</v>
      </c>
      <c r="H112" s="65"/>
      <c r="I112" s="62">
        <f t="shared" si="4"/>
        <v>2.6817703703703635</v>
      </c>
      <c r="J112" s="66">
        <v>2</v>
      </c>
      <c r="K112" s="16" t="s">
        <v>423</v>
      </c>
      <c r="L112" s="16" t="s">
        <v>425</v>
      </c>
      <c r="M112" s="62" t="e">
        <f t="shared" si="5"/>
        <v>#N/A</v>
      </c>
      <c r="N112" s="62">
        <f t="shared" si="3"/>
        <v>1.3408851851851817</v>
      </c>
      <c r="O112" t="s">
        <v>434</v>
      </c>
      <c r="P112" t="s">
        <v>6</v>
      </c>
    </row>
    <row r="113" spans="1:16" ht="15" x14ac:dyDescent="0.2">
      <c r="A113" t="s">
        <v>159</v>
      </c>
      <c r="B113" t="s">
        <v>362</v>
      </c>
      <c r="C113" t="s">
        <v>397</v>
      </c>
      <c r="D113" t="s">
        <v>3</v>
      </c>
      <c r="E113">
        <v>2.7310148148148099</v>
      </c>
      <c r="F113">
        <v>2.40477037037037</v>
      </c>
      <c r="G113">
        <v>2.6325259259259202</v>
      </c>
      <c r="H113" s="65"/>
      <c r="I113" s="62">
        <f t="shared" si="4"/>
        <v>2.5894370370370332</v>
      </c>
      <c r="J113" s="66">
        <v>2</v>
      </c>
      <c r="K113" s="16" t="s">
        <v>423</v>
      </c>
      <c r="L113" s="16" t="s">
        <v>425</v>
      </c>
      <c r="M113" s="62" t="e">
        <f t="shared" si="5"/>
        <v>#N/A</v>
      </c>
      <c r="N113" s="62">
        <f t="shared" si="3"/>
        <v>1.2947185185185166</v>
      </c>
      <c r="O113" t="s">
        <v>434</v>
      </c>
      <c r="P113" t="s">
        <v>6</v>
      </c>
    </row>
    <row r="114" spans="1:16" ht="15" x14ac:dyDescent="0.2">
      <c r="A114" t="s">
        <v>160</v>
      </c>
      <c r="B114" t="s">
        <v>362</v>
      </c>
      <c r="C114" t="s">
        <v>397</v>
      </c>
      <c r="D114" t="s">
        <v>3</v>
      </c>
      <c r="E114">
        <v>2.7187037037036998</v>
      </c>
      <c r="F114">
        <v>2.4601703703703701</v>
      </c>
      <c r="G114">
        <v>2.6263703703703598</v>
      </c>
      <c r="H114" s="65"/>
      <c r="I114" s="62">
        <f t="shared" si="4"/>
        <v>2.6017481481481433</v>
      </c>
      <c r="J114" s="66">
        <v>2</v>
      </c>
      <c r="K114" s="16" t="s">
        <v>423</v>
      </c>
      <c r="L114" s="16" t="s">
        <v>425</v>
      </c>
      <c r="M114" s="62" t="e">
        <f t="shared" si="5"/>
        <v>#N/A</v>
      </c>
      <c r="N114" s="62">
        <f t="shared" si="3"/>
        <v>1.3008740740740716</v>
      </c>
      <c r="O114" t="s">
        <v>434</v>
      </c>
      <c r="P114" t="s">
        <v>6</v>
      </c>
    </row>
    <row r="115" spans="1:16" ht="15" x14ac:dyDescent="0.2">
      <c r="A115" t="s">
        <v>161</v>
      </c>
      <c r="B115" t="s">
        <v>362</v>
      </c>
      <c r="C115" t="s">
        <v>397</v>
      </c>
      <c r="D115" t="s">
        <v>3</v>
      </c>
      <c r="E115">
        <v>2.7125481481481399</v>
      </c>
      <c r="F115">
        <v>2.4293925925925901</v>
      </c>
      <c r="G115">
        <v>2.56481481481481</v>
      </c>
      <c r="H115" s="65"/>
      <c r="I115" s="62">
        <f t="shared" si="4"/>
        <v>2.5689185185185135</v>
      </c>
      <c r="J115" s="66">
        <v>2</v>
      </c>
      <c r="K115" s="16" t="s">
        <v>423</v>
      </c>
      <c r="L115" s="16" t="s">
        <v>425</v>
      </c>
      <c r="M115" s="62" t="e">
        <f t="shared" si="5"/>
        <v>#N/A</v>
      </c>
      <c r="N115" s="62">
        <f t="shared" si="3"/>
        <v>1.2844592592592567</v>
      </c>
      <c r="O115" t="s">
        <v>434</v>
      </c>
      <c r="P115" t="s">
        <v>6</v>
      </c>
    </row>
    <row r="116" spans="1:16" ht="15" x14ac:dyDescent="0.2">
      <c r="A116" t="s">
        <v>162</v>
      </c>
      <c r="B116" t="s">
        <v>362</v>
      </c>
      <c r="C116" t="s">
        <v>397</v>
      </c>
      <c r="D116" t="s">
        <v>3</v>
      </c>
      <c r="E116">
        <v>2.7187037037036998</v>
      </c>
      <c r="F116">
        <v>2.6448370370370302</v>
      </c>
      <c r="G116">
        <v>2.6633037037037002</v>
      </c>
      <c r="H116" s="65"/>
      <c r="I116" s="62">
        <f t="shared" si="4"/>
        <v>2.6756148148148102</v>
      </c>
      <c r="J116" s="66">
        <v>2</v>
      </c>
      <c r="K116" s="16" t="s">
        <v>423</v>
      </c>
      <c r="L116" s="16" t="s">
        <v>425</v>
      </c>
      <c r="M116" s="62" t="e">
        <f t="shared" si="5"/>
        <v>#N/A</v>
      </c>
      <c r="N116" s="62">
        <f t="shared" si="3"/>
        <v>1.3378074074074051</v>
      </c>
      <c r="O116" t="s">
        <v>434</v>
      </c>
      <c r="P116" t="s">
        <v>6</v>
      </c>
    </row>
    <row r="117" spans="1:16" ht="15" x14ac:dyDescent="0.2">
      <c r="A117" t="s">
        <v>163</v>
      </c>
      <c r="B117" t="s">
        <v>362</v>
      </c>
      <c r="C117" t="s">
        <v>397</v>
      </c>
      <c r="D117" t="s">
        <v>3</v>
      </c>
      <c r="E117">
        <v>2.34321481481481</v>
      </c>
      <c r="F117">
        <v>2.35552592592592</v>
      </c>
      <c r="G117">
        <v>2.19548148148148</v>
      </c>
      <c r="H117" s="65"/>
      <c r="I117" s="62">
        <f t="shared" si="4"/>
        <v>2.2980740740740697</v>
      </c>
      <c r="J117" s="66">
        <v>2</v>
      </c>
      <c r="K117" s="16" t="s">
        <v>423</v>
      </c>
      <c r="L117" s="16" t="s">
        <v>425</v>
      </c>
      <c r="M117" s="62" t="e">
        <f t="shared" si="5"/>
        <v>#N/A</v>
      </c>
      <c r="N117" s="62">
        <f t="shared" si="3"/>
        <v>1.1490370370370349</v>
      </c>
      <c r="O117" t="s">
        <v>434</v>
      </c>
      <c r="P117" t="s">
        <v>6</v>
      </c>
    </row>
    <row r="118" spans="1:16" ht="15" x14ac:dyDescent="0.2">
      <c r="A118" t="s">
        <v>164</v>
      </c>
      <c r="B118" t="s">
        <v>362</v>
      </c>
      <c r="C118" t="s">
        <v>397</v>
      </c>
      <c r="D118" t="s">
        <v>3</v>
      </c>
      <c r="E118">
        <v>2.58328148148148</v>
      </c>
      <c r="F118">
        <v>2.4663259259259198</v>
      </c>
      <c r="G118">
        <v>2.4724814814814802</v>
      </c>
      <c r="H118" s="65"/>
      <c r="I118" s="62">
        <f t="shared" si="4"/>
        <v>2.5073629629629601</v>
      </c>
      <c r="J118" s="66">
        <v>2</v>
      </c>
      <c r="K118" s="16" t="s">
        <v>423</v>
      </c>
      <c r="L118" s="16" t="s">
        <v>425</v>
      </c>
      <c r="M118" s="62" t="e">
        <f t="shared" si="5"/>
        <v>#N/A</v>
      </c>
      <c r="N118" s="62">
        <f t="shared" si="3"/>
        <v>1.2536814814814801</v>
      </c>
      <c r="O118" t="s">
        <v>434</v>
      </c>
      <c r="P118" t="s">
        <v>6</v>
      </c>
    </row>
    <row r="119" spans="1:16" ht="15" x14ac:dyDescent="0.2">
      <c r="A119" t="s">
        <v>165</v>
      </c>
      <c r="B119" t="s">
        <v>362</v>
      </c>
      <c r="C119" t="s">
        <v>397</v>
      </c>
      <c r="D119" t="s">
        <v>3</v>
      </c>
      <c r="E119">
        <v>6.7711111111111E-2</v>
      </c>
      <c r="F119">
        <v>1.8466666666666399E-2</v>
      </c>
      <c r="G119">
        <v>3.0777777777778799E-2</v>
      </c>
      <c r="H119" s="65"/>
      <c r="I119" s="62">
        <f t="shared" si="4"/>
        <v>3.89851851851854E-2</v>
      </c>
      <c r="J119" s="66">
        <v>2</v>
      </c>
      <c r="K119" s="16" t="s">
        <v>423</v>
      </c>
      <c r="L119" s="16" t="s">
        <v>425</v>
      </c>
      <c r="M119" s="62" t="e">
        <f t="shared" si="5"/>
        <v>#N/A</v>
      </c>
      <c r="N119" s="62">
        <f t="shared" si="3"/>
        <v>1.94925925925927E-2</v>
      </c>
      <c r="P119" t="s">
        <v>4</v>
      </c>
    </row>
    <row r="120" spans="1:16" ht="15" x14ac:dyDescent="0.2">
      <c r="A120" t="s">
        <v>166</v>
      </c>
      <c r="B120" t="s">
        <v>362</v>
      </c>
      <c r="C120" t="s">
        <v>397</v>
      </c>
      <c r="D120" t="s">
        <v>3</v>
      </c>
      <c r="E120">
        <v>8.0022222222222203E-2</v>
      </c>
      <c r="F120">
        <v>-7.3866666666667496E-2</v>
      </c>
      <c r="G120">
        <v>-9.8488888888888598E-2</v>
      </c>
      <c r="H120" s="55"/>
      <c r="I120" s="62">
        <f t="shared" si="4"/>
        <v>-3.0777777777777963E-2</v>
      </c>
      <c r="J120" s="66">
        <v>2</v>
      </c>
      <c r="K120" s="16" t="s">
        <v>423</v>
      </c>
      <c r="L120" s="16" t="s">
        <v>425</v>
      </c>
      <c r="M120" s="62" t="e">
        <f t="shared" si="5"/>
        <v>#N/A</v>
      </c>
      <c r="N120" s="62">
        <f t="shared" si="3"/>
        <v>-1.5388888888888981E-2</v>
      </c>
      <c r="P120" t="s">
        <v>4</v>
      </c>
    </row>
    <row r="121" spans="1:16" ht="15" x14ac:dyDescent="0.2">
      <c r="A121" t="s">
        <v>167</v>
      </c>
      <c r="B121" t="s">
        <v>362</v>
      </c>
      <c r="C121" t="s">
        <v>397</v>
      </c>
      <c r="D121" t="s">
        <v>3</v>
      </c>
      <c r="E121">
        <v>1.0751703703703701</v>
      </c>
      <c r="F121">
        <v>1.1736592592592501</v>
      </c>
      <c r="G121">
        <v>1.11825925925925</v>
      </c>
      <c r="H121" s="55"/>
      <c r="I121" s="62">
        <f t="shared" si="4"/>
        <v>1.1223629629629566</v>
      </c>
      <c r="J121" s="66">
        <v>2</v>
      </c>
      <c r="K121" s="16" t="s">
        <v>423</v>
      </c>
      <c r="L121" s="16" t="s">
        <v>425</v>
      </c>
      <c r="M121" s="62" t="e">
        <f t="shared" si="5"/>
        <v>#N/A</v>
      </c>
      <c r="N121" s="62">
        <f t="shared" si="3"/>
        <v>0.56118148148147828</v>
      </c>
      <c r="O121" t="s">
        <v>434</v>
      </c>
      <c r="P121" t="s">
        <v>6</v>
      </c>
    </row>
    <row r="122" spans="1:16" ht="15" x14ac:dyDescent="0.2">
      <c r="A122" t="s">
        <v>168</v>
      </c>
      <c r="B122" t="s">
        <v>362</v>
      </c>
      <c r="C122" t="s">
        <v>397</v>
      </c>
      <c r="D122" t="s">
        <v>3</v>
      </c>
      <c r="E122">
        <v>2.5401925925925899</v>
      </c>
      <c r="F122">
        <v>2.5401925925925899</v>
      </c>
      <c r="G122">
        <v>2.5155703703703698</v>
      </c>
      <c r="H122" s="55"/>
      <c r="I122" s="62">
        <f t="shared" si="4"/>
        <v>2.5319851851851833</v>
      </c>
      <c r="J122" s="66">
        <v>2</v>
      </c>
      <c r="K122" s="16" t="s">
        <v>423</v>
      </c>
      <c r="L122" s="16" t="s">
        <v>425</v>
      </c>
      <c r="M122" s="62" t="e">
        <f t="shared" si="5"/>
        <v>#N/A</v>
      </c>
      <c r="N122" s="62">
        <f t="shared" si="3"/>
        <v>1.2659925925925917</v>
      </c>
      <c r="O122" t="s">
        <v>434</v>
      </c>
      <c r="P122" t="s">
        <v>6</v>
      </c>
    </row>
    <row r="123" spans="1:16" ht="15" x14ac:dyDescent="0.2">
      <c r="A123" t="s">
        <v>413</v>
      </c>
      <c r="B123" t="s">
        <v>362</v>
      </c>
      <c r="C123" t="s">
        <v>397</v>
      </c>
      <c r="D123" t="s">
        <v>3</v>
      </c>
      <c r="E123">
        <v>2.6140592592592502</v>
      </c>
      <c r="F123">
        <v>2.5525037037036999</v>
      </c>
      <c r="G123">
        <v>2.5709703703703699</v>
      </c>
      <c r="H123" s="55"/>
      <c r="I123" s="62">
        <f t="shared" si="4"/>
        <v>2.5791777777777734</v>
      </c>
      <c r="J123" s="66">
        <v>2</v>
      </c>
      <c r="K123" s="16" t="s">
        <v>423</v>
      </c>
      <c r="L123" s="16" t="s">
        <v>425</v>
      </c>
      <c r="M123" s="62" t="e">
        <f t="shared" si="5"/>
        <v>#N/A</v>
      </c>
      <c r="N123" s="62">
        <f t="shared" si="3"/>
        <v>1.2895888888888867</v>
      </c>
      <c r="O123" t="s">
        <v>434</v>
      </c>
    </row>
    <row r="124" spans="1:16" ht="15" x14ac:dyDescent="0.2">
      <c r="A124" t="s">
        <v>396</v>
      </c>
      <c r="B124" t="s">
        <v>362</v>
      </c>
      <c r="C124" t="s">
        <v>397</v>
      </c>
      <c r="D124" t="s">
        <v>3</v>
      </c>
      <c r="E124">
        <v>-4.3088888888888698E-2</v>
      </c>
      <c r="F124">
        <v>-3.6933333333333401E-2</v>
      </c>
      <c r="G124">
        <v>-0.14773333333333299</v>
      </c>
      <c r="H124" s="55"/>
      <c r="I124" s="62">
        <f t="shared" si="4"/>
        <v>-7.5918518518518371E-2</v>
      </c>
      <c r="J124" s="66">
        <v>2</v>
      </c>
      <c r="K124" s="16" t="s">
        <v>423</v>
      </c>
      <c r="L124" s="16" t="s">
        <v>425</v>
      </c>
      <c r="M124" s="62" t="e">
        <f t="shared" si="5"/>
        <v>#N/A</v>
      </c>
      <c r="N124" s="62">
        <f t="shared" si="3"/>
        <v>-3.7959259259259186E-2</v>
      </c>
    </row>
    <row r="125" spans="1:16" ht="15" x14ac:dyDescent="0.2">
      <c r="A125" t="s">
        <v>205</v>
      </c>
      <c r="B125" t="s">
        <v>362</v>
      </c>
      <c r="C125" t="s">
        <v>397</v>
      </c>
      <c r="D125" t="s">
        <v>119</v>
      </c>
      <c r="E125">
        <v>1.24137037037037</v>
      </c>
      <c r="F125">
        <v>0.87203703703703594</v>
      </c>
      <c r="G125">
        <v>0.85972592592592501</v>
      </c>
      <c r="H125" s="55"/>
      <c r="I125" s="62">
        <f t="shared" si="4"/>
        <v>0.99104444444444362</v>
      </c>
      <c r="J125" s="66">
        <v>2</v>
      </c>
      <c r="K125" s="16" t="s">
        <v>423</v>
      </c>
      <c r="L125" s="16" t="s">
        <v>425</v>
      </c>
      <c r="M125" s="62" t="e">
        <f t="shared" si="5"/>
        <v>#N/A</v>
      </c>
      <c r="N125" s="62">
        <f t="shared" si="3"/>
        <v>0.49552222222222181</v>
      </c>
      <c r="O125" t="s">
        <v>434</v>
      </c>
      <c r="P125" t="s">
        <v>6</v>
      </c>
    </row>
    <row r="126" spans="1:16" ht="15" x14ac:dyDescent="0.2">
      <c r="A126" t="s">
        <v>199</v>
      </c>
      <c r="B126" t="s">
        <v>362</v>
      </c>
      <c r="C126" t="s">
        <v>397</v>
      </c>
      <c r="D126" t="s">
        <v>119</v>
      </c>
      <c r="E126">
        <v>1.3767925925925899</v>
      </c>
      <c r="F126">
        <v>1.38294814814814</v>
      </c>
      <c r="G126">
        <v>1.45065925925925</v>
      </c>
      <c r="H126" s="55"/>
      <c r="I126" s="62">
        <f t="shared" si="4"/>
        <v>1.4034666666666602</v>
      </c>
      <c r="J126" s="66">
        <v>2</v>
      </c>
      <c r="K126" s="16" t="s">
        <v>423</v>
      </c>
      <c r="L126" s="16" t="s">
        <v>425</v>
      </c>
      <c r="M126" s="62" t="e">
        <f t="shared" si="5"/>
        <v>#N/A</v>
      </c>
      <c r="N126" s="62">
        <f t="shared" si="3"/>
        <v>0.7017333333333301</v>
      </c>
      <c r="O126" t="s">
        <v>434</v>
      </c>
      <c r="P126" t="s">
        <v>6</v>
      </c>
    </row>
    <row r="127" spans="1:16" ht="15" x14ac:dyDescent="0.2">
      <c r="A127" t="s">
        <v>200</v>
      </c>
      <c r="B127" t="s">
        <v>362</v>
      </c>
      <c r="C127" t="s">
        <v>397</v>
      </c>
      <c r="D127" t="s">
        <v>119</v>
      </c>
      <c r="E127">
        <v>1.3644814814814801</v>
      </c>
      <c r="F127">
        <v>1.3891037037037</v>
      </c>
      <c r="G127">
        <v>1.51221481481481</v>
      </c>
      <c r="H127" s="55"/>
      <c r="I127" s="62">
        <f t="shared" si="4"/>
        <v>1.4219333333333299</v>
      </c>
      <c r="J127" s="66">
        <v>2</v>
      </c>
      <c r="K127" s="16" t="s">
        <v>423</v>
      </c>
      <c r="L127" s="16" t="s">
        <v>425</v>
      </c>
      <c r="M127" s="62" t="e">
        <f t="shared" si="5"/>
        <v>#N/A</v>
      </c>
      <c r="N127" s="62">
        <f t="shared" si="3"/>
        <v>0.71096666666666497</v>
      </c>
      <c r="O127" t="s">
        <v>434</v>
      </c>
      <c r="P127" t="s">
        <v>6</v>
      </c>
    </row>
    <row r="128" spans="1:16" ht="15" x14ac:dyDescent="0.2">
      <c r="A128" t="s">
        <v>201</v>
      </c>
      <c r="B128" t="s">
        <v>362</v>
      </c>
      <c r="C128" t="s">
        <v>397</v>
      </c>
      <c r="D128" t="s">
        <v>119</v>
      </c>
      <c r="E128">
        <v>1.3767925925925899</v>
      </c>
      <c r="F128">
        <v>1.2044370370370301</v>
      </c>
      <c r="G128">
        <v>1.2475259259259199</v>
      </c>
      <c r="H128" s="55"/>
      <c r="I128" s="62">
        <f t="shared" si="4"/>
        <v>1.2762518518518466</v>
      </c>
      <c r="J128" s="66">
        <v>2</v>
      </c>
      <c r="K128" s="16" t="s">
        <v>423</v>
      </c>
      <c r="L128" s="16" t="s">
        <v>425</v>
      </c>
      <c r="M128" s="62" t="e">
        <f t="shared" si="5"/>
        <v>#N/A</v>
      </c>
      <c r="N128" s="62">
        <f t="shared" si="3"/>
        <v>0.63812592592592332</v>
      </c>
      <c r="O128" t="s">
        <v>434</v>
      </c>
      <c r="P128" t="s">
        <v>6</v>
      </c>
    </row>
    <row r="129" spans="1:16" ht="15" x14ac:dyDescent="0.2">
      <c r="A129" t="s">
        <v>202</v>
      </c>
      <c r="B129" t="s">
        <v>362</v>
      </c>
      <c r="C129" t="s">
        <v>397</v>
      </c>
      <c r="D129" t="s">
        <v>119</v>
      </c>
      <c r="E129">
        <v>1.2352148148148101</v>
      </c>
      <c r="F129">
        <v>1.1551925925925901</v>
      </c>
      <c r="G129">
        <v>1.2659925925925899</v>
      </c>
      <c r="H129" s="55"/>
      <c r="I129" s="62">
        <f t="shared" si="4"/>
        <v>1.2187999999999966</v>
      </c>
      <c r="J129" s="66">
        <v>2</v>
      </c>
      <c r="K129" s="16" t="s">
        <v>423</v>
      </c>
      <c r="L129" s="16" t="s">
        <v>425</v>
      </c>
      <c r="M129" s="62" t="e">
        <f t="shared" si="5"/>
        <v>#N/A</v>
      </c>
      <c r="N129" s="62">
        <f t="shared" si="3"/>
        <v>0.60939999999999828</v>
      </c>
      <c r="O129" t="s">
        <v>434</v>
      </c>
      <c r="P129" t="s">
        <v>6</v>
      </c>
    </row>
    <row r="130" spans="1:16" ht="15" x14ac:dyDescent="0.2">
      <c r="A130" t="s">
        <v>203</v>
      </c>
      <c r="B130" t="s">
        <v>362</v>
      </c>
      <c r="C130" t="s">
        <v>397</v>
      </c>
      <c r="D130" t="s">
        <v>119</v>
      </c>
      <c r="E130">
        <v>1.24137037037037</v>
      </c>
      <c r="F130">
        <v>1.0628592592592501</v>
      </c>
      <c r="G130">
        <v>1.1121037037037</v>
      </c>
      <c r="H130" s="55"/>
      <c r="I130" s="62">
        <f t="shared" si="4"/>
        <v>1.1387777777777732</v>
      </c>
      <c r="J130" s="66">
        <v>2</v>
      </c>
      <c r="K130" s="16" t="s">
        <v>423</v>
      </c>
      <c r="L130" s="16" t="s">
        <v>425</v>
      </c>
      <c r="M130" s="62" t="e">
        <f t="shared" si="5"/>
        <v>#N/A</v>
      </c>
      <c r="N130" s="62">
        <f t="shared" si="3"/>
        <v>0.56938888888888661</v>
      </c>
      <c r="O130" t="s">
        <v>434</v>
      </c>
      <c r="P130" t="s">
        <v>6</v>
      </c>
    </row>
    <row r="131" spans="1:16" ht="15" x14ac:dyDescent="0.2">
      <c r="A131" t="s">
        <v>204</v>
      </c>
      <c r="B131" t="s">
        <v>362</v>
      </c>
      <c r="C131" t="s">
        <v>397</v>
      </c>
      <c r="D131" t="s">
        <v>119</v>
      </c>
      <c r="E131">
        <v>1.24137037037037</v>
      </c>
      <c r="F131">
        <v>1.0567037037036999</v>
      </c>
      <c r="G131">
        <v>1.00745925925925</v>
      </c>
      <c r="H131" s="55"/>
      <c r="I131" s="62">
        <f t="shared" si="4"/>
        <v>1.10184444444444</v>
      </c>
      <c r="J131" s="66">
        <v>2</v>
      </c>
      <c r="K131" s="16" t="s">
        <v>423</v>
      </c>
      <c r="L131" s="16" t="s">
        <v>425</v>
      </c>
      <c r="M131" s="62" t="e">
        <f t="shared" si="5"/>
        <v>#N/A</v>
      </c>
      <c r="N131" s="62">
        <f t="shared" ref="N131:N194" si="6">IF($K131="µg",$I131/$J131, NA())</f>
        <v>0.55092222222221998</v>
      </c>
      <c r="O131" t="s">
        <v>434</v>
      </c>
      <c r="P131" t="s">
        <v>6</v>
      </c>
    </row>
    <row r="132" spans="1:16" ht="15" x14ac:dyDescent="0.2">
      <c r="A132" t="s">
        <v>188</v>
      </c>
      <c r="B132" t="s">
        <v>362</v>
      </c>
      <c r="C132" t="s">
        <v>397</v>
      </c>
      <c r="D132" t="s">
        <v>119</v>
      </c>
      <c r="E132">
        <v>1.2783037037036999</v>
      </c>
      <c r="F132">
        <v>1.17981481481481</v>
      </c>
      <c r="G132">
        <v>1.35217037037037</v>
      </c>
      <c r="H132" s="55"/>
      <c r="I132" s="62">
        <f t="shared" si="4"/>
        <v>1.2700962962962932</v>
      </c>
      <c r="J132" s="66">
        <v>2</v>
      </c>
      <c r="K132" s="16" t="s">
        <v>423</v>
      </c>
      <c r="L132" s="16" t="s">
        <v>425</v>
      </c>
      <c r="M132" s="62" t="e">
        <f t="shared" si="5"/>
        <v>#N/A</v>
      </c>
      <c r="N132" s="62">
        <f t="shared" si="6"/>
        <v>0.63504814814814659</v>
      </c>
      <c r="O132" t="s">
        <v>434</v>
      </c>
      <c r="P132" t="s">
        <v>6</v>
      </c>
    </row>
    <row r="133" spans="1:16" ht="15" x14ac:dyDescent="0.2">
      <c r="A133" t="s">
        <v>189</v>
      </c>
      <c r="B133" t="s">
        <v>362</v>
      </c>
      <c r="C133" t="s">
        <v>397</v>
      </c>
      <c r="D133" t="s">
        <v>119</v>
      </c>
      <c r="E133">
        <v>1.3337037037037001</v>
      </c>
      <c r="F133">
        <v>1.2536814814814801</v>
      </c>
      <c r="G133">
        <v>1.30908148148148</v>
      </c>
      <c r="H133" s="55"/>
      <c r="I133" s="62">
        <f t="shared" si="4"/>
        <v>1.2988222222222201</v>
      </c>
      <c r="J133" s="66">
        <v>2</v>
      </c>
      <c r="K133" s="16" t="s">
        <v>423</v>
      </c>
      <c r="L133" s="16" t="s">
        <v>425</v>
      </c>
      <c r="M133" s="62" t="e">
        <f t="shared" si="5"/>
        <v>#N/A</v>
      </c>
      <c r="N133" s="62">
        <f t="shared" si="6"/>
        <v>0.64941111111111005</v>
      </c>
      <c r="O133" t="s">
        <v>434</v>
      </c>
      <c r="P133" t="s">
        <v>6</v>
      </c>
    </row>
    <row r="134" spans="1:16" ht="15" x14ac:dyDescent="0.2">
      <c r="A134" t="s">
        <v>190</v>
      </c>
      <c r="B134" t="s">
        <v>362</v>
      </c>
      <c r="C134" t="s">
        <v>397</v>
      </c>
      <c r="D134" t="s">
        <v>119</v>
      </c>
      <c r="E134">
        <v>0.11695555555555601</v>
      </c>
      <c r="F134">
        <v>-8.6177777777777395E-2</v>
      </c>
      <c r="G134">
        <v>-6.7711111111111E-2</v>
      </c>
      <c r="H134" s="55"/>
      <c r="I134" s="62">
        <f t="shared" si="4"/>
        <v>-1.2311111111110795E-2</v>
      </c>
      <c r="J134" s="66">
        <v>2</v>
      </c>
      <c r="K134" s="16" t="s">
        <v>423</v>
      </c>
      <c r="L134" s="16" t="s">
        <v>425</v>
      </c>
      <c r="M134" s="62" t="e">
        <f t="shared" si="5"/>
        <v>#N/A</v>
      </c>
      <c r="N134" s="62">
        <f t="shared" si="6"/>
        <v>-6.1555555555553977E-3</v>
      </c>
      <c r="P134" t="s">
        <v>6</v>
      </c>
    </row>
    <row r="135" spans="1:16" ht="15" x14ac:dyDescent="0.2">
      <c r="A135" t="s">
        <v>191</v>
      </c>
      <c r="B135" t="s">
        <v>362</v>
      </c>
      <c r="C135" t="s">
        <v>397</v>
      </c>
      <c r="D135" t="s">
        <v>119</v>
      </c>
      <c r="E135">
        <v>1.2536814814814801</v>
      </c>
      <c r="F135">
        <v>1.38294814814814</v>
      </c>
      <c r="G135">
        <v>1.25983703703703</v>
      </c>
      <c r="H135" s="55"/>
      <c r="I135" s="62">
        <f t="shared" si="4"/>
        <v>1.2988222222222168</v>
      </c>
      <c r="J135" s="66">
        <v>2</v>
      </c>
      <c r="K135" s="16" t="s">
        <v>423</v>
      </c>
      <c r="L135" s="16" t="s">
        <v>425</v>
      </c>
      <c r="M135" s="62" t="e">
        <f t="shared" si="5"/>
        <v>#N/A</v>
      </c>
      <c r="N135" s="62">
        <f t="shared" si="6"/>
        <v>0.64941111111110839</v>
      </c>
      <c r="O135" t="s">
        <v>434</v>
      </c>
      <c r="P135" t="s">
        <v>6</v>
      </c>
    </row>
    <row r="136" spans="1:16" ht="15" x14ac:dyDescent="0.2">
      <c r="A136" t="s">
        <v>192</v>
      </c>
      <c r="B136" t="s">
        <v>362</v>
      </c>
      <c r="C136" t="s">
        <v>397</v>
      </c>
      <c r="D136" t="s">
        <v>119</v>
      </c>
      <c r="E136">
        <v>1.33985925925925</v>
      </c>
      <c r="F136">
        <v>1.3583259259259199</v>
      </c>
      <c r="G136">
        <v>1.25983703703703</v>
      </c>
      <c r="H136" s="55"/>
      <c r="I136" s="62">
        <f t="shared" si="4"/>
        <v>1.3193407407407334</v>
      </c>
      <c r="J136" s="66">
        <v>2</v>
      </c>
      <c r="K136" s="16" t="s">
        <v>423</v>
      </c>
      <c r="L136" s="16" t="s">
        <v>425</v>
      </c>
      <c r="M136" s="62" t="e">
        <f t="shared" si="5"/>
        <v>#N/A</v>
      </c>
      <c r="N136" s="62">
        <f t="shared" si="6"/>
        <v>0.65967037037036669</v>
      </c>
      <c r="O136" t="s">
        <v>434</v>
      </c>
      <c r="P136" t="s">
        <v>6</v>
      </c>
    </row>
    <row r="137" spans="1:16" ht="15" x14ac:dyDescent="0.2">
      <c r="A137" t="s">
        <v>193</v>
      </c>
      <c r="B137" t="s">
        <v>362</v>
      </c>
      <c r="C137" t="s">
        <v>397</v>
      </c>
      <c r="D137" t="s">
        <v>119</v>
      </c>
      <c r="E137">
        <v>1.22905925925925</v>
      </c>
      <c r="F137">
        <v>1.0628592592592501</v>
      </c>
      <c r="G137">
        <v>1.0874814814814799</v>
      </c>
      <c r="H137" s="55"/>
      <c r="I137" s="62">
        <f t="shared" si="4"/>
        <v>1.1264666666666601</v>
      </c>
      <c r="J137" s="66">
        <v>2</v>
      </c>
      <c r="K137" s="16" t="s">
        <v>423</v>
      </c>
      <c r="L137" s="16" t="s">
        <v>425</v>
      </c>
      <c r="M137" s="62" t="e">
        <f t="shared" si="5"/>
        <v>#N/A</v>
      </c>
      <c r="N137" s="62">
        <f t="shared" si="6"/>
        <v>0.56323333333333003</v>
      </c>
      <c r="O137" t="s">
        <v>434</v>
      </c>
      <c r="P137" t="s">
        <v>6</v>
      </c>
    </row>
    <row r="138" spans="1:16" ht="15" x14ac:dyDescent="0.2">
      <c r="A138" t="s">
        <v>194</v>
      </c>
      <c r="B138" t="s">
        <v>362</v>
      </c>
      <c r="C138" t="s">
        <v>397</v>
      </c>
      <c r="D138" t="s">
        <v>119</v>
      </c>
      <c r="E138">
        <v>1.8466666666666399E-2</v>
      </c>
      <c r="F138">
        <v>-0.123111111111111</v>
      </c>
      <c r="G138">
        <v>-0.141577777777778</v>
      </c>
      <c r="H138" s="55"/>
      <c r="I138" s="62">
        <f t="shared" si="4"/>
        <v>-8.2074074074074202E-2</v>
      </c>
      <c r="J138" s="66">
        <v>2</v>
      </c>
      <c r="K138" s="16" t="s">
        <v>423</v>
      </c>
      <c r="L138" s="16" t="s">
        <v>425</v>
      </c>
      <c r="M138" s="62" t="e">
        <f t="shared" si="5"/>
        <v>#N/A</v>
      </c>
      <c r="N138" s="62">
        <f t="shared" si="6"/>
        <v>-4.1037037037037101E-2</v>
      </c>
      <c r="P138" t="s">
        <v>4</v>
      </c>
    </row>
    <row r="139" spans="1:16" ht="15" x14ac:dyDescent="0.2">
      <c r="A139" t="s">
        <v>196</v>
      </c>
      <c r="B139" t="s">
        <v>362</v>
      </c>
      <c r="C139" t="s">
        <v>397</v>
      </c>
      <c r="D139" t="s">
        <v>119</v>
      </c>
      <c r="E139">
        <v>7.3866666666666303E-2</v>
      </c>
      <c r="F139">
        <v>-0.15388888888888899</v>
      </c>
      <c r="G139">
        <v>-0.15388888888888899</v>
      </c>
      <c r="H139" s="55"/>
      <c r="I139" s="62">
        <f t="shared" si="4"/>
        <v>-7.7970370370370565E-2</v>
      </c>
      <c r="J139" s="66">
        <v>2</v>
      </c>
      <c r="K139" s="16" t="s">
        <v>423</v>
      </c>
      <c r="L139" s="16" t="s">
        <v>425</v>
      </c>
      <c r="M139" s="62" t="e">
        <f t="shared" si="5"/>
        <v>#N/A</v>
      </c>
      <c r="N139" s="62">
        <f t="shared" si="6"/>
        <v>-3.8985185185185282E-2</v>
      </c>
      <c r="P139" t="s">
        <v>4</v>
      </c>
    </row>
    <row r="140" spans="1:16" ht="15" x14ac:dyDescent="0.2">
      <c r="A140" t="s">
        <v>197</v>
      </c>
      <c r="B140" t="s">
        <v>362</v>
      </c>
      <c r="C140" t="s">
        <v>397</v>
      </c>
      <c r="D140" t="s">
        <v>119</v>
      </c>
      <c r="E140">
        <v>-1.2311111111111101E-2</v>
      </c>
      <c r="F140">
        <v>-0.129266666666666</v>
      </c>
      <c r="G140">
        <v>-0.129266666666667</v>
      </c>
      <c r="H140" s="65"/>
      <c r="I140" s="62">
        <f t="shared" si="4"/>
        <v>-9.0281481481481365E-2</v>
      </c>
      <c r="J140" s="66">
        <v>2</v>
      </c>
      <c r="K140" s="16" t="s">
        <v>423</v>
      </c>
      <c r="L140" s="16" t="s">
        <v>425</v>
      </c>
      <c r="M140" s="62" t="e">
        <f t="shared" si="5"/>
        <v>#N/A</v>
      </c>
      <c r="N140" s="62">
        <f t="shared" si="6"/>
        <v>-4.5140740740740683E-2</v>
      </c>
      <c r="P140" t="s">
        <v>4</v>
      </c>
    </row>
    <row r="141" spans="1:16" ht="15" x14ac:dyDescent="0.2">
      <c r="A141" t="s">
        <v>198</v>
      </c>
      <c r="B141" t="s">
        <v>362</v>
      </c>
      <c r="C141" t="s">
        <v>397</v>
      </c>
      <c r="D141" t="s">
        <v>119</v>
      </c>
      <c r="E141">
        <v>1.40141481481481</v>
      </c>
      <c r="F141">
        <v>1.01977037037037</v>
      </c>
      <c r="G141">
        <v>0.50885925925925901</v>
      </c>
      <c r="H141" s="65"/>
      <c r="I141" s="62">
        <f t="shared" si="4"/>
        <v>0.97668148148147971</v>
      </c>
      <c r="J141" s="66">
        <v>2</v>
      </c>
      <c r="K141" s="16" t="s">
        <v>423</v>
      </c>
      <c r="L141" s="16" t="s">
        <v>425</v>
      </c>
      <c r="M141" s="62" t="e">
        <f t="shared" si="5"/>
        <v>#N/A</v>
      </c>
      <c r="N141" s="62">
        <f t="shared" si="6"/>
        <v>0.48834074074073985</v>
      </c>
      <c r="O141" t="s">
        <v>434</v>
      </c>
      <c r="P141" t="s">
        <v>6</v>
      </c>
    </row>
    <row r="142" spans="1:16" ht="15" x14ac:dyDescent="0.2">
      <c r="A142" t="s">
        <v>413</v>
      </c>
      <c r="B142" t="s">
        <v>362</v>
      </c>
      <c r="C142" t="s">
        <v>397</v>
      </c>
      <c r="D142" t="s">
        <v>119</v>
      </c>
      <c r="E142">
        <v>2.6140592592592502</v>
      </c>
      <c r="F142">
        <v>2.5525037037036999</v>
      </c>
      <c r="G142">
        <v>2.5709703703703699</v>
      </c>
      <c r="H142" s="65"/>
      <c r="I142" s="62">
        <f t="shared" si="4"/>
        <v>2.5791777777777734</v>
      </c>
      <c r="J142" s="66">
        <v>2</v>
      </c>
      <c r="K142" s="16" t="s">
        <v>423</v>
      </c>
      <c r="L142" s="16" t="s">
        <v>425</v>
      </c>
      <c r="M142" s="62" t="e">
        <f t="shared" si="5"/>
        <v>#N/A</v>
      </c>
      <c r="N142" s="62">
        <f t="shared" si="6"/>
        <v>1.2895888888888867</v>
      </c>
      <c r="O142" t="s">
        <v>434</v>
      </c>
    </row>
    <row r="143" spans="1:16" ht="15" x14ac:dyDescent="0.2">
      <c r="A143" t="s">
        <v>396</v>
      </c>
      <c r="B143" t="s">
        <v>362</v>
      </c>
      <c r="C143" t="s">
        <v>397</v>
      </c>
      <c r="D143" t="s">
        <v>119</v>
      </c>
      <c r="E143">
        <v>-4.3088888888888698E-2</v>
      </c>
      <c r="F143">
        <v>-3.6933333333333401E-2</v>
      </c>
      <c r="G143">
        <v>-0.14773333333333299</v>
      </c>
      <c r="H143" s="65"/>
      <c r="I143" s="62">
        <f t="shared" si="4"/>
        <v>-7.5918518518518371E-2</v>
      </c>
      <c r="J143" s="66">
        <v>2</v>
      </c>
      <c r="K143" s="16" t="s">
        <v>423</v>
      </c>
      <c r="L143" s="16" t="s">
        <v>425</v>
      </c>
      <c r="M143" s="62" t="e">
        <f t="shared" si="5"/>
        <v>#N/A</v>
      </c>
      <c r="N143" s="62">
        <f t="shared" si="6"/>
        <v>-3.7959259259259186E-2</v>
      </c>
    </row>
    <row r="144" spans="1:16" ht="15" x14ac:dyDescent="0.2">
      <c r="A144" t="s">
        <v>195</v>
      </c>
      <c r="B144" t="s">
        <v>362</v>
      </c>
      <c r="C144" t="s">
        <v>397</v>
      </c>
      <c r="D144" t="s">
        <v>119</v>
      </c>
      <c r="E144">
        <v>8.0022222222222203E-2</v>
      </c>
      <c r="F144">
        <v>0.135422222222221</v>
      </c>
      <c r="G144">
        <v>0.12311111111111001</v>
      </c>
      <c r="H144" s="65"/>
      <c r="I144" s="62">
        <f t="shared" si="4"/>
        <v>0.11285185185185108</v>
      </c>
      <c r="J144" s="66">
        <v>2</v>
      </c>
      <c r="K144" s="16" t="s">
        <v>423</v>
      </c>
      <c r="L144" s="16" t="s">
        <v>425</v>
      </c>
      <c r="M144" s="62" t="e">
        <f t="shared" si="5"/>
        <v>#N/A</v>
      </c>
      <c r="N144" s="62">
        <f t="shared" si="6"/>
        <v>5.6425925925925539E-2</v>
      </c>
      <c r="P144" t="s">
        <v>4</v>
      </c>
    </row>
    <row r="145" spans="1:16" ht="15" x14ac:dyDescent="0.2">
      <c r="A145">
        <v>1</v>
      </c>
      <c r="B145" t="s">
        <v>362</v>
      </c>
      <c r="C145" t="s">
        <v>397</v>
      </c>
      <c r="D145" t="s">
        <v>24</v>
      </c>
      <c r="E145">
        <v>4.9244444444443897E-2</v>
      </c>
      <c r="F145">
        <v>7.38666666666669E-2</v>
      </c>
      <c r="G145">
        <v>5.5399999999999797E-2</v>
      </c>
      <c r="H145" s="65"/>
      <c r="I145" s="62">
        <f t="shared" si="4"/>
        <v>5.9503703703703531E-2</v>
      </c>
      <c r="J145" s="66">
        <v>2</v>
      </c>
      <c r="K145" s="16" t="s">
        <v>423</v>
      </c>
      <c r="L145" s="16" t="s">
        <v>425</v>
      </c>
      <c r="M145" s="62" t="e">
        <f t="shared" si="5"/>
        <v>#N/A</v>
      </c>
      <c r="N145" s="62">
        <f t="shared" si="6"/>
        <v>2.9751851851851766E-2</v>
      </c>
      <c r="P145" t="s">
        <v>4</v>
      </c>
    </row>
    <row r="146" spans="1:16" ht="15" x14ac:dyDescent="0.2">
      <c r="A146">
        <v>1284</v>
      </c>
      <c r="B146" t="s">
        <v>362</v>
      </c>
      <c r="C146" t="s">
        <v>397</v>
      </c>
      <c r="D146" t="s">
        <v>24</v>
      </c>
      <c r="E146">
        <v>-4.3088888888888698E-2</v>
      </c>
      <c r="F146">
        <v>-6.1555555555552598E-3</v>
      </c>
      <c r="G146">
        <v>1.8466666666666399E-2</v>
      </c>
      <c r="H146" s="65"/>
      <c r="I146" s="62">
        <f t="shared" si="4"/>
        <v>-1.0259259259259187E-2</v>
      </c>
      <c r="J146" s="66">
        <v>2</v>
      </c>
      <c r="K146" s="16" t="s">
        <v>423</v>
      </c>
      <c r="L146" s="16" t="s">
        <v>425</v>
      </c>
      <c r="M146" s="62" t="e">
        <f t="shared" si="5"/>
        <v>#N/A</v>
      </c>
      <c r="N146" s="62">
        <f t="shared" si="6"/>
        <v>-5.1296296296295934E-3</v>
      </c>
      <c r="P146" t="s">
        <v>4</v>
      </c>
    </row>
    <row r="147" spans="1:16" ht="15" x14ac:dyDescent="0.2">
      <c r="A147">
        <v>1546</v>
      </c>
      <c r="B147" t="s">
        <v>362</v>
      </c>
      <c r="C147" t="s">
        <v>397</v>
      </c>
      <c r="D147" t="s">
        <v>24</v>
      </c>
      <c r="E147">
        <v>2.1708592592592502</v>
      </c>
      <c r="F147">
        <v>2.7002370370370299</v>
      </c>
      <c r="G147">
        <v>2.7494814814814799</v>
      </c>
      <c r="H147" s="65"/>
      <c r="I147" s="62">
        <f t="shared" si="4"/>
        <v>2.5401925925925863</v>
      </c>
      <c r="J147" s="66">
        <v>2</v>
      </c>
      <c r="K147" s="16" t="s">
        <v>423</v>
      </c>
      <c r="L147" s="16" t="s">
        <v>425</v>
      </c>
      <c r="M147" s="62" t="e">
        <f t="shared" si="5"/>
        <v>#N/A</v>
      </c>
      <c r="N147" s="62">
        <f t="shared" si="6"/>
        <v>1.2700962962962932</v>
      </c>
      <c r="O147" t="s">
        <v>434</v>
      </c>
      <c r="P147" s="92" t="s">
        <v>6</v>
      </c>
    </row>
    <row r="148" spans="1:16" ht="15" x14ac:dyDescent="0.2">
      <c r="A148">
        <v>1564</v>
      </c>
      <c r="B148" t="s">
        <v>362</v>
      </c>
      <c r="C148" t="s">
        <v>397</v>
      </c>
      <c r="D148" t="s">
        <v>24</v>
      </c>
      <c r="E148">
        <v>2.5525037037036999</v>
      </c>
      <c r="F148">
        <v>2.7371703703703698</v>
      </c>
      <c r="G148">
        <v>2.7741037037037</v>
      </c>
      <c r="H148" s="65"/>
      <c r="I148" s="62">
        <f t="shared" si="4"/>
        <v>2.6879259259259229</v>
      </c>
      <c r="J148" s="66">
        <v>2</v>
      </c>
      <c r="K148" s="16" t="s">
        <v>423</v>
      </c>
      <c r="L148" s="16" t="s">
        <v>425</v>
      </c>
      <c r="M148" s="62" t="e">
        <f t="shared" si="5"/>
        <v>#N/A</v>
      </c>
      <c r="N148" s="62">
        <f t="shared" si="6"/>
        <v>1.3439629629629615</v>
      </c>
      <c r="O148" t="s">
        <v>434</v>
      </c>
      <c r="P148" s="92" t="s">
        <v>6</v>
      </c>
    </row>
    <row r="149" spans="1:16" ht="15" x14ac:dyDescent="0.2">
      <c r="A149">
        <v>1677</v>
      </c>
      <c r="B149" t="s">
        <v>362</v>
      </c>
      <c r="C149" t="s">
        <v>397</v>
      </c>
      <c r="D149" t="s">
        <v>24</v>
      </c>
      <c r="E149">
        <v>0.11695555555555499</v>
      </c>
      <c r="F149">
        <v>-5.5399999999999797E-2</v>
      </c>
      <c r="G149">
        <v>3.6933333333333401E-2</v>
      </c>
      <c r="H149" s="65"/>
      <c r="I149" s="62">
        <f t="shared" ref="I149:I212" si="7">AVERAGE(E149:H149)</f>
        <v>3.2829629629629535E-2</v>
      </c>
      <c r="J149" s="66">
        <v>2</v>
      </c>
      <c r="K149" s="16" t="s">
        <v>423</v>
      </c>
      <c r="L149" s="16" t="s">
        <v>425</v>
      </c>
      <c r="M149" s="62" t="e">
        <f t="shared" si="5"/>
        <v>#N/A</v>
      </c>
      <c r="N149" s="62">
        <f t="shared" si="6"/>
        <v>1.6414814814814768E-2</v>
      </c>
      <c r="P149" t="s">
        <v>4</v>
      </c>
    </row>
    <row r="150" spans="1:16" ht="15" x14ac:dyDescent="0.2">
      <c r="A150">
        <v>2333</v>
      </c>
      <c r="B150" t="s">
        <v>362</v>
      </c>
      <c r="C150" t="s">
        <v>397</v>
      </c>
      <c r="D150" t="s">
        <v>24</v>
      </c>
      <c r="E150">
        <v>-6.1555555555558904E-3</v>
      </c>
      <c r="F150">
        <v>-3.0777777777777501E-2</v>
      </c>
      <c r="G150">
        <v>-1.2311111111111101E-2</v>
      </c>
      <c r="H150" s="65"/>
      <c r="I150" s="62">
        <f t="shared" si="7"/>
        <v>-1.641481481481483E-2</v>
      </c>
      <c r="J150" s="66">
        <v>2</v>
      </c>
      <c r="K150" s="16" t="s">
        <v>423</v>
      </c>
      <c r="L150" s="16" t="s">
        <v>425</v>
      </c>
      <c r="M150" s="62" t="e">
        <f t="shared" ref="M150:M213" si="8">IF(K150="µl",I150/J150, NA())</f>
        <v>#N/A</v>
      </c>
      <c r="N150" s="62">
        <f t="shared" si="6"/>
        <v>-8.207407407407415E-3</v>
      </c>
      <c r="P150" t="s">
        <v>4</v>
      </c>
    </row>
    <row r="151" spans="1:16" ht="15" x14ac:dyDescent="0.2">
      <c r="A151">
        <v>2376</v>
      </c>
      <c r="B151" t="s">
        <v>362</v>
      </c>
      <c r="C151" t="s">
        <v>397</v>
      </c>
      <c r="D151" t="s">
        <v>24</v>
      </c>
      <c r="E151">
        <v>-4.3088888888888698E-2</v>
      </c>
      <c r="F151">
        <v>3.6933333333333401E-2</v>
      </c>
      <c r="G151">
        <v>0</v>
      </c>
      <c r="H151" s="65"/>
      <c r="I151" s="62">
        <f t="shared" si="7"/>
        <v>-2.0518518518517653E-3</v>
      </c>
      <c r="J151" s="66">
        <v>2</v>
      </c>
      <c r="K151" s="16" t="s">
        <v>423</v>
      </c>
      <c r="L151" s="16" t="s">
        <v>425</v>
      </c>
      <c r="M151" s="62" t="e">
        <f t="shared" si="8"/>
        <v>#N/A</v>
      </c>
      <c r="N151" s="62">
        <f t="shared" si="6"/>
        <v>-1.0259259259258826E-3</v>
      </c>
      <c r="P151" t="s">
        <v>4</v>
      </c>
    </row>
    <row r="152" spans="1:16" ht="15" x14ac:dyDescent="0.2">
      <c r="A152">
        <v>4495</v>
      </c>
      <c r="B152" t="s">
        <v>362</v>
      </c>
      <c r="C152" t="s">
        <v>397</v>
      </c>
      <c r="D152" t="s">
        <v>24</v>
      </c>
      <c r="E152">
        <v>1.2311111111111101E-2</v>
      </c>
      <c r="F152">
        <v>-6.1555555555552598E-3</v>
      </c>
      <c r="G152">
        <v>1.2311111111111101E-2</v>
      </c>
      <c r="H152" s="65"/>
      <c r="I152" s="62">
        <f t="shared" si="7"/>
        <v>6.1555555555556475E-3</v>
      </c>
      <c r="J152" s="66">
        <v>2</v>
      </c>
      <c r="K152" s="16" t="s">
        <v>423</v>
      </c>
      <c r="L152" s="16" t="s">
        <v>425</v>
      </c>
      <c r="M152" s="62" t="e">
        <f t="shared" si="8"/>
        <v>#N/A</v>
      </c>
      <c r="N152" s="62">
        <f t="shared" si="6"/>
        <v>3.0777777777778238E-3</v>
      </c>
      <c r="P152" t="s">
        <v>4</v>
      </c>
    </row>
    <row r="153" spans="1:16" ht="15" x14ac:dyDescent="0.2">
      <c r="A153">
        <v>5239</v>
      </c>
      <c r="B153" t="s">
        <v>362</v>
      </c>
      <c r="C153" t="s">
        <v>397</v>
      </c>
      <c r="D153" t="s">
        <v>24</v>
      </c>
      <c r="E153">
        <v>0.129266666666666</v>
      </c>
      <c r="F153">
        <v>0.141577777777778</v>
      </c>
      <c r="G153">
        <v>-1.2311111111111101E-2</v>
      </c>
      <c r="H153" s="65"/>
      <c r="I153" s="62">
        <f t="shared" si="7"/>
        <v>8.6177777777777631E-2</v>
      </c>
      <c r="J153" s="66">
        <v>2</v>
      </c>
      <c r="K153" s="16" t="s">
        <v>423</v>
      </c>
      <c r="L153" s="16" t="s">
        <v>425</v>
      </c>
      <c r="M153" s="62" t="e">
        <f t="shared" si="8"/>
        <v>#N/A</v>
      </c>
      <c r="N153" s="62">
        <f t="shared" si="6"/>
        <v>4.3088888888888816E-2</v>
      </c>
      <c r="P153" t="s">
        <v>4</v>
      </c>
    </row>
    <row r="154" spans="1:16" ht="15" x14ac:dyDescent="0.2">
      <c r="A154">
        <v>5425</v>
      </c>
      <c r="B154" t="s">
        <v>362</v>
      </c>
      <c r="C154" t="s">
        <v>397</v>
      </c>
      <c r="D154" t="s">
        <v>24</v>
      </c>
      <c r="E154">
        <v>0.16619999999999999</v>
      </c>
      <c r="F154">
        <v>1.8466666666666999E-2</v>
      </c>
      <c r="G154">
        <v>1.8466666666666399E-2</v>
      </c>
      <c r="H154" s="55"/>
      <c r="I154" s="62">
        <f t="shared" si="7"/>
        <v>6.7711111111111125E-2</v>
      </c>
      <c r="J154" s="66">
        <v>2</v>
      </c>
      <c r="K154" s="16" t="s">
        <v>423</v>
      </c>
      <c r="L154" s="16" t="s">
        <v>425</v>
      </c>
      <c r="M154" s="62" t="e">
        <f t="shared" si="8"/>
        <v>#N/A</v>
      </c>
      <c r="N154" s="62">
        <f t="shared" si="6"/>
        <v>3.3855555555555562E-2</v>
      </c>
      <c r="P154" t="s">
        <v>4</v>
      </c>
    </row>
    <row r="155" spans="1:16" ht="15" x14ac:dyDescent="0.2">
      <c r="A155">
        <v>6143</v>
      </c>
      <c r="B155" t="s">
        <v>362</v>
      </c>
      <c r="C155" t="s">
        <v>397</v>
      </c>
      <c r="D155" t="s">
        <v>24</v>
      </c>
      <c r="E155">
        <v>-8.00222222222228E-2</v>
      </c>
      <c r="F155">
        <v>2.4622222222222299E-2</v>
      </c>
      <c r="G155">
        <v>-2.4622222222222299E-2</v>
      </c>
      <c r="H155" s="55"/>
      <c r="I155" s="62">
        <f t="shared" si="7"/>
        <v>-2.6674074074074267E-2</v>
      </c>
      <c r="J155" s="66">
        <v>2</v>
      </c>
      <c r="K155" s="16" t="s">
        <v>423</v>
      </c>
      <c r="L155" s="16" t="s">
        <v>425</v>
      </c>
      <c r="M155" s="62" t="e">
        <f t="shared" si="8"/>
        <v>#N/A</v>
      </c>
      <c r="N155" s="62">
        <f t="shared" si="6"/>
        <v>-1.3337037037037133E-2</v>
      </c>
      <c r="P155" t="s">
        <v>4</v>
      </c>
    </row>
    <row r="156" spans="1:16" ht="15" x14ac:dyDescent="0.2">
      <c r="A156">
        <v>6770</v>
      </c>
      <c r="B156" t="s">
        <v>362</v>
      </c>
      <c r="C156" t="s">
        <v>397</v>
      </c>
      <c r="D156" t="s">
        <v>24</v>
      </c>
      <c r="E156">
        <v>-6.7711111111110403E-2</v>
      </c>
      <c r="F156">
        <v>3.0777777777777501E-2</v>
      </c>
      <c r="G156">
        <v>5.5399999999999797E-2</v>
      </c>
      <c r="H156" s="55"/>
      <c r="I156" s="62">
        <f t="shared" si="7"/>
        <v>6.1555555555556319E-3</v>
      </c>
      <c r="J156" s="66">
        <v>2</v>
      </c>
      <c r="K156" s="16" t="s">
        <v>423</v>
      </c>
      <c r="L156" s="16" t="s">
        <v>425</v>
      </c>
      <c r="M156" s="62" t="e">
        <f t="shared" si="8"/>
        <v>#N/A</v>
      </c>
      <c r="N156" s="62">
        <f t="shared" si="6"/>
        <v>3.077777777777816E-3</v>
      </c>
      <c r="P156" t="s">
        <v>4</v>
      </c>
    </row>
    <row r="157" spans="1:16" ht="15" x14ac:dyDescent="0.2">
      <c r="A157">
        <v>6992</v>
      </c>
      <c r="B157" t="s">
        <v>362</v>
      </c>
      <c r="C157" t="s">
        <v>397</v>
      </c>
      <c r="D157" t="s">
        <v>24</v>
      </c>
      <c r="E157">
        <v>-3.6933333333333401E-2</v>
      </c>
      <c r="F157">
        <v>-3.6933333333333401E-2</v>
      </c>
      <c r="G157">
        <v>-6.15555555555551E-2</v>
      </c>
      <c r="H157" s="55"/>
      <c r="I157" s="62">
        <f t="shared" si="7"/>
        <v>-4.5140740740740627E-2</v>
      </c>
      <c r="J157" s="66">
        <v>2</v>
      </c>
      <c r="K157" s="16" t="s">
        <v>423</v>
      </c>
      <c r="L157" s="16" t="s">
        <v>425</v>
      </c>
      <c r="M157" s="62" t="e">
        <f t="shared" si="8"/>
        <v>#N/A</v>
      </c>
      <c r="N157" s="62">
        <f t="shared" si="6"/>
        <v>-2.2570370370370314E-2</v>
      </c>
      <c r="P157" t="s">
        <v>4</v>
      </c>
    </row>
    <row r="158" spans="1:16" ht="15" x14ac:dyDescent="0.2">
      <c r="A158">
        <v>7427</v>
      </c>
      <c r="B158" t="s">
        <v>362</v>
      </c>
      <c r="C158" t="s">
        <v>397</v>
      </c>
      <c r="D158" t="s">
        <v>24</v>
      </c>
      <c r="E158">
        <v>-9.8488888888888598E-2</v>
      </c>
      <c r="F158">
        <v>-1.8466666666666999E-2</v>
      </c>
      <c r="G158">
        <v>-1.2311111111111101E-2</v>
      </c>
      <c r="H158" s="55"/>
      <c r="I158" s="62">
        <f t="shared" si="7"/>
        <v>-4.3088888888888899E-2</v>
      </c>
      <c r="J158" s="66">
        <v>2</v>
      </c>
      <c r="K158" s="16" t="s">
        <v>423</v>
      </c>
      <c r="L158" s="16" t="s">
        <v>425</v>
      </c>
      <c r="M158" s="62" t="e">
        <f t="shared" si="8"/>
        <v>#N/A</v>
      </c>
      <c r="N158" s="62">
        <f t="shared" si="6"/>
        <v>-2.1544444444444449E-2</v>
      </c>
      <c r="P158" t="s">
        <v>4</v>
      </c>
    </row>
    <row r="159" spans="1:16" ht="15" x14ac:dyDescent="0.2">
      <c r="A159">
        <v>7455</v>
      </c>
      <c r="B159" t="s">
        <v>362</v>
      </c>
      <c r="C159" t="s">
        <v>397</v>
      </c>
      <c r="D159" t="s">
        <v>24</v>
      </c>
      <c r="E159">
        <v>7.3866666666666303E-2</v>
      </c>
      <c r="F159">
        <v>0.11695555555555499</v>
      </c>
      <c r="G159">
        <v>3.0777777777778199E-2</v>
      </c>
      <c r="H159" s="55"/>
      <c r="I159" s="62">
        <f t="shared" si="7"/>
        <v>7.3866666666666497E-2</v>
      </c>
      <c r="J159" s="66">
        <v>2</v>
      </c>
      <c r="K159" s="16" t="s">
        <v>423</v>
      </c>
      <c r="L159" s="16" t="s">
        <v>425</v>
      </c>
      <c r="M159" s="62" t="e">
        <f t="shared" si="8"/>
        <v>#N/A</v>
      </c>
      <c r="N159" s="62">
        <f t="shared" si="6"/>
        <v>3.6933333333333249E-2</v>
      </c>
      <c r="P159" t="s">
        <v>6</v>
      </c>
    </row>
    <row r="160" spans="1:16" ht="15" x14ac:dyDescent="0.2">
      <c r="A160">
        <v>8162</v>
      </c>
      <c r="B160" t="s">
        <v>362</v>
      </c>
      <c r="C160" t="s">
        <v>397</v>
      </c>
      <c r="D160" t="s">
        <v>24</v>
      </c>
      <c r="E160">
        <v>0.17851111111111001</v>
      </c>
      <c r="F160">
        <v>0.14773333333333299</v>
      </c>
      <c r="G160">
        <v>0.16004444444444399</v>
      </c>
      <c r="H160" s="55"/>
      <c r="I160" s="62">
        <f t="shared" si="7"/>
        <v>0.16209629629629566</v>
      </c>
      <c r="J160" s="66">
        <v>2</v>
      </c>
      <c r="K160" s="16" t="s">
        <v>423</v>
      </c>
      <c r="L160" s="16" t="s">
        <v>425</v>
      </c>
      <c r="M160" s="62" t="e">
        <f t="shared" si="8"/>
        <v>#N/A</v>
      </c>
      <c r="N160" s="62">
        <f t="shared" si="6"/>
        <v>8.1048148148147828E-2</v>
      </c>
      <c r="P160" t="s">
        <v>6</v>
      </c>
    </row>
    <row r="161" spans="1:16" ht="15" x14ac:dyDescent="0.2">
      <c r="A161">
        <v>9006</v>
      </c>
      <c r="B161" t="s">
        <v>362</v>
      </c>
      <c r="C161" t="s">
        <v>397</v>
      </c>
      <c r="D161" t="s">
        <v>24</v>
      </c>
      <c r="E161">
        <v>-1.2311111111111101E-2</v>
      </c>
      <c r="F161">
        <v>3.6933333333332798E-2</v>
      </c>
      <c r="G161">
        <v>8.6177777777778103E-2</v>
      </c>
      <c r="H161" s="55"/>
      <c r="I161" s="62">
        <f t="shared" si="7"/>
        <v>3.6933333333333269E-2</v>
      </c>
      <c r="J161" s="66">
        <v>2</v>
      </c>
      <c r="K161" s="16" t="s">
        <v>423</v>
      </c>
      <c r="L161" s="16" t="s">
        <v>425</v>
      </c>
      <c r="M161" s="62" t="e">
        <f t="shared" si="8"/>
        <v>#N/A</v>
      </c>
      <c r="N161" s="62">
        <f t="shared" si="6"/>
        <v>1.8466666666666635E-2</v>
      </c>
      <c r="P161" t="s">
        <v>4</v>
      </c>
    </row>
    <row r="162" spans="1:16" ht="15" x14ac:dyDescent="0.2">
      <c r="A162">
        <v>9625</v>
      </c>
      <c r="B162" t="s">
        <v>362</v>
      </c>
      <c r="C162" t="s">
        <v>397</v>
      </c>
      <c r="D162" t="s">
        <v>24</v>
      </c>
      <c r="E162">
        <v>1.8466666666667599E-2</v>
      </c>
      <c r="F162">
        <v>6.1555555555558904E-3</v>
      </c>
      <c r="G162">
        <v>-3.6933333333332798E-2</v>
      </c>
      <c r="H162" s="55"/>
      <c r="I162" s="62">
        <f t="shared" si="7"/>
        <v>-4.1037037037031029E-3</v>
      </c>
      <c r="J162" s="66">
        <v>2</v>
      </c>
      <c r="K162" s="16" t="s">
        <v>423</v>
      </c>
      <c r="L162" s="16" t="s">
        <v>425</v>
      </c>
      <c r="M162" s="62" t="e">
        <f t="shared" si="8"/>
        <v>#N/A</v>
      </c>
      <c r="N162" s="62">
        <f t="shared" si="6"/>
        <v>-2.0518518518515515E-3</v>
      </c>
      <c r="P162" t="s">
        <v>4</v>
      </c>
    </row>
    <row r="163" spans="1:16" ht="15" x14ac:dyDescent="0.2">
      <c r="A163" t="s">
        <v>413</v>
      </c>
      <c r="B163" t="s">
        <v>362</v>
      </c>
      <c r="C163" t="s">
        <v>397</v>
      </c>
      <c r="D163" t="s">
        <v>24</v>
      </c>
      <c r="E163">
        <v>2.6140592592592502</v>
      </c>
      <c r="F163">
        <v>2.5525037037036999</v>
      </c>
      <c r="G163">
        <v>2.5709703703703699</v>
      </c>
      <c r="H163" s="55"/>
      <c r="I163" s="62">
        <f t="shared" si="7"/>
        <v>2.5791777777777734</v>
      </c>
      <c r="J163" s="66">
        <v>2</v>
      </c>
      <c r="K163" s="16" t="s">
        <v>423</v>
      </c>
      <c r="L163" s="16" t="s">
        <v>425</v>
      </c>
      <c r="M163" s="62" t="e">
        <f t="shared" si="8"/>
        <v>#N/A</v>
      </c>
      <c r="N163" s="62">
        <f t="shared" si="6"/>
        <v>1.2895888888888867</v>
      </c>
      <c r="O163" t="s">
        <v>434</v>
      </c>
    </row>
    <row r="164" spans="1:16" ht="15" x14ac:dyDescent="0.2">
      <c r="A164" t="s">
        <v>396</v>
      </c>
      <c r="B164" t="s">
        <v>362</v>
      </c>
      <c r="C164" t="s">
        <v>397</v>
      </c>
      <c r="D164" t="s">
        <v>24</v>
      </c>
      <c r="E164">
        <v>-4.3088888888888698E-2</v>
      </c>
      <c r="F164">
        <v>-3.6933333333333401E-2</v>
      </c>
      <c r="G164">
        <v>-0.14773333333333299</v>
      </c>
      <c r="H164" s="55"/>
      <c r="I164" s="62">
        <f t="shared" si="7"/>
        <v>-7.5918518518518371E-2</v>
      </c>
      <c r="J164" s="66">
        <v>2</v>
      </c>
      <c r="K164" s="16" t="s">
        <v>423</v>
      </c>
      <c r="L164" s="16" t="s">
        <v>425</v>
      </c>
      <c r="M164" s="62" t="e">
        <f t="shared" si="8"/>
        <v>#N/A</v>
      </c>
      <c r="N164" s="62">
        <f t="shared" si="6"/>
        <v>-3.7959259259259186E-2</v>
      </c>
    </row>
    <row r="165" spans="1:16" ht="15" x14ac:dyDescent="0.2">
      <c r="A165" t="s">
        <v>429</v>
      </c>
      <c r="B165" t="s">
        <v>362</v>
      </c>
      <c r="C165" t="s">
        <v>397</v>
      </c>
      <c r="D165" t="s">
        <v>24</v>
      </c>
      <c r="E165">
        <v>0.203133333333333</v>
      </c>
      <c r="F165">
        <v>0.64428148148148101</v>
      </c>
      <c r="G165">
        <v>0.35702222222222102</v>
      </c>
      <c r="H165" s="55"/>
      <c r="I165" s="62">
        <f t="shared" si="7"/>
        <v>0.40147901234567834</v>
      </c>
      <c r="J165" s="66">
        <v>2</v>
      </c>
      <c r="K165" s="16" t="s">
        <v>423</v>
      </c>
      <c r="L165" s="16" t="s">
        <v>425</v>
      </c>
      <c r="M165" s="62" t="e">
        <f t="shared" si="8"/>
        <v>#N/A</v>
      </c>
      <c r="N165" s="62">
        <f t="shared" si="6"/>
        <v>0.20073950617283917</v>
      </c>
      <c r="O165" t="s">
        <v>435</v>
      </c>
    </row>
    <row r="166" spans="1:16" ht="15" x14ac:dyDescent="0.2">
      <c r="A166" t="s">
        <v>293</v>
      </c>
      <c r="B166" t="s">
        <v>362</v>
      </c>
      <c r="C166" t="s">
        <v>399</v>
      </c>
      <c r="D166" t="s">
        <v>210</v>
      </c>
      <c r="E166">
        <v>-3.6933333333333401E-2</v>
      </c>
      <c r="F166">
        <v>4.9244444444445201E-2</v>
      </c>
      <c r="G166">
        <v>3.0777777777778199E-2</v>
      </c>
      <c r="H166" s="55"/>
      <c r="I166" s="62">
        <f t="shared" si="7"/>
        <v>1.4362962962963332E-2</v>
      </c>
      <c r="J166" s="66">
        <v>2</v>
      </c>
      <c r="K166" s="16" t="s">
        <v>423</v>
      </c>
      <c r="L166" s="16" t="s">
        <v>425</v>
      </c>
      <c r="M166" s="62" t="e">
        <f t="shared" si="8"/>
        <v>#N/A</v>
      </c>
      <c r="N166" s="62">
        <f t="shared" si="6"/>
        <v>7.1814814814816661E-3</v>
      </c>
      <c r="P166" t="s">
        <v>4</v>
      </c>
    </row>
    <row r="167" spans="1:16" ht="15" x14ac:dyDescent="0.2">
      <c r="A167" t="s">
        <v>289</v>
      </c>
      <c r="B167" t="s">
        <v>362</v>
      </c>
      <c r="C167" t="s">
        <v>399</v>
      </c>
      <c r="D167" t="s">
        <v>210</v>
      </c>
      <c r="E167">
        <v>0.110799999999999</v>
      </c>
      <c r="F167">
        <v>8.0022222222222203E-2</v>
      </c>
      <c r="G167">
        <v>1.8466666666666399E-2</v>
      </c>
      <c r="H167" s="55"/>
      <c r="I167" s="62">
        <f t="shared" si="7"/>
        <v>6.9762962962962541E-2</v>
      </c>
      <c r="J167" s="66">
        <v>2</v>
      </c>
      <c r="K167" s="16" t="s">
        <v>423</v>
      </c>
      <c r="L167" s="16" t="s">
        <v>425</v>
      </c>
      <c r="M167" s="62" t="e">
        <f t="shared" si="8"/>
        <v>#N/A</v>
      </c>
      <c r="N167" s="62">
        <f t="shared" si="6"/>
        <v>3.488148148148127E-2</v>
      </c>
      <c r="P167" t="s">
        <v>4</v>
      </c>
    </row>
    <row r="168" spans="1:16" ht="15" x14ac:dyDescent="0.2">
      <c r="A168" t="s">
        <v>287</v>
      </c>
      <c r="B168" t="s">
        <v>362</v>
      </c>
      <c r="C168" t="s">
        <v>399</v>
      </c>
      <c r="D168" t="s">
        <v>210</v>
      </c>
      <c r="E168">
        <v>2.6838222222222199</v>
      </c>
      <c r="F168">
        <v>2.5853333333333302</v>
      </c>
      <c r="G168">
        <v>2.77</v>
      </c>
      <c r="H168" s="55"/>
      <c r="I168" s="62">
        <f t="shared" si="7"/>
        <v>2.6797185185185164</v>
      </c>
      <c r="J168" s="66">
        <v>2</v>
      </c>
      <c r="K168" s="16" t="s">
        <v>423</v>
      </c>
      <c r="L168" s="16" t="s">
        <v>425</v>
      </c>
      <c r="M168" s="62" t="e">
        <f t="shared" si="8"/>
        <v>#N/A</v>
      </c>
      <c r="N168" s="62">
        <f t="shared" si="6"/>
        <v>1.3398592592592582</v>
      </c>
      <c r="O168" t="s">
        <v>436</v>
      </c>
      <c r="P168" t="s">
        <v>6</v>
      </c>
    </row>
    <row r="169" spans="1:16" ht="15" x14ac:dyDescent="0.2">
      <c r="A169" t="s">
        <v>300</v>
      </c>
      <c r="B169" t="s">
        <v>362</v>
      </c>
      <c r="C169" t="s">
        <v>399</v>
      </c>
      <c r="D169" t="s">
        <v>210</v>
      </c>
      <c r="E169">
        <v>2.9916</v>
      </c>
      <c r="F169">
        <v>2.9977555555555502</v>
      </c>
      <c r="G169">
        <v>2.93004444444444</v>
      </c>
      <c r="H169" s="55"/>
      <c r="I169" s="62">
        <f t="shared" si="7"/>
        <v>2.9731333333333296</v>
      </c>
      <c r="J169" s="66">
        <v>2</v>
      </c>
      <c r="K169" s="16" t="s">
        <v>423</v>
      </c>
      <c r="L169" s="16" t="s">
        <v>425</v>
      </c>
      <c r="M169" s="62" t="e">
        <f t="shared" si="8"/>
        <v>#N/A</v>
      </c>
      <c r="N169" s="62">
        <f t="shared" si="6"/>
        <v>1.4865666666666648</v>
      </c>
      <c r="O169" t="s">
        <v>436</v>
      </c>
      <c r="P169" t="s">
        <v>6</v>
      </c>
    </row>
    <row r="170" spans="1:16" ht="15" x14ac:dyDescent="0.2">
      <c r="A170" t="s">
        <v>297</v>
      </c>
      <c r="B170" t="s">
        <v>362</v>
      </c>
      <c r="C170" t="s">
        <v>399</v>
      </c>
      <c r="D170" t="s">
        <v>210</v>
      </c>
      <c r="E170">
        <v>3.0777777777777501E-2</v>
      </c>
      <c r="F170">
        <v>2.4622222222221601E-2</v>
      </c>
      <c r="G170">
        <v>-3.6933333333332798E-2</v>
      </c>
      <c r="H170" s="55"/>
      <c r="I170" s="62">
        <f t="shared" si="7"/>
        <v>6.155555555555435E-3</v>
      </c>
      <c r="J170" s="66">
        <v>2</v>
      </c>
      <c r="K170" s="16" t="s">
        <v>423</v>
      </c>
      <c r="L170" s="16" t="s">
        <v>425</v>
      </c>
      <c r="M170" s="62" t="e">
        <f t="shared" si="8"/>
        <v>#N/A</v>
      </c>
      <c r="N170" s="62">
        <f t="shared" si="6"/>
        <v>3.0777777777777175E-3</v>
      </c>
      <c r="P170" t="s">
        <v>6</v>
      </c>
    </row>
    <row r="171" spans="1:16" ht="15" x14ac:dyDescent="0.2">
      <c r="A171" t="s">
        <v>303</v>
      </c>
      <c r="B171" t="s">
        <v>362</v>
      </c>
      <c r="C171" t="s">
        <v>399</v>
      </c>
      <c r="D171" t="s">
        <v>210</v>
      </c>
      <c r="E171">
        <v>-1.8466666666666399E-2</v>
      </c>
      <c r="F171">
        <v>-5.5399999999999797E-2</v>
      </c>
      <c r="G171">
        <v>-0.15388888888888799</v>
      </c>
      <c r="H171" s="55"/>
      <c r="I171" s="62">
        <f t="shared" si="7"/>
        <v>-7.5918518518518066E-2</v>
      </c>
      <c r="J171" s="66">
        <v>2</v>
      </c>
      <c r="K171" s="16" t="s">
        <v>423</v>
      </c>
      <c r="L171" s="16" t="s">
        <v>425</v>
      </c>
      <c r="M171" s="62" t="e">
        <f t="shared" si="8"/>
        <v>#N/A</v>
      </c>
      <c r="N171" s="62">
        <f t="shared" si="6"/>
        <v>-3.7959259259259033E-2</v>
      </c>
      <c r="P171" t="s">
        <v>4</v>
      </c>
    </row>
    <row r="172" spans="1:16" ht="15" x14ac:dyDescent="0.2">
      <c r="A172" t="s">
        <v>299</v>
      </c>
      <c r="B172" t="s">
        <v>362</v>
      </c>
      <c r="C172" t="s">
        <v>399</v>
      </c>
      <c r="D172" t="s">
        <v>210</v>
      </c>
      <c r="E172">
        <v>2.6530444444444399</v>
      </c>
      <c r="F172">
        <v>1.9636222222222199</v>
      </c>
      <c r="G172">
        <v>2.3698888888888798</v>
      </c>
      <c r="H172" s="55"/>
      <c r="I172" s="62">
        <f t="shared" si="7"/>
        <v>2.3288518518518466</v>
      </c>
      <c r="J172" s="66">
        <v>2</v>
      </c>
      <c r="K172" s="16" t="s">
        <v>423</v>
      </c>
      <c r="L172" s="16" t="s">
        <v>425</v>
      </c>
      <c r="M172" s="62" t="e">
        <f t="shared" si="8"/>
        <v>#N/A</v>
      </c>
      <c r="N172" s="62">
        <f t="shared" si="6"/>
        <v>1.1644259259259233</v>
      </c>
      <c r="O172" t="s">
        <v>436</v>
      </c>
      <c r="P172" t="s">
        <v>6</v>
      </c>
    </row>
    <row r="173" spans="1:16" ht="15" x14ac:dyDescent="0.2">
      <c r="A173" t="s">
        <v>302</v>
      </c>
      <c r="B173" t="s">
        <v>362</v>
      </c>
      <c r="C173" t="s">
        <v>399</v>
      </c>
      <c r="D173" t="s">
        <v>210</v>
      </c>
      <c r="E173">
        <v>2.8315555555555498</v>
      </c>
      <c r="F173">
        <v>2.64688888888888</v>
      </c>
      <c r="G173">
        <v>2.1359777777777702</v>
      </c>
      <c r="H173" s="55"/>
      <c r="I173" s="62">
        <f t="shared" si="7"/>
        <v>2.538140740740733</v>
      </c>
      <c r="J173" s="66">
        <v>2</v>
      </c>
      <c r="K173" s="16" t="s">
        <v>423</v>
      </c>
      <c r="L173" s="16" t="s">
        <v>425</v>
      </c>
      <c r="M173" s="62" t="e">
        <f t="shared" si="8"/>
        <v>#N/A</v>
      </c>
      <c r="N173" s="62">
        <f t="shared" si="6"/>
        <v>1.2690703703703665</v>
      </c>
      <c r="O173" t="s">
        <v>436</v>
      </c>
      <c r="P173" t="s">
        <v>6</v>
      </c>
    </row>
    <row r="174" spans="1:16" ht="15" x14ac:dyDescent="0.2">
      <c r="A174" t="s">
        <v>294</v>
      </c>
      <c r="B174" t="s">
        <v>362</v>
      </c>
      <c r="C174" t="s">
        <v>399</v>
      </c>
      <c r="D174" t="s">
        <v>210</v>
      </c>
      <c r="E174">
        <v>2.56071111111111</v>
      </c>
      <c r="F174">
        <v>2.43759999999999</v>
      </c>
      <c r="G174">
        <v>0.97873333333333301</v>
      </c>
      <c r="H174" s="65"/>
      <c r="I174" s="62">
        <f t="shared" si="7"/>
        <v>1.9923481481481442</v>
      </c>
      <c r="J174" s="66">
        <v>2</v>
      </c>
      <c r="K174" s="16" t="s">
        <v>423</v>
      </c>
      <c r="L174" s="16" t="s">
        <v>425</v>
      </c>
      <c r="M174" s="62" t="e">
        <f t="shared" si="8"/>
        <v>#N/A</v>
      </c>
      <c r="N174" s="62">
        <f t="shared" si="6"/>
        <v>0.9961740740740721</v>
      </c>
      <c r="O174" t="s">
        <v>437</v>
      </c>
      <c r="P174" t="s">
        <v>6</v>
      </c>
    </row>
    <row r="175" spans="1:16" ht="15" x14ac:dyDescent="0.2">
      <c r="A175" t="s">
        <v>288</v>
      </c>
      <c r="B175" t="s">
        <v>362</v>
      </c>
      <c r="C175" t="s">
        <v>399</v>
      </c>
      <c r="D175" t="s">
        <v>210</v>
      </c>
      <c r="E175">
        <v>2.4622222222222299E-2</v>
      </c>
      <c r="F175">
        <v>6.15555555555551E-2</v>
      </c>
      <c r="G175">
        <v>4.3088888888888698E-2</v>
      </c>
      <c r="H175" s="65"/>
      <c r="I175" s="62">
        <f t="shared" si="7"/>
        <v>4.3088888888888698E-2</v>
      </c>
      <c r="J175" s="66">
        <v>2</v>
      </c>
      <c r="K175" s="16" t="s">
        <v>423</v>
      </c>
      <c r="L175" s="16" t="s">
        <v>425</v>
      </c>
      <c r="M175" s="62" t="e">
        <f t="shared" si="8"/>
        <v>#N/A</v>
      </c>
      <c r="N175" s="62">
        <f t="shared" si="6"/>
        <v>2.1544444444444349E-2</v>
      </c>
      <c r="P175" t="s">
        <v>6</v>
      </c>
    </row>
    <row r="176" spans="1:16" ht="15" x14ac:dyDescent="0.2">
      <c r="A176" t="s">
        <v>292</v>
      </c>
      <c r="B176" t="s">
        <v>362</v>
      </c>
      <c r="C176" t="s">
        <v>399</v>
      </c>
      <c r="D176" t="s">
        <v>210</v>
      </c>
      <c r="E176">
        <v>1.2311111111111101E-2</v>
      </c>
      <c r="F176">
        <v>-0.110799999999999</v>
      </c>
      <c r="G176">
        <v>-0.135422222222222</v>
      </c>
      <c r="H176" s="65"/>
      <c r="I176" s="62">
        <f t="shared" si="7"/>
        <v>-7.7970370370369968E-2</v>
      </c>
      <c r="J176" s="66">
        <v>2</v>
      </c>
      <c r="K176" s="16" t="s">
        <v>423</v>
      </c>
      <c r="L176" s="16" t="s">
        <v>425</v>
      </c>
      <c r="M176" s="62" t="e">
        <f t="shared" si="8"/>
        <v>#N/A</v>
      </c>
      <c r="N176" s="62">
        <f t="shared" si="6"/>
        <v>-3.8985185185184984E-2</v>
      </c>
      <c r="P176" t="s">
        <v>4</v>
      </c>
    </row>
    <row r="177" spans="1:16" ht="15" x14ac:dyDescent="0.2">
      <c r="A177" t="s">
        <v>290</v>
      </c>
      <c r="B177" t="s">
        <v>362</v>
      </c>
      <c r="C177" t="s">
        <v>399</v>
      </c>
      <c r="D177" t="s">
        <v>210</v>
      </c>
      <c r="E177">
        <v>2.3329555555555501</v>
      </c>
      <c r="F177">
        <v>2.4068222222222202</v>
      </c>
      <c r="G177">
        <v>2.3447197421728401</v>
      </c>
      <c r="H177" s="65"/>
      <c r="I177" s="62">
        <f t="shared" si="7"/>
        <v>2.36149917331687</v>
      </c>
      <c r="J177" s="66">
        <v>2</v>
      </c>
      <c r="K177" s="16" t="s">
        <v>423</v>
      </c>
      <c r="L177" s="16" t="s">
        <v>425</v>
      </c>
      <c r="M177" s="62" t="e">
        <f t="shared" si="8"/>
        <v>#N/A</v>
      </c>
      <c r="N177" s="62">
        <f t="shared" si="6"/>
        <v>1.180749586658435</v>
      </c>
      <c r="O177" t="s">
        <v>436</v>
      </c>
      <c r="P177" t="s">
        <v>6</v>
      </c>
    </row>
    <row r="178" spans="1:16" ht="15" x14ac:dyDescent="0.2">
      <c r="A178" t="s">
        <v>295</v>
      </c>
      <c r="B178" t="s">
        <v>362</v>
      </c>
      <c r="C178" t="s">
        <v>399</v>
      </c>
      <c r="D178" t="s">
        <v>210</v>
      </c>
      <c r="E178">
        <v>2.4929999999999999</v>
      </c>
      <c r="F178">
        <v>2.26524444444444</v>
      </c>
      <c r="G178">
        <v>1.9820888888888799</v>
      </c>
      <c r="H178" s="65"/>
      <c r="I178" s="62">
        <f t="shared" si="7"/>
        <v>2.2467777777777731</v>
      </c>
      <c r="J178" s="66">
        <v>2</v>
      </c>
      <c r="K178" s="16" t="s">
        <v>423</v>
      </c>
      <c r="L178" s="16" t="s">
        <v>425</v>
      </c>
      <c r="M178" s="62" t="e">
        <f t="shared" si="8"/>
        <v>#N/A</v>
      </c>
      <c r="N178" s="62">
        <f t="shared" si="6"/>
        <v>1.1233888888888865</v>
      </c>
      <c r="O178" t="s">
        <v>436</v>
      </c>
      <c r="P178" t="s">
        <v>6</v>
      </c>
    </row>
    <row r="179" spans="1:16" ht="15" x14ac:dyDescent="0.2">
      <c r="A179" t="s">
        <v>285</v>
      </c>
      <c r="B179" t="s">
        <v>362</v>
      </c>
      <c r="C179" t="s">
        <v>399</v>
      </c>
      <c r="D179" t="s">
        <v>210</v>
      </c>
      <c r="E179">
        <v>3.1270222222222199</v>
      </c>
      <c r="F179">
        <v>3.1023999999999998</v>
      </c>
      <c r="G179">
        <v>3.0346888888888799</v>
      </c>
      <c r="H179" s="65"/>
      <c r="I179" s="62">
        <f t="shared" si="7"/>
        <v>3.0880370370370329</v>
      </c>
      <c r="J179" s="66">
        <v>2</v>
      </c>
      <c r="K179" s="16" t="s">
        <v>423</v>
      </c>
      <c r="L179" s="16" t="s">
        <v>425</v>
      </c>
      <c r="M179" s="62" t="e">
        <f t="shared" si="8"/>
        <v>#N/A</v>
      </c>
      <c r="N179" s="62">
        <f t="shared" si="6"/>
        <v>1.5440185185185165</v>
      </c>
      <c r="O179" t="s">
        <v>436</v>
      </c>
      <c r="P179" t="s">
        <v>6</v>
      </c>
    </row>
    <row r="180" spans="1:16" ht="15" x14ac:dyDescent="0.2">
      <c r="A180" t="s">
        <v>296</v>
      </c>
      <c r="B180" t="s">
        <v>362</v>
      </c>
      <c r="C180" t="s">
        <v>399</v>
      </c>
      <c r="D180" t="s">
        <v>210</v>
      </c>
      <c r="E180">
        <v>2.4622222222222299E-2</v>
      </c>
      <c r="F180">
        <v>-1.2311111111111101E-2</v>
      </c>
      <c r="G180">
        <v>3.0777777777778199E-2</v>
      </c>
      <c r="H180" s="65"/>
      <c r="I180" s="62">
        <f t="shared" si="7"/>
        <v>1.4362962962963133E-2</v>
      </c>
      <c r="J180" s="66">
        <v>2</v>
      </c>
      <c r="K180" s="16" t="s">
        <v>423</v>
      </c>
      <c r="L180" s="16" t="s">
        <v>425</v>
      </c>
      <c r="M180" s="62" t="e">
        <f t="shared" si="8"/>
        <v>#N/A</v>
      </c>
      <c r="N180" s="62">
        <f t="shared" si="6"/>
        <v>7.1814814814815664E-3</v>
      </c>
      <c r="P180" t="s">
        <v>4</v>
      </c>
    </row>
    <row r="181" spans="1:16" ht="15" x14ac:dyDescent="0.2">
      <c r="A181" t="s">
        <v>298</v>
      </c>
      <c r="B181" t="s">
        <v>362</v>
      </c>
      <c r="C181" t="s">
        <v>399</v>
      </c>
      <c r="D181" t="s">
        <v>210</v>
      </c>
      <c r="E181">
        <v>4.3088888888889301E-2</v>
      </c>
      <c r="F181">
        <v>-6.1555555555558904E-3</v>
      </c>
      <c r="G181">
        <v>4.3088888888888698E-2</v>
      </c>
      <c r="H181" s="65"/>
      <c r="I181" s="62">
        <f t="shared" si="7"/>
        <v>2.6674074074074034E-2</v>
      </c>
      <c r="J181" s="66">
        <v>2</v>
      </c>
      <c r="K181" s="16" t="s">
        <v>423</v>
      </c>
      <c r="L181" s="16" t="s">
        <v>425</v>
      </c>
      <c r="M181" s="62" t="e">
        <f t="shared" si="8"/>
        <v>#N/A</v>
      </c>
      <c r="N181" s="62">
        <f t="shared" si="6"/>
        <v>1.3337037037037017E-2</v>
      </c>
      <c r="P181" t="s">
        <v>4</v>
      </c>
    </row>
    <row r="182" spans="1:16" ht="15" x14ac:dyDescent="0.2">
      <c r="A182" t="s">
        <v>301</v>
      </c>
      <c r="B182" t="s">
        <v>362</v>
      </c>
      <c r="C182" t="s">
        <v>399</v>
      </c>
      <c r="D182" t="s">
        <v>210</v>
      </c>
      <c r="E182">
        <v>2.0128666666666599</v>
      </c>
      <c r="F182">
        <v>1.86513333333333</v>
      </c>
      <c r="G182">
        <v>1.9697777777777701</v>
      </c>
      <c r="H182" s="65"/>
      <c r="I182" s="62">
        <f t="shared" si="7"/>
        <v>1.9492592592592535</v>
      </c>
      <c r="J182" s="66">
        <v>2</v>
      </c>
      <c r="K182" s="16" t="s">
        <v>423</v>
      </c>
      <c r="L182" s="16" t="s">
        <v>425</v>
      </c>
      <c r="M182" s="62" t="e">
        <f t="shared" si="8"/>
        <v>#N/A</v>
      </c>
      <c r="N182" s="62">
        <f t="shared" si="6"/>
        <v>0.97462962962962674</v>
      </c>
      <c r="O182" t="s">
        <v>436</v>
      </c>
      <c r="P182" t="s">
        <v>6</v>
      </c>
    </row>
    <row r="183" spans="1:16" ht="15" x14ac:dyDescent="0.2">
      <c r="A183" t="s">
        <v>291</v>
      </c>
      <c r="B183" t="s">
        <v>362</v>
      </c>
      <c r="C183" t="s">
        <v>399</v>
      </c>
      <c r="D183" t="s">
        <v>210</v>
      </c>
      <c r="E183">
        <v>0.190822222222222</v>
      </c>
      <c r="F183">
        <v>0.24622222222222201</v>
      </c>
      <c r="G183">
        <v>0.135422222222222</v>
      </c>
      <c r="H183" s="65"/>
      <c r="I183" s="62">
        <f t="shared" si="7"/>
        <v>0.190822222222222</v>
      </c>
      <c r="J183" s="66">
        <v>2</v>
      </c>
      <c r="K183" s="16" t="s">
        <v>423</v>
      </c>
      <c r="L183" s="16" t="s">
        <v>425</v>
      </c>
      <c r="M183" s="62" t="e">
        <f t="shared" si="8"/>
        <v>#N/A</v>
      </c>
      <c r="N183" s="62">
        <f t="shared" si="6"/>
        <v>9.5411111111111002E-2</v>
      </c>
      <c r="P183" t="s">
        <v>6</v>
      </c>
    </row>
    <row r="184" spans="1:16" ht="15" x14ac:dyDescent="0.2">
      <c r="A184" t="s">
        <v>413</v>
      </c>
      <c r="B184" t="s">
        <v>362</v>
      </c>
      <c r="C184" t="s">
        <v>399</v>
      </c>
      <c r="D184" t="s">
        <v>210</v>
      </c>
      <c r="E184">
        <v>3.37324444444444</v>
      </c>
      <c r="F184">
        <v>3.3178444444444399</v>
      </c>
      <c r="G184">
        <v>3.4840444444444398</v>
      </c>
      <c r="H184" s="65"/>
      <c r="I184" s="62">
        <f t="shared" si="7"/>
        <v>3.3917111111111065</v>
      </c>
      <c r="J184" s="66">
        <v>2</v>
      </c>
      <c r="K184" s="16" t="s">
        <v>423</v>
      </c>
      <c r="L184" s="16" t="s">
        <v>425</v>
      </c>
      <c r="M184" s="62" t="e">
        <f t="shared" si="8"/>
        <v>#N/A</v>
      </c>
      <c r="N184" s="62">
        <f t="shared" si="6"/>
        <v>1.6958555555555532</v>
      </c>
      <c r="O184" t="s">
        <v>434</v>
      </c>
    </row>
    <row r="185" spans="1:16" ht="15" x14ac:dyDescent="0.2">
      <c r="A185" t="s">
        <v>396</v>
      </c>
      <c r="B185" t="s">
        <v>362</v>
      </c>
      <c r="C185" t="s">
        <v>399</v>
      </c>
      <c r="D185" t="s">
        <v>210</v>
      </c>
      <c r="E185">
        <v>4.9244444444444598E-2</v>
      </c>
      <c r="F185">
        <v>0.38779999999999898</v>
      </c>
      <c r="G185">
        <v>0.129266666666666</v>
      </c>
      <c r="H185" s="65"/>
      <c r="I185" s="62">
        <f t="shared" si="7"/>
        <v>0.18877037037036984</v>
      </c>
      <c r="J185" s="66">
        <v>2</v>
      </c>
      <c r="K185" s="16" t="s">
        <v>423</v>
      </c>
      <c r="L185" s="16" t="s">
        <v>425</v>
      </c>
      <c r="M185" s="62" t="e">
        <f t="shared" si="8"/>
        <v>#N/A</v>
      </c>
      <c r="N185" s="62">
        <f t="shared" si="6"/>
        <v>9.4385185185184919E-2</v>
      </c>
    </row>
    <row r="186" spans="1:16" ht="15" x14ac:dyDescent="0.2">
      <c r="A186" t="s">
        <v>316</v>
      </c>
      <c r="B186" t="s">
        <v>362</v>
      </c>
      <c r="C186" t="s">
        <v>399</v>
      </c>
      <c r="D186" t="s">
        <v>229</v>
      </c>
      <c r="E186">
        <v>2.93004444444444</v>
      </c>
      <c r="F186">
        <v>2.9423555555555501</v>
      </c>
      <c r="G186">
        <v>3.0346888888888799</v>
      </c>
      <c r="H186" s="65"/>
      <c r="I186" s="62">
        <f t="shared" si="7"/>
        <v>2.9690296296296235</v>
      </c>
      <c r="J186" s="66">
        <v>2</v>
      </c>
      <c r="K186" s="16" t="s">
        <v>423</v>
      </c>
      <c r="L186" s="16" t="s">
        <v>425</v>
      </c>
      <c r="M186" s="62" t="e">
        <f t="shared" si="8"/>
        <v>#N/A</v>
      </c>
      <c r="N186" s="62">
        <f t="shared" si="6"/>
        <v>1.4845148148148117</v>
      </c>
      <c r="O186" t="s">
        <v>436</v>
      </c>
      <c r="P186" t="s">
        <v>6</v>
      </c>
    </row>
    <row r="187" spans="1:16" ht="15" x14ac:dyDescent="0.2">
      <c r="A187" t="s">
        <v>312</v>
      </c>
      <c r="B187" t="s">
        <v>362</v>
      </c>
      <c r="C187" t="s">
        <v>399</v>
      </c>
      <c r="D187" t="s">
        <v>229</v>
      </c>
      <c r="E187">
        <v>0.49244444444444402</v>
      </c>
      <c r="F187">
        <v>0.406266666666666</v>
      </c>
      <c r="G187">
        <v>0.42473333333333302</v>
      </c>
      <c r="H187" s="65"/>
      <c r="I187" s="62">
        <f t="shared" si="7"/>
        <v>0.44114814814814768</v>
      </c>
      <c r="J187" s="66">
        <v>2</v>
      </c>
      <c r="K187" s="16" t="s">
        <v>423</v>
      </c>
      <c r="L187" s="16" t="s">
        <v>425</v>
      </c>
      <c r="M187" s="62" t="e">
        <f t="shared" si="8"/>
        <v>#N/A</v>
      </c>
      <c r="N187" s="62">
        <f t="shared" si="6"/>
        <v>0.22057407407407384</v>
      </c>
      <c r="P187" t="s">
        <v>6</v>
      </c>
    </row>
    <row r="188" spans="1:16" ht="15" x14ac:dyDescent="0.2">
      <c r="A188" t="s">
        <v>319</v>
      </c>
      <c r="B188" t="s">
        <v>362</v>
      </c>
      <c r="C188" t="s">
        <v>399</v>
      </c>
      <c r="D188" t="s">
        <v>229</v>
      </c>
      <c r="E188">
        <v>2.68997777777777</v>
      </c>
      <c r="F188">
        <v>2.8315555555555498</v>
      </c>
      <c r="G188">
        <v>2.6222666666666599</v>
      </c>
      <c r="H188" s="65"/>
      <c r="I188" s="62">
        <f t="shared" si="7"/>
        <v>2.7145999999999932</v>
      </c>
      <c r="J188" s="66">
        <v>2</v>
      </c>
      <c r="K188" s="16" t="s">
        <v>423</v>
      </c>
      <c r="L188" s="16" t="s">
        <v>425</v>
      </c>
      <c r="M188" s="62" t="e">
        <f t="shared" si="8"/>
        <v>#N/A</v>
      </c>
      <c r="N188" s="62">
        <f t="shared" si="6"/>
        <v>1.3572999999999966</v>
      </c>
      <c r="O188" t="s">
        <v>436</v>
      </c>
      <c r="P188" t="s">
        <v>6</v>
      </c>
    </row>
    <row r="189" spans="1:16" ht="15" x14ac:dyDescent="0.2">
      <c r="A189" t="s">
        <v>322</v>
      </c>
      <c r="B189" t="s">
        <v>362</v>
      </c>
      <c r="C189" t="s">
        <v>399</v>
      </c>
      <c r="D189" t="s">
        <v>229</v>
      </c>
      <c r="E189">
        <v>3.0777777777778199E-2</v>
      </c>
      <c r="F189">
        <v>0.258533333333333</v>
      </c>
      <c r="G189">
        <v>0.19082222222222101</v>
      </c>
      <c r="H189" s="65"/>
      <c r="I189" s="62">
        <f t="shared" si="7"/>
        <v>0.16004444444444407</v>
      </c>
      <c r="J189" s="66">
        <v>2</v>
      </c>
      <c r="K189" s="16" t="s">
        <v>423</v>
      </c>
      <c r="L189" s="16" t="s">
        <v>425</v>
      </c>
      <c r="M189" s="62" t="e">
        <f t="shared" si="8"/>
        <v>#N/A</v>
      </c>
      <c r="N189" s="62">
        <f t="shared" si="6"/>
        <v>8.0022222222222036E-2</v>
      </c>
      <c r="P189" t="s">
        <v>6</v>
      </c>
    </row>
    <row r="190" spans="1:16" ht="15" x14ac:dyDescent="0.2">
      <c r="A190" t="s">
        <v>317</v>
      </c>
      <c r="B190" t="s">
        <v>362</v>
      </c>
      <c r="C190" t="s">
        <v>399</v>
      </c>
      <c r="D190" t="s">
        <v>229</v>
      </c>
      <c r="E190">
        <v>2.91773333333333</v>
      </c>
      <c r="F190">
        <v>2.9669777777777702</v>
      </c>
      <c r="G190">
        <v>2.9361999999999999</v>
      </c>
      <c r="H190" s="65"/>
      <c r="I190" s="62">
        <f t="shared" si="7"/>
        <v>2.9403037037036999</v>
      </c>
      <c r="J190" s="66">
        <v>2</v>
      </c>
      <c r="K190" s="16" t="s">
        <v>423</v>
      </c>
      <c r="L190" s="16" t="s">
        <v>425</v>
      </c>
      <c r="M190" s="62" t="e">
        <f t="shared" si="8"/>
        <v>#N/A</v>
      </c>
      <c r="N190" s="62">
        <f t="shared" si="6"/>
        <v>1.4701518518518499</v>
      </c>
      <c r="O190" t="s">
        <v>436</v>
      </c>
      <c r="P190" t="s">
        <v>6</v>
      </c>
    </row>
    <row r="191" spans="1:16" ht="15" x14ac:dyDescent="0.2">
      <c r="A191" t="s">
        <v>315</v>
      </c>
      <c r="B191" t="s">
        <v>362</v>
      </c>
      <c r="C191" t="s">
        <v>399</v>
      </c>
      <c r="D191" t="s">
        <v>229</v>
      </c>
      <c r="E191">
        <v>2.5237777777777701</v>
      </c>
      <c r="F191">
        <v>2.5484</v>
      </c>
      <c r="G191">
        <v>2.4929999999999999</v>
      </c>
      <c r="H191" s="65"/>
      <c r="I191" s="62">
        <f t="shared" si="7"/>
        <v>2.521725925925923</v>
      </c>
      <c r="J191" s="66">
        <v>2</v>
      </c>
      <c r="K191" s="16" t="s">
        <v>423</v>
      </c>
      <c r="L191" s="16" t="s">
        <v>425</v>
      </c>
      <c r="M191" s="62" t="e">
        <f t="shared" si="8"/>
        <v>#N/A</v>
      </c>
      <c r="N191" s="62">
        <f t="shared" si="6"/>
        <v>1.2608629629629615</v>
      </c>
      <c r="O191" t="s">
        <v>436</v>
      </c>
      <c r="P191" t="s">
        <v>6</v>
      </c>
    </row>
    <row r="192" spans="1:16" ht="15" x14ac:dyDescent="0.2">
      <c r="A192" t="s">
        <v>320</v>
      </c>
      <c r="B192" t="s">
        <v>362</v>
      </c>
      <c r="C192" t="s">
        <v>399</v>
      </c>
      <c r="D192" t="s">
        <v>229</v>
      </c>
      <c r="E192">
        <v>2.91157777777777</v>
      </c>
      <c r="F192">
        <v>2.94851111111111</v>
      </c>
      <c r="G192">
        <v>3.0285333333333302</v>
      </c>
      <c r="H192" s="65"/>
      <c r="I192" s="62">
        <f t="shared" si="7"/>
        <v>2.9628740740740702</v>
      </c>
      <c r="J192" s="66">
        <v>2</v>
      </c>
      <c r="K192" s="16" t="s">
        <v>423</v>
      </c>
      <c r="L192" s="16" t="s">
        <v>425</v>
      </c>
      <c r="M192" s="62" t="e">
        <f t="shared" si="8"/>
        <v>#N/A</v>
      </c>
      <c r="N192" s="62">
        <f t="shared" si="6"/>
        <v>1.4814370370370351</v>
      </c>
      <c r="O192" t="s">
        <v>436</v>
      </c>
      <c r="P192" t="s">
        <v>6</v>
      </c>
    </row>
    <row r="193" spans="1:16" ht="15" x14ac:dyDescent="0.2">
      <c r="A193" t="s">
        <v>313</v>
      </c>
      <c r="B193" t="s">
        <v>362</v>
      </c>
      <c r="C193" t="s">
        <v>399</v>
      </c>
      <c r="D193" t="s">
        <v>229</v>
      </c>
      <c r="E193">
        <v>2.08673333333333</v>
      </c>
      <c r="F193">
        <v>2.1052</v>
      </c>
      <c r="G193">
        <v>2.1790666666666598</v>
      </c>
      <c r="H193" s="55"/>
      <c r="I193" s="62">
        <f t="shared" si="7"/>
        <v>2.1236666666666633</v>
      </c>
      <c r="J193" s="66">
        <v>2</v>
      </c>
      <c r="K193" s="16" t="s">
        <v>423</v>
      </c>
      <c r="L193" s="16" t="s">
        <v>425</v>
      </c>
      <c r="M193" s="62" t="e">
        <f t="shared" si="8"/>
        <v>#N/A</v>
      </c>
      <c r="N193" s="62">
        <f t="shared" si="6"/>
        <v>1.0618333333333316</v>
      </c>
      <c r="O193" t="s">
        <v>436</v>
      </c>
      <c r="P193" t="s">
        <v>6</v>
      </c>
    </row>
    <row r="194" spans="1:16" ht="15" x14ac:dyDescent="0.2">
      <c r="A194" t="s">
        <v>307</v>
      </c>
      <c r="B194" t="s">
        <v>362</v>
      </c>
      <c r="C194" t="s">
        <v>399</v>
      </c>
      <c r="D194" t="s">
        <v>229</v>
      </c>
      <c r="E194">
        <v>0.72635555555555498</v>
      </c>
      <c r="F194">
        <v>0.83099999999999996</v>
      </c>
      <c r="G194">
        <v>0.74482222222222205</v>
      </c>
      <c r="H194" s="55"/>
      <c r="I194" s="62">
        <f t="shared" si="7"/>
        <v>0.76739259259259229</v>
      </c>
      <c r="J194" s="66">
        <v>2</v>
      </c>
      <c r="K194" s="16" t="s">
        <v>423</v>
      </c>
      <c r="L194" s="16" t="s">
        <v>425</v>
      </c>
      <c r="M194" s="62" t="e">
        <f t="shared" si="8"/>
        <v>#N/A</v>
      </c>
      <c r="N194" s="62">
        <f t="shared" si="6"/>
        <v>0.38369629629629615</v>
      </c>
      <c r="P194" t="s">
        <v>6</v>
      </c>
    </row>
    <row r="195" spans="1:16" ht="15" x14ac:dyDescent="0.2">
      <c r="A195" t="s">
        <v>304</v>
      </c>
      <c r="B195" t="s">
        <v>362</v>
      </c>
      <c r="C195" t="s">
        <v>399</v>
      </c>
      <c r="D195" t="s">
        <v>229</v>
      </c>
      <c r="E195">
        <v>1.9328444444444399</v>
      </c>
      <c r="F195">
        <v>2.3268</v>
      </c>
      <c r="G195">
        <v>0.89255555555555499</v>
      </c>
      <c r="H195" s="55"/>
      <c r="I195" s="62">
        <f t="shared" si="7"/>
        <v>1.7173999999999985</v>
      </c>
      <c r="J195" s="66">
        <v>2</v>
      </c>
      <c r="K195" s="16" t="s">
        <v>423</v>
      </c>
      <c r="L195" s="16" t="s">
        <v>425</v>
      </c>
      <c r="M195" s="62" t="e">
        <f t="shared" si="8"/>
        <v>#N/A</v>
      </c>
      <c r="N195" s="62">
        <f t="shared" ref="N195:N245" si="9">IF($K195="µg",$I195/$J195, NA())</f>
        <v>0.85869999999999924</v>
      </c>
      <c r="O195" t="s">
        <v>437</v>
      </c>
      <c r="P195" t="s">
        <v>6</v>
      </c>
    </row>
    <row r="196" spans="1:16" ht="15" x14ac:dyDescent="0.2">
      <c r="A196" t="s">
        <v>308</v>
      </c>
      <c r="B196" t="s">
        <v>362</v>
      </c>
      <c r="C196" t="s">
        <v>399</v>
      </c>
      <c r="D196" t="s">
        <v>229</v>
      </c>
      <c r="E196">
        <v>2.2036888888888799</v>
      </c>
      <c r="F196">
        <v>2.4437555555555499</v>
      </c>
      <c r="G196">
        <v>2.2221555555555499</v>
      </c>
      <c r="H196" s="55"/>
      <c r="I196" s="62">
        <f t="shared" si="7"/>
        <v>2.2898666666666601</v>
      </c>
      <c r="J196" s="66">
        <v>2</v>
      </c>
      <c r="K196" s="16" t="s">
        <v>423</v>
      </c>
      <c r="L196" s="16" t="s">
        <v>425</v>
      </c>
      <c r="M196" s="62" t="e">
        <f t="shared" si="8"/>
        <v>#N/A</v>
      </c>
      <c r="N196" s="62">
        <f t="shared" si="9"/>
        <v>1.14493333333333</v>
      </c>
      <c r="O196" t="s">
        <v>436</v>
      </c>
      <c r="P196" t="s">
        <v>6</v>
      </c>
    </row>
    <row r="197" spans="1:16" ht="15" x14ac:dyDescent="0.2">
      <c r="A197" t="s">
        <v>318</v>
      </c>
      <c r="B197" t="s">
        <v>362</v>
      </c>
      <c r="C197" t="s">
        <v>399</v>
      </c>
      <c r="D197" t="s">
        <v>229</v>
      </c>
      <c r="E197">
        <v>-2.4622222222222299E-2</v>
      </c>
      <c r="F197">
        <v>-1.2311111111111101E-2</v>
      </c>
      <c r="G197">
        <v>0</v>
      </c>
      <c r="H197" s="55"/>
      <c r="I197" s="62">
        <f t="shared" si="7"/>
        <v>-1.2311111111111134E-2</v>
      </c>
      <c r="J197" s="66">
        <v>2</v>
      </c>
      <c r="K197" s="16" t="s">
        <v>423</v>
      </c>
      <c r="L197" s="16" t="s">
        <v>425</v>
      </c>
      <c r="M197" s="62" t="e">
        <f t="shared" si="8"/>
        <v>#N/A</v>
      </c>
      <c r="N197" s="62">
        <f t="shared" si="9"/>
        <v>-6.1555555555555669E-3</v>
      </c>
      <c r="P197" t="s">
        <v>6</v>
      </c>
    </row>
    <row r="198" spans="1:16" ht="15" x14ac:dyDescent="0.2">
      <c r="A198" t="s">
        <v>321</v>
      </c>
      <c r="B198" t="s">
        <v>362</v>
      </c>
      <c r="C198" t="s">
        <v>399</v>
      </c>
      <c r="D198" t="s">
        <v>229</v>
      </c>
      <c r="E198">
        <v>1.43424444444444</v>
      </c>
      <c r="F198">
        <v>0.597088888888889</v>
      </c>
      <c r="G198">
        <v>0.48628888888888899</v>
      </c>
      <c r="H198" s="55"/>
      <c r="I198" s="62">
        <f t="shared" si="7"/>
        <v>0.83920740740740596</v>
      </c>
      <c r="J198" s="66">
        <v>2</v>
      </c>
      <c r="K198" s="16" t="s">
        <v>423</v>
      </c>
      <c r="L198" s="16" t="s">
        <v>425</v>
      </c>
      <c r="M198" s="62" t="e">
        <f t="shared" si="8"/>
        <v>#N/A</v>
      </c>
      <c r="N198" s="62">
        <f t="shared" si="9"/>
        <v>0.41960370370370298</v>
      </c>
      <c r="O198" t="s">
        <v>438</v>
      </c>
      <c r="P198" t="s">
        <v>6</v>
      </c>
    </row>
    <row r="199" spans="1:16" ht="15" x14ac:dyDescent="0.2">
      <c r="A199" t="s">
        <v>306</v>
      </c>
      <c r="B199" t="s">
        <v>362</v>
      </c>
      <c r="C199" t="s">
        <v>399</v>
      </c>
      <c r="D199" t="s">
        <v>229</v>
      </c>
      <c r="E199">
        <v>0.22159999999999999</v>
      </c>
      <c r="F199">
        <v>0.22775555555555599</v>
      </c>
      <c r="G199">
        <v>0.33239999999999997</v>
      </c>
      <c r="H199" s="55"/>
      <c r="I199" s="62">
        <f t="shared" si="7"/>
        <v>0.26058518518518531</v>
      </c>
      <c r="J199" s="66">
        <v>2</v>
      </c>
      <c r="K199" s="16" t="s">
        <v>423</v>
      </c>
      <c r="L199" s="16" t="s">
        <v>425</v>
      </c>
      <c r="M199" s="62" t="e">
        <f t="shared" si="8"/>
        <v>#N/A</v>
      </c>
      <c r="N199" s="62">
        <f t="shared" si="9"/>
        <v>0.13029259259259265</v>
      </c>
      <c r="P199" t="s">
        <v>6</v>
      </c>
    </row>
    <row r="200" spans="1:16" ht="15" x14ac:dyDescent="0.2">
      <c r="A200" t="s">
        <v>311</v>
      </c>
      <c r="B200" t="s">
        <v>362</v>
      </c>
      <c r="C200" t="s">
        <v>399</v>
      </c>
      <c r="D200" t="s">
        <v>229</v>
      </c>
      <c r="E200">
        <v>2.4622222222221601E-2</v>
      </c>
      <c r="F200">
        <v>-8.6177777777777395E-2</v>
      </c>
      <c r="G200">
        <v>0.23391111111110999</v>
      </c>
      <c r="H200" s="55"/>
      <c r="I200" s="62">
        <f t="shared" si="7"/>
        <v>5.74518518518514E-2</v>
      </c>
      <c r="J200" s="66">
        <v>2</v>
      </c>
      <c r="K200" s="16" t="s">
        <v>423</v>
      </c>
      <c r="L200" s="16" t="s">
        <v>425</v>
      </c>
      <c r="M200" s="62" t="e">
        <f t="shared" si="8"/>
        <v>#N/A</v>
      </c>
      <c r="N200" s="62">
        <f t="shared" si="9"/>
        <v>2.87259259259257E-2</v>
      </c>
      <c r="P200" t="s">
        <v>6</v>
      </c>
    </row>
    <row r="201" spans="1:16" ht="15" x14ac:dyDescent="0.2">
      <c r="A201" t="s">
        <v>309</v>
      </c>
      <c r="B201" t="s">
        <v>362</v>
      </c>
      <c r="C201" t="s">
        <v>399</v>
      </c>
      <c r="D201" t="s">
        <v>229</v>
      </c>
      <c r="E201">
        <v>0.44319999999999998</v>
      </c>
      <c r="F201">
        <v>6.15555555555551E-2</v>
      </c>
      <c r="G201">
        <v>3.0777777777778199E-2</v>
      </c>
      <c r="H201" s="55"/>
      <c r="I201" s="62">
        <f t="shared" si="7"/>
        <v>0.17851111111111109</v>
      </c>
      <c r="J201" s="66">
        <v>2</v>
      </c>
      <c r="K201" s="16" t="s">
        <v>423</v>
      </c>
      <c r="L201" s="16" t="s">
        <v>425</v>
      </c>
      <c r="M201" s="62" t="e">
        <f t="shared" si="8"/>
        <v>#N/A</v>
      </c>
      <c r="N201" s="62">
        <f t="shared" si="9"/>
        <v>8.9255555555555546E-2</v>
      </c>
      <c r="P201" t="s">
        <v>6</v>
      </c>
    </row>
    <row r="202" spans="1:16" ht="15" x14ac:dyDescent="0.2">
      <c r="A202" t="s">
        <v>310</v>
      </c>
      <c r="B202" t="s">
        <v>362</v>
      </c>
      <c r="C202" t="s">
        <v>399</v>
      </c>
      <c r="D202" t="s">
        <v>229</v>
      </c>
      <c r="E202">
        <v>0.135422222222221</v>
      </c>
      <c r="F202">
        <v>7.3866666666666303E-2</v>
      </c>
      <c r="G202">
        <v>0.104644444444443</v>
      </c>
      <c r="H202" s="55"/>
      <c r="I202" s="62">
        <f t="shared" si="7"/>
        <v>0.10464444444444343</v>
      </c>
      <c r="J202" s="66">
        <v>2</v>
      </c>
      <c r="K202" s="16" t="s">
        <v>423</v>
      </c>
      <c r="L202" s="16" t="s">
        <v>425</v>
      </c>
      <c r="M202" s="62" t="e">
        <f t="shared" si="8"/>
        <v>#N/A</v>
      </c>
      <c r="N202" s="62">
        <f t="shared" si="9"/>
        <v>5.2322222222221715E-2</v>
      </c>
      <c r="P202" t="s">
        <v>6</v>
      </c>
    </row>
    <row r="203" spans="1:16" ht="15" x14ac:dyDescent="0.2">
      <c r="A203" t="s">
        <v>314</v>
      </c>
      <c r="B203" t="s">
        <v>362</v>
      </c>
      <c r="C203" t="s">
        <v>399</v>
      </c>
      <c r="D203" t="s">
        <v>229</v>
      </c>
      <c r="E203">
        <v>2.7761555555555502</v>
      </c>
      <c r="F203">
        <v>2.73922222222222</v>
      </c>
      <c r="G203">
        <v>2.8500222222222198</v>
      </c>
      <c r="H203" s="55"/>
      <c r="I203" s="62">
        <f t="shared" si="7"/>
        <v>2.7884666666666633</v>
      </c>
      <c r="J203" s="66">
        <v>2</v>
      </c>
      <c r="K203" s="16" t="s">
        <v>423</v>
      </c>
      <c r="L203" s="16" t="s">
        <v>425</v>
      </c>
      <c r="M203" s="62" t="e">
        <f t="shared" si="8"/>
        <v>#N/A</v>
      </c>
      <c r="N203" s="62">
        <f t="shared" si="9"/>
        <v>1.3942333333333317</v>
      </c>
      <c r="O203" t="s">
        <v>436</v>
      </c>
      <c r="P203" t="s">
        <v>6</v>
      </c>
    </row>
    <row r="204" spans="1:16" ht="15" x14ac:dyDescent="0.2">
      <c r="A204" t="s">
        <v>413</v>
      </c>
      <c r="B204" t="s">
        <v>362</v>
      </c>
      <c r="C204" t="s">
        <v>399</v>
      </c>
      <c r="D204" t="s">
        <v>229</v>
      </c>
      <c r="E204">
        <v>3.37324444444444</v>
      </c>
      <c r="F204">
        <v>3.3178444444444399</v>
      </c>
      <c r="G204">
        <v>3.4840444444444398</v>
      </c>
      <c r="H204" s="55"/>
      <c r="I204" s="62">
        <f t="shared" si="7"/>
        <v>3.3917111111111065</v>
      </c>
      <c r="J204" s="66">
        <v>2</v>
      </c>
      <c r="K204" s="16" t="s">
        <v>423</v>
      </c>
      <c r="L204" s="16" t="s">
        <v>425</v>
      </c>
      <c r="M204" s="62" t="e">
        <f t="shared" si="8"/>
        <v>#N/A</v>
      </c>
      <c r="N204" s="62">
        <f t="shared" si="9"/>
        <v>1.6958555555555532</v>
      </c>
      <c r="O204" t="s">
        <v>434</v>
      </c>
    </row>
    <row r="205" spans="1:16" ht="15" x14ac:dyDescent="0.2">
      <c r="A205" t="s">
        <v>396</v>
      </c>
      <c r="B205" t="s">
        <v>362</v>
      </c>
      <c r="C205" t="s">
        <v>399</v>
      </c>
      <c r="D205" t="s">
        <v>229</v>
      </c>
      <c r="E205">
        <v>4.9244444444444598E-2</v>
      </c>
      <c r="F205">
        <v>0.38779999999999898</v>
      </c>
      <c r="G205">
        <v>0.129266666666666</v>
      </c>
      <c r="H205" s="55"/>
      <c r="I205" s="62">
        <f t="shared" si="7"/>
        <v>0.18877037037036984</v>
      </c>
      <c r="J205" s="66">
        <v>2</v>
      </c>
      <c r="K205" s="16" t="s">
        <v>423</v>
      </c>
      <c r="L205" s="16" t="s">
        <v>425</v>
      </c>
      <c r="M205" s="62" t="e">
        <f t="shared" si="8"/>
        <v>#N/A</v>
      </c>
      <c r="N205" s="62">
        <f t="shared" si="9"/>
        <v>9.4385185185184919E-2</v>
      </c>
    </row>
    <row r="206" spans="1:16" ht="15" x14ac:dyDescent="0.2">
      <c r="A206">
        <v>698</v>
      </c>
      <c r="B206" t="s">
        <v>362</v>
      </c>
      <c r="C206" t="s">
        <v>399</v>
      </c>
      <c r="D206" t="s">
        <v>248</v>
      </c>
      <c r="E206">
        <v>6.1555555555555697E-2</v>
      </c>
      <c r="F206">
        <v>4.3088888888889301E-2</v>
      </c>
      <c r="G206">
        <v>1.8466666666666399E-2</v>
      </c>
      <c r="H206" s="55"/>
      <c r="I206" s="62">
        <f t="shared" si="7"/>
        <v>4.1037037037037129E-2</v>
      </c>
      <c r="J206" s="66">
        <v>2</v>
      </c>
      <c r="K206" s="16" t="s">
        <v>423</v>
      </c>
      <c r="L206" s="16" t="s">
        <v>425</v>
      </c>
      <c r="M206" s="62" t="e">
        <f t="shared" si="8"/>
        <v>#N/A</v>
      </c>
      <c r="N206" s="62">
        <f t="shared" si="9"/>
        <v>2.0518518518518564E-2</v>
      </c>
      <c r="P206" t="s">
        <v>6</v>
      </c>
    </row>
    <row r="207" spans="1:16" ht="15" x14ac:dyDescent="0.2">
      <c r="A207">
        <v>1836</v>
      </c>
      <c r="B207" t="s">
        <v>362</v>
      </c>
      <c r="C207" t="s">
        <v>399</v>
      </c>
      <c r="D207" t="s">
        <v>248</v>
      </c>
      <c r="E207">
        <v>2.4622222222222299E-2</v>
      </c>
      <c r="F207">
        <v>6.1555555555555697E-2</v>
      </c>
      <c r="G207">
        <v>3.6933333333332798E-2</v>
      </c>
      <c r="H207" s="64"/>
      <c r="I207" s="62">
        <f t="shared" si="7"/>
        <v>4.1037037037036928E-2</v>
      </c>
      <c r="J207" s="66">
        <v>2</v>
      </c>
      <c r="K207" s="16" t="s">
        <v>423</v>
      </c>
      <c r="L207" s="16" t="s">
        <v>425</v>
      </c>
      <c r="M207" s="62" t="e">
        <f t="shared" si="8"/>
        <v>#N/A</v>
      </c>
      <c r="N207" s="62">
        <f t="shared" si="9"/>
        <v>2.0518518518518464E-2</v>
      </c>
      <c r="P207" t="s">
        <v>6</v>
      </c>
    </row>
    <row r="208" spans="1:16" ht="15" x14ac:dyDescent="0.2">
      <c r="A208">
        <v>6991</v>
      </c>
      <c r="B208" t="s">
        <v>362</v>
      </c>
      <c r="C208" t="s">
        <v>399</v>
      </c>
      <c r="D208" t="s">
        <v>248</v>
      </c>
      <c r="E208">
        <v>0</v>
      </c>
      <c r="F208">
        <v>0.24622222222222201</v>
      </c>
      <c r="G208">
        <v>-0.17851111111111001</v>
      </c>
      <c r="H208" s="55"/>
      <c r="I208" s="62">
        <f t="shared" si="7"/>
        <v>2.2570370370370667E-2</v>
      </c>
      <c r="J208" s="66">
        <v>2</v>
      </c>
      <c r="K208" s="16" t="s">
        <v>423</v>
      </c>
      <c r="L208" s="16" t="s">
        <v>425</v>
      </c>
      <c r="M208" s="62" t="e">
        <f t="shared" si="8"/>
        <v>#N/A</v>
      </c>
      <c r="N208" s="62">
        <f t="shared" si="9"/>
        <v>1.1285185185185334E-2</v>
      </c>
      <c r="P208" t="s">
        <v>4</v>
      </c>
    </row>
    <row r="209" spans="1:16" ht="15" x14ac:dyDescent="0.2">
      <c r="A209">
        <v>9470</v>
      </c>
      <c r="B209" t="s">
        <v>362</v>
      </c>
      <c r="C209" t="s">
        <v>399</v>
      </c>
      <c r="D209" t="s">
        <v>248</v>
      </c>
      <c r="E209">
        <v>0.18466666666666601</v>
      </c>
      <c r="F209">
        <v>0.18466666666666701</v>
      </c>
      <c r="G209">
        <v>0.32008888888888798</v>
      </c>
      <c r="H209" s="55"/>
      <c r="I209" s="62">
        <f t="shared" si="7"/>
        <v>0.22980740740740702</v>
      </c>
      <c r="J209" s="66">
        <v>2</v>
      </c>
      <c r="K209" s="16" t="s">
        <v>423</v>
      </c>
      <c r="L209" s="16" t="s">
        <v>425</v>
      </c>
      <c r="M209" s="62" t="e">
        <f t="shared" si="8"/>
        <v>#N/A</v>
      </c>
      <c r="N209" s="62">
        <f t="shared" si="9"/>
        <v>0.11490370370370351</v>
      </c>
      <c r="P209" t="s">
        <v>4</v>
      </c>
    </row>
    <row r="210" spans="1:16" ht="15" x14ac:dyDescent="0.2">
      <c r="A210" t="s">
        <v>326</v>
      </c>
      <c r="B210" t="s">
        <v>362</v>
      </c>
      <c r="C210" t="s">
        <v>399</v>
      </c>
      <c r="D210" t="s">
        <v>248</v>
      </c>
      <c r="E210">
        <v>4.3088888888888698E-2</v>
      </c>
      <c r="F210">
        <v>5.5399999999999797E-2</v>
      </c>
      <c r="G210">
        <v>4.3088888888888698E-2</v>
      </c>
      <c r="H210" s="55"/>
      <c r="I210" s="62">
        <f t="shared" si="7"/>
        <v>4.7192592592592397E-2</v>
      </c>
      <c r="J210" s="66">
        <v>2</v>
      </c>
      <c r="K210" s="16" t="s">
        <v>423</v>
      </c>
      <c r="L210" s="16" t="s">
        <v>425</v>
      </c>
      <c r="M210" s="62" t="e">
        <f t="shared" si="8"/>
        <v>#N/A</v>
      </c>
      <c r="N210" s="62">
        <f t="shared" si="9"/>
        <v>2.3596296296296199E-2</v>
      </c>
      <c r="P210" t="s">
        <v>4</v>
      </c>
    </row>
    <row r="211" spans="1:16" ht="15" x14ac:dyDescent="0.2">
      <c r="A211" t="s">
        <v>333</v>
      </c>
      <c r="B211" t="s">
        <v>362</v>
      </c>
      <c r="C211" t="s">
        <v>399</v>
      </c>
      <c r="D211" t="s">
        <v>248</v>
      </c>
      <c r="E211">
        <v>3.0777777777777501E-2</v>
      </c>
      <c r="F211">
        <v>4.9244444444443897E-2</v>
      </c>
      <c r="G211">
        <v>4.3088888888888698E-2</v>
      </c>
      <c r="H211" s="55"/>
      <c r="I211" s="62">
        <f t="shared" si="7"/>
        <v>4.1037037037036699E-2</v>
      </c>
      <c r="J211" s="66">
        <v>2</v>
      </c>
      <c r="K211" s="16" t="s">
        <v>423</v>
      </c>
      <c r="L211" s="16" t="s">
        <v>425</v>
      </c>
      <c r="M211" s="62" t="e">
        <f t="shared" si="8"/>
        <v>#N/A</v>
      </c>
      <c r="N211" s="62">
        <f t="shared" si="9"/>
        <v>2.0518518518518349E-2</v>
      </c>
      <c r="P211" t="s">
        <v>4</v>
      </c>
    </row>
    <row r="212" spans="1:16" ht="15" x14ac:dyDescent="0.2">
      <c r="A212" t="s">
        <v>332</v>
      </c>
      <c r="B212" t="s">
        <v>362</v>
      </c>
      <c r="C212" t="s">
        <v>399</v>
      </c>
      <c r="D212" t="s">
        <v>248</v>
      </c>
      <c r="E212">
        <v>8.0022222222222203E-2</v>
      </c>
      <c r="F212">
        <v>4.9244444444443897E-2</v>
      </c>
      <c r="G212">
        <v>6.7711111111111E-2</v>
      </c>
      <c r="H212" s="55"/>
      <c r="I212" s="62">
        <f t="shared" si="7"/>
        <v>6.5659259259259029E-2</v>
      </c>
      <c r="J212" s="66">
        <v>2</v>
      </c>
      <c r="K212" s="16" t="s">
        <v>423</v>
      </c>
      <c r="L212" s="16" t="s">
        <v>425</v>
      </c>
      <c r="M212" s="62" t="e">
        <f t="shared" si="8"/>
        <v>#N/A</v>
      </c>
      <c r="N212" s="62">
        <f t="shared" si="9"/>
        <v>3.2829629629629514E-2</v>
      </c>
      <c r="P212" t="s">
        <v>4</v>
      </c>
    </row>
    <row r="213" spans="1:16" ht="15" x14ac:dyDescent="0.2">
      <c r="A213" t="s">
        <v>325</v>
      </c>
      <c r="B213" t="s">
        <v>362</v>
      </c>
      <c r="C213" t="s">
        <v>399</v>
      </c>
      <c r="D213" t="s">
        <v>248</v>
      </c>
      <c r="E213">
        <v>6.1555555555552598E-3</v>
      </c>
      <c r="F213">
        <v>-8.6177777777777395E-2</v>
      </c>
      <c r="G213">
        <v>-3.6933333333332798E-2</v>
      </c>
      <c r="H213" s="55"/>
      <c r="I213" s="62">
        <f t="shared" ref="I213:I245" si="10">AVERAGE(E213:H213)</f>
        <v>-3.8985185185184977E-2</v>
      </c>
      <c r="J213" s="66">
        <v>2</v>
      </c>
      <c r="K213" s="16" t="s">
        <v>423</v>
      </c>
      <c r="L213" s="16" t="s">
        <v>425</v>
      </c>
      <c r="M213" s="62" t="e">
        <f t="shared" si="8"/>
        <v>#N/A</v>
      </c>
      <c r="N213" s="62">
        <f t="shared" si="9"/>
        <v>-1.9492592592592489E-2</v>
      </c>
      <c r="P213" t="s">
        <v>4</v>
      </c>
    </row>
    <row r="214" spans="1:16" ht="15" x14ac:dyDescent="0.2">
      <c r="A214" t="s">
        <v>334</v>
      </c>
      <c r="B214" t="s">
        <v>362</v>
      </c>
      <c r="C214" t="s">
        <v>399</v>
      </c>
      <c r="D214" t="s">
        <v>248</v>
      </c>
      <c r="E214">
        <v>0</v>
      </c>
      <c r="F214">
        <v>-9.2333333333333295E-2</v>
      </c>
      <c r="G214">
        <v>-0.104644444444444</v>
      </c>
      <c r="H214" s="55"/>
      <c r="I214" s="62">
        <f t="shared" si="10"/>
        <v>-6.5659259259259098E-2</v>
      </c>
      <c r="J214" s="66">
        <v>2</v>
      </c>
      <c r="K214" s="16" t="s">
        <v>423</v>
      </c>
      <c r="L214" s="16" t="s">
        <v>425</v>
      </c>
      <c r="M214" s="62" t="e">
        <f t="shared" ref="M214:M245" si="11">IF(K214="µl",I214/J214, NA())</f>
        <v>#N/A</v>
      </c>
      <c r="N214" s="62">
        <f t="shared" si="9"/>
        <v>-3.2829629629629549E-2</v>
      </c>
      <c r="P214" t="s">
        <v>4</v>
      </c>
    </row>
    <row r="215" spans="1:16" ht="15" x14ac:dyDescent="0.2">
      <c r="A215" t="s">
        <v>324</v>
      </c>
      <c r="B215" t="s">
        <v>362</v>
      </c>
      <c r="C215" t="s">
        <v>399</v>
      </c>
      <c r="D215" t="s">
        <v>248</v>
      </c>
      <c r="E215">
        <v>-1.2311111111111101E-2</v>
      </c>
      <c r="F215">
        <v>0.196977777777777</v>
      </c>
      <c r="G215">
        <v>0.18466666666666601</v>
      </c>
      <c r="H215" s="65"/>
      <c r="I215" s="62">
        <f t="shared" si="10"/>
        <v>0.12311111111111063</v>
      </c>
      <c r="J215" s="66">
        <v>2</v>
      </c>
      <c r="K215" s="16" t="s">
        <v>423</v>
      </c>
      <c r="L215" s="16" t="s">
        <v>425</v>
      </c>
      <c r="M215" s="62" t="e">
        <f t="shared" si="11"/>
        <v>#N/A</v>
      </c>
      <c r="N215" s="62">
        <f t="shared" si="9"/>
        <v>6.1555555555555315E-2</v>
      </c>
      <c r="P215" t="s">
        <v>4</v>
      </c>
    </row>
    <row r="216" spans="1:16" ht="15" x14ac:dyDescent="0.2">
      <c r="A216" t="s">
        <v>331</v>
      </c>
      <c r="B216" t="s">
        <v>362</v>
      </c>
      <c r="C216" t="s">
        <v>399</v>
      </c>
      <c r="D216" t="s">
        <v>248</v>
      </c>
      <c r="E216">
        <v>6.7711111111111E-2</v>
      </c>
      <c r="F216">
        <v>5.5400000000000497E-2</v>
      </c>
      <c r="G216">
        <v>2.4622222222222299E-2</v>
      </c>
      <c r="H216" s="65"/>
      <c r="I216" s="62">
        <f t="shared" si="10"/>
        <v>4.9244444444444598E-2</v>
      </c>
      <c r="J216" s="66">
        <v>2</v>
      </c>
      <c r="K216" s="16" t="s">
        <v>423</v>
      </c>
      <c r="L216" s="16" t="s">
        <v>425</v>
      </c>
      <c r="M216" s="62" t="e">
        <f t="shared" si="11"/>
        <v>#N/A</v>
      </c>
      <c r="N216" s="62">
        <f t="shared" si="9"/>
        <v>2.4622222222222299E-2</v>
      </c>
      <c r="P216" t="s">
        <v>4</v>
      </c>
    </row>
    <row r="217" spans="1:16" ht="15" x14ac:dyDescent="0.2">
      <c r="A217" t="s">
        <v>328</v>
      </c>
      <c r="B217" t="s">
        <v>362</v>
      </c>
      <c r="C217" t="s">
        <v>399</v>
      </c>
      <c r="D217" t="s">
        <v>248</v>
      </c>
      <c r="E217">
        <v>9.8488888888889195E-2</v>
      </c>
      <c r="F217">
        <v>6.7711111111111E-2</v>
      </c>
      <c r="G217">
        <v>0.338555555555555</v>
      </c>
      <c r="H217" s="65"/>
      <c r="I217" s="62">
        <f t="shared" si="10"/>
        <v>0.16825185185185174</v>
      </c>
      <c r="J217" s="66">
        <v>2</v>
      </c>
      <c r="K217" s="16" t="s">
        <v>423</v>
      </c>
      <c r="L217" s="16" t="s">
        <v>425</v>
      </c>
      <c r="M217" s="62" t="e">
        <f t="shared" si="11"/>
        <v>#N/A</v>
      </c>
      <c r="N217" s="62">
        <f t="shared" si="9"/>
        <v>8.4125925925925868E-2</v>
      </c>
      <c r="P217" t="s">
        <v>4</v>
      </c>
    </row>
    <row r="218" spans="1:16" ht="15" x14ac:dyDescent="0.2">
      <c r="A218" t="s">
        <v>336</v>
      </c>
      <c r="B218" t="s">
        <v>362</v>
      </c>
      <c r="C218" t="s">
        <v>399</v>
      </c>
      <c r="D218" t="s">
        <v>248</v>
      </c>
      <c r="E218">
        <v>3.0777777777777501E-2</v>
      </c>
      <c r="F218">
        <v>0.18466666666666601</v>
      </c>
      <c r="G218">
        <v>-1.2311111111111101E-2</v>
      </c>
      <c r="H218" s="65"/>
      <c r="I218" s="62">
        <f t="shared" si="10"/>
        <v>6.7711111111110792E-2</v>
      </c>
      <c r="J218" s="66">
        <v>2</v>
      </c>
      <c r="K218" s="16" t="s">
        <v>423</v>
      </c>
      <c r="L218" s="16" t="s">
        <v>425</v>
      </c>
      <c r="M218" s="62" t="e">
        <f t="shared" si="11"/>
        <v>#N/A</v>
      </c>
      <c r="N218" s="62">
        <f t="shared" si="9"/>
        <v>3.3855555555555396E-2</v>
      </c>
      <c r="P218" t="s">
        <v>4</v>
      </c>
    </row>
    <row r="219" spans="1:16" ht="15" x14ac:dyDescent="0.2">
      <c r="A219" t="s">
        <v>323</v>
      </c>
      <c r="B219" t="s">
        <v>362</v>
      </c>
      <c r="C219" t="s">
        <v>399</v>
      </c>
      <c r="D219" t="s">
        <v>248</v>
      </c>
      <c r="E219">
        <v>4.3088888888888698E-2</v>
      </c>
      <c r="F219">
        <v>-1.2311111111111101E-2</v>
      </c>
      <c r="G219">
        <v>1.8466666666666999E-2</v>
      </c>
      <c r="H219" s="65"/>
      <c r="I219" s="62">
        <f t="shared" si="10"/>
        <v>1.6414814814814865E-2</v>
      </c>
      <c r="J219" s="66">
        <v>2</v>
      </c>
      <c r="K219" s="16" t="s">
        <v>423</v>
      </c>
      <c r="L219" s="16" t="s">
        <v>425</v>
      </c>
      <c r="M219" s="62" t="e">
        <f t="shared" si="11"/>
        <v>#N/A</v>
      </c>
      <c r="N219" s="62">
        <f t="shared" si="9"/>
        <v>8.2074074074074323E-3</v>
      </c>
      <c r="P219" t="s">
        <v>4</v>
      </c>
    </row>
    <row r="220" spans="1:16" ht="15" x14ac:dyDescent="0.2">
      <c r="A220" t="s">
        <v>327</v>
      </c>
      <c r="B220" t="s">
        <v>362</v>
      </c>
      <c r="C220" t="s">
        <v>399</v>
      </c>
      <c r="D220" t="s">
        <v>248</v>
      </c>
      <c r="E220">
        <v>1.2311111111111101E-2</v>
      </c>
      <c r="F220">
        <v>-6.1555555555552598E-3</v>
      </c>
      <c r="G220">
        <v>3.0777777777777501E-2</v>
      </c>
      <c r="H220" s="65"/>
      <c r="I220" s="62">
        <f t="shared" si="10"/>
        <v>1.2311111111111115E-2</v>
      </c>
      <c r="J220" s="66">
        <v>2</v>
      </c>
      <c r="K220" s="16" t="s">
        <v>423</v>
      </c>
      <c r="L220" s="16" t="s">
        <v>425</v>
      </c>
      <c r="M220" s="62" t="e">
        <f t="shared" si="11"/>
        <v>#N/A</v>
      </c>
      <c r="N220" s="62">
        <f t="shared" si="9"/>
        <v>6.1555555555555573E-3</v>
      </c>
      <c r="P220" t="s">
        <v>4</v>
      </c>
    </row>
    <row r="221" spans="1:16" ht="15" x14ac:dyDescent="0.2">
      <c r="A221" t="s">
        <v>330</v>
      </c>
      <c r="B221" t="s">
        <v>362</v>
      </c>
      <c r="C221" t="s">
        <v>399</v>
      </c>
      <c r="D221" t="s">
        <v>248</v>
      </c>
      <c r="E221">
        <v>0.33239999999999997</v>
      </c>
      <c r="F221">
        <v>7.38666666666669E-2</v>
      </c>
      <c r="G221">
        <v>0.135422222222222</v>
      </c>
      <c r="H221" s="65"/>
      <c r="I221" s="62">
        <f t="shared" si="10"/>
        <v>0.18056296296296295</v>
      </c>
      <c r="J221" s="66">
        <v>2</v>
      </c>
      <c r="K221" s="16" t="s">
        <v>423</v>
      </c>
      <c r="L221" s="16" t="s">
        <v>425</v>
      </c>
      <c r="M221" s="62" t="e">
        <f t="shared" si="11"/>
        <v>#N/A</v>
      </c>
      <c r="N221" s="62">
        <f t="shared" si="9"/>
        <v>9.0281481481481476E-2</v>
      </c>
      <c r="P221" t="s">
        <v>4</v>
      </c>
    </row>
    <row r="222" spans="1:16" ht="15" x14ac:dyDescent="0.2">
      <c r="A222" t="s">
        <v>329</v>
      </c>
      <c r="B222" t="s">
        <v>362</v>
      </c>
      <c r="C222" t="s">
        <v>399</v>
      </c>
      <c r="D222" t="s">
        <v>248</v>
      </c>
      <c r="E222">
        <v>6.7711111111111E-2</v>
      </c>
      <c r="F222">
        <v>3.0777777777777501E-2</v>
      </c>
      <c r="G222">
        <v>-1.8466666666666399E-2</v>
      </c>
      <c r="H222" s="65"/>
      <c r="I222" s="62">
        <f t="shared" si="10"/>
        <v>2.6674074074074034E-2</v>
      </c>
      <c r="J222" s="66">
        <v>2</v>
      </c>
      <c r="K222" s="16" t="s">
        <v>423</v>
      </c>
      <c r="L222" s="16" t="s">
        <v>425</v>
      </c>
      <c r="M222" s="62" t="e">
        <f t="shared" si="11"/>
        <v>#N/A</v>
      </c>
      <c r="N222" s="62">
        <f t="shared" si="9"/>
        <v>1.3337037037037017E-2</v>
      </c>
      <c r="P222" t="s">
        <v>4</v>
      </c>
    </row>
    <row r="223" spans="1:16" ht="15" x14ac:dyDescent="0.2">
      <c r="A223" t="s">
        <v>335</v>
      </c>
      <c r="B223" t="s">
        <v>362</v>
      </c>
      <c r="C223" t="s">
        <v>399</v>
      </c>
      <c r="D223" t="s">
        <v>248</v>
      </c>
      <c r="E223">
        <v>7.3866666666666303E-2</v>
      </c>
      <c r="F223">
        <v>8.6177777777777395E-2</v>
      </c>
      <c r="G223">
        <v>8.0022222222222203E-2</v>
      </c>
      <c r="H223" s="65"/>
      <c r="I223" s="62">
        <f t="shared" si="10"/>
        <v>8.0022222222221981E-2</v>
      </c>
      <c r="J223" s="66">
        <v>2</v>
      </c>
      <c r="K223" s="16" t="s">
        <v>423</v>
      </c>
      <c r="L223" s="16" t="s">
        <v>425</v>
      </c>
      <c r="M223" s="62" t="e">
        <f t="shared" si="11"/>
        <v>#N/A</v>
      </c>
      <c r="N223" s="62">
        <f t="shared" si="9"/>
        <v>4.001111111111099E-2</v>
      </c>
      <c r="P223" t="s">
        <v>4</v>
      </c>
    </row>
    <row r="224" spans="1:16" ht="15" x14ac:dyDescent="0.2">
      <c r="A224" t="s">
        <v>413</v>
      </c>
      <c r="B224" t="s">
        <v>362</v>
      </c>
      <c r="C224" t="s">
        <v>399</v>
      </c>
      <c r="D224" t="s">
        <v>248</v>
      </c>
      <c r="E224">
        <v>3.37324444444444</v>
      </c>
      <c r="F224">
        <v>3.3178444444444399</v>
      </c>
      <c r="G224">
        <v>3.4840444444444398</v>
      </c>
      <c r="H224" s="65"/>
      <c r="I224" s="62">
        <f t="shared" si="10"/>
        <v>3.3917111111111065</v>
      </c>
      <c r="J224" s="66">
        <v>2</v>
      </c>
      <c r="K224" s="16" t="s">
        <v>423</v>
      </c>
      <c r="L224" s="16" t="s">
        <v>425</v>
      </c>
      <c r="M224" s="62" t="e">
        <f t="shared" si="11"/>
        <v>#N/A</v>
      </c>
      <c r="N224" s="62">
        <f t="shared" si="9"/>
        <v>1.6958555555555532</v>
      </c>
      <c r="O224" t="s">
        <v>434</v>
      </c>
    </row>
    <row r="225" spans="1:16" ht="15" x14ac:dyDescent="0.2">
      <c r="A225" t="s">
        <v>396</v>
      </c>
      <c r="B225" t="s">
        <v>362</v>
      </c>
      <c r="C225" t="s">
        <v>399</v>
      </c>
      <c r="D225" t="s">
        <v>248</v>
      </c>
      <c r="E225">
        <v>4.9244444444444598E-2</v>
      </c>
      <c r="F225">
        <v>0.38779999999999898</v>
      </c>
      <c r="G225">
        <v>0.129266666666666</v>
      </c>
      <c r="H225" s="65"/>
      <c r="I225" s="62">
        <f t="shared" si="10"/>
        <v>0.18877037037036984</v>
      </c>
      <c r="J225" s="66">
        <v>2</v>
      </c>
      <c r="K225" s="16" t="s">
        <v>423</v>
      </c>
      <c r="L225" s="16" t="s">
        <v>425</v>
      </c>
      <c r="M225" s="62" t="e">
        <f t="shared" si="11"/>
        <v>#N/A</v>
      </c>
      <c r="N225" s="62">
        <f t="shared" si="9"/>
        <v>9.4385185185184919E-2</v>
      </c>
    </row>
    <row r="226" spans="1:16" ht="15" x14ac:dyDescent="0.2">
      <c r="A226">
        <v>1403</v>
      </c>
      <c r="B226" t="s">
        <v>362</v>
      </c>
      <c r="C226" t="s">
        <v>399</v>
      </c>
      <c r="D226" t="s">
        <v>267</v>
      </c>
      <c r="E226">
        <v>8.0022222222221495E-2</v>
      </c>
      <c r="F226">
        <v>7.3866666666666303E-2</v>
      </c>
      <c r="G226">
        <v>7.3866666666666303E-2</v>
      </c>
      <c r="H226" s="65"/>
      <c r="I226" s="62">
        <f t="shared" si="10"/>
        <v>7.5918518518518038E-2</v>
      </c>
      <c r="J226" s="66">
        <v>2</v>
      </c>
      <c r="K226" s="16" t="s">
        <v>423</v>
      </c>
      <c r="L226" s="16" t="s">
        <v>425</v>
      </c>
      <c r="M226" s="62" t="e">
        <f t="shared" si="11"/>
        <v>#N/A</v>
      </c>
      <c r="N226" s="62">
        <f t="shared" si="9"/>
        <v>3.7959259259259019E-2</v>
      </c>
      <c r="P226" t="s">
        <v>4</v>
      </c>
    </row>
    <row r="227" spans="1:16" ht="15" x14ac:dyDescent="0.2">
      <c r="A227">
        <v>5174</v>
      </c>
      <c r="B227" t="s">
        <v>362</v>
      </c>
      <c r="C227" t="s">
        <v>399</v>
      </c>
      <c r="D227" t="s">
        <v>267</v>
      </c>
      <c r="E227">
        <v>-6.15555555555551E-2</v>
      </c>
      <c r="F227">
        <v>-4.9244444444443897E-2</v>
      </c>
      <c r="G227">
        <v>-5.5399999999999797E-2</v>
      </c>
      <c r="H227" s="65"/>
      <c r="I227" s="62">
        <f t="shared" si="10"/>
        <v>-5.5399999999999595E-2</v>
      </c>
      <c r="J227" s="66">
        <v>2</v>
      </c>
      <c r="K227" s="16" t="s">
        <v>423</v>
      </c>
      <c r="L227" s="16" t="s">
        <v>425</v>
      </c>
      <c r="M227" s="62" t="e">
        <f t="shared" si="11"/>
        <v>#N/A</v>
      </c>
      <c r="N227" s="62">
        <f t="shared" si="9"/>
        <v>-2.7699999999999798E-2</v>
      </c>
      <c r="P227" t="s">
        <v>4</v>
      </c>
    </row>
    <row r="228" spans="1:16" ht="15" x14ac:dyDescent="0.2">
      <c r="A228" t="s">
        <v>351</v>
      </c>
      <c r="B228" t="s">
        <v>362</v>
      </c>
      <c r="C228" t="s">
        <v>399</v>
      </c>
      <c r="D228" t="s">
        <v>267</v>
      </c>
      <c r="E228">
        <v>6.7711111111111E-2</v>
      </c>
      <c r="F228">
        <v>6.1555555555552598E-3</v>
      </c>
      <c r="G228">
        <v>-4.9244444444444598E-2</v>
      </c>
      <c r="H228" s="65"/>
      <c r="I228" s="62">
        <f t="shared" si="10"/>
        <v>8.2074074074072207E-3</v>
      </c>
      <c r="J228" s="66">
        <v>2</v>
      </c>
      <c r="K228" s="16" t="s">
        <v>423</v>
      </c>
      <c r="L228" s="16" t="s">
        <v>425</v>
      </c>
      <c r="M228" s="62" t="e">
        <f t="shared" si="11"/>
        <v>#N/A</v>
      </c>
      <c r="N228" s="62">
        <f t="shared" si="9"/>
        <v>4.1037037037036104E-3</v>
      </c>
      <c r="P228" t="s">
        <v>4</v>
      </c>
    </row>
    <row r="229" spans="1:16" ht="15" x14ac:dyDescent="0.2">
      <c r="A229" t="s">
        <v>348</v>
      </c>
      <c r="B229" t="s">
        <v>362</v>
      </c>
      <c r="C229" t="s">
        <v>399</v>
      </c>
      <c r="D229" t="s">
        <v>267</v>
      </c>
      <c r="E229">
        <v>2.4622222222222199</v>
      </c>
      <c r="F229">
        <v>2.5237777777777701</v>
      </c>
      <c r="G229">
        <v>2.1544444444444402</v>
      </c>
      <c r="H229" s="65"/>
      <c r="I229" s="62">
        <f t="shared" si="10"/>
        <v>2.3801481481481432</v>
      </c>
      <c r="J229" s="66">
        <v>2</v>
      </c>
      <c r="K229" s="16" t="s">
        <v>423</v>
      </c>
      <c r="L229" s="16" t="s">
        <v>425</v>
      </c>
      <c r="M229" s="62" t="e">
        <f t="shared" si="11"/>
        <v>#N/A</v>
      </c>
      <c r="N229" s="62">
        <f t="shared" si="9"/>
        <v>1.1900740740740716</v>
      </c>
      <c r="O229" t="s">
        <v>436</v>
      </c>
      <c r="P229" t="s">
        <v>6</v>
      </c>
    </row>
    <row r="230" spans="1:16" ht="15" x14ac:dyDescent="0.2">
      <c r="A230" t="s">
        <v>344</v>
      </c>
      <c r="B230" t="s">
        <v>362</v>
      </c>
      <c r="C230" t="s">
        <v>399</v>
      </c>
      <c r="D230" t="s">
        <v>267</v>
      </c>
      <c r="E230">
        <v>2.8931111111111099</v>
      </c>
      <c r="F230">
        <v>3.0039111111111101</v>
      </c>
      <c r="G230">
        <v>3.0162222222222201</v>
      </c>
      <c r="H230" s="65"/>
      <c r="I230" s="62">
        <f t="shared" si="10"/>
        <v>2.9710814814814803</v>
      </c>
      <c r="J230" s="66">
        <v>2</v>
      </c>
      <c r="K230" s="16" t="s">
        <v>423</v>
      </c>
      <c r="L230" s="16" t="s">
        <v>425</v>
      </c>
      <c r="M230" s="62" t="e">
        <f t="shared" si="11"/>
        <v>#N/A</v>
      </c>
      <c r="N230" s="62">
        <f t="shared" si="9"/>
        <v>1.4855407407407402</v>
      </c>
      <c r="O230" t="s">
        <v>436</v>
      </c>
      <c r="P230" t="s">
        <v>6</v>
      </c>
    </row>
    <row r="231" spans="1:16" ht="15" x14ac:dyDescent="0.2">
      <c r="A231" t="s">
        <v>350</v>
      </c>
      <c r="B231" t="s">
        <v>362</v>
      </c>
      <c r="C231" t="s">
        <v>399</v>
      </c>
      <c r="D231" t="s">
        <v>267</v>
      </c>
      <c r="E231">
        <v>2.2283111111111098</v>
      </c>
      <c r="F231">
        <v>2.1913777777777699</v>
      </c>
      <c r="G231">
        <v>2.11751111111111</v>
      </c>
      <c r="H231" s="65"/>
      <c r="I231" s="62">
        <f t="shared" si="10"/>
        <v>2.1790666666666634</v>
      </c>
      <c r="J231" s="66">
        <v>2</v>
      </c>
      <c r="K231" s="16" t="s">
        <v>423</v>
      </c>
      <c r="L231" s="16" t="s">
        <v>425</v>
      </c>
      <c r="M231" s="62" t="e">
        <f t="shared" si="11"/>
        <v>#N/A</v>
      </c>
      <c r="N231" s="62">
        <f t="shared" si="9"/>
        <v>1.0895333333333317</v>
      </c>
      <c r="O231" t="s">
        <v>436</v>
      </c>
      <c r="P231" t="s">
        <v>6</v>
      </c>
    </row>
    <row r="232" spans="1:16" ht="15" x14ac:dyDescent="0.2">
      <c r="A232" t="s">
        <v>341</v>
      </c>
      <c r="B232" t="s">
        <v>362</v>
      </c>
      <c r="C232" t="s">
        <v>399</v>
      </c>
      <c r="D232" t="s">
        <v>267</v>
      </c>
      <c r="E232">
        <v>-3.0777777777777501E-2</v>
      </c>
      <c r="F232">
        <v>-5.5399999999999797E-2</v>
      </c>
      <c r="G232">
        <v>-6.1555555555558904E-3</v>
      </c>
      <c r="H232" s="65"/>
      <c r="I232" s="62">
        <f t="shared" si="10"/>
        <v>-3.0777777777777727E-2</v>
      </c>
      <c r="J232" s="66">
        <v>2</v>
      </c>
      <c r="K232" s="16" t="s">
        <v>423</v>
      </c>
      <c r="L232" s="16" t="s">
        <v>425</v>
      </c>
      <c r="M232" s="62" t="e">
        <f t="shared" si="11"/>
        <v>#N/A</v>
      </c>
      <c r="N232" s="62">
        <f t="shared" si="9"/>
        <v>-1.5388888888888863E-2</v>
      </c>
      <c r="P232" t="s">
        <v>4</v>
      </c>
    </row>
    <row r="233" spans="1:16" ht="15" x14ac:dyDescent="0.2">
      <c r="A233" t="s">
        <v>340</v>
      </c>
      <c r="B233" t="s">
        <v>362</v>
      </c>
      <c r="C233" t="s">
        <v>399</v>
      </c>
      <c r="D233" t="s">
        <v>267</v>
      </c>
      <c r="E233">
        <v>2.4622222222222299E-2</v>
      </c>
      <c r="F233">
        <v>-6.1555555555552598E-3</v>
      </c>
      <c r="G233">
        <v>4.9244444444444598E-2</v>
      </c>
      <c r="H233" s="65"/>
      <c r="I233" s="62">
        <f t="shared" si="10"/>
        <v>2.2570370370370546E-2</v>
      </c>
      <c r="J233" s="66">
        <v>2</v>
      </c>
      <c r="K233" s="16" t="s">
        <v>423</v>
      </c>
      <c r="L233" s="16" t="s">
        <v>425</v>
      </c>
      <c r="M233" s="62" t="e">
        <f t="shared" si="11"/>
        <v>#N/A</v>
      </c>
      <c r="N233" s="62">
        <f t="shared" si="9"/>
        <v>1.1285185185185273E-2</v>
      </c>
      <c r="P233" t="s">
        <v>4</v>
      </c>
    </row>
    <row r="234" spans="1:16" ht="15" x14ac:dyDescent="0.2">
      <c r="A234" t="s">
        <v>339</v>
      </c>
      <c r="B234" t="s">
        <v>362</v>
      </c>
      <c r="C234" t="s">
        <v>399</v>
      </c>
      <c r="D234" t="s">
        <v>267</v>
      </c>
      <c r="E234">
        <v>3.6933333333332798E-2</v>
      </c>
      <c r="F234">
        <v>0.110799999999999</v>
      </c>
      <c r="G234">
        <v>0.11695555555555499</v>
      </c>
      <c r="H234" s="65"/>
      <c r="I234" s="62">
        <f t="shared" si="10"/>
        <v>8.8229629629628936E-2</v>
      </c>
      <c r="J234" s="66">
        <v>2</v>
      </c>
      <c r="K234" s="16" t="s">
        <v>423</v>
      </c>
      <c r="L234" s="16" t="s">
        <v>425</v>
      </c>
      <c r="M234" s="62" t="e">
        <f t="shared" si="11"/>
        <v>#N/A</v>
      </c>
      <c r="N234" s="62">
        <f t="shared" si="9"/>
        <v>4.4114814814814468E-2</v>
      </c>
      <c r="P234" t="s">
        <v>4</v>
      </c>
    </row>
    <row r="235" spans="1:16" ht="15" x14ac:dyDescent="0.2">
      <c r="A235" t="s">
        <v>338</v>
      </c>
      <c r="B235" t="s">
        <v>362</v>
      </c>
      <c r="C235" t="s">
        <v>399</v>
      </c>
      <c r="D235" t="s">
        <v>267</v>
      </c>
      <c r="E235">
        <v>-6.7711111111111E-2</v>
      </c>
      <c r="F235">
        <v>-6.1555555555555697E-2</v>
      </c>
      <c r="G235">
        <v>-0.1108</v>
      </c>
      <c r="H235" s="65"/>
      <c r="I235" s="62">
        <f t="shared" si="10"/>
        <v>-8.0022222222222231E-2</v>
      </c>
      <c r="J235" s="66">
        <v>2</v>
      </c>
      <c r="K235" s="16" t="s">
        <v>423</v>
      </c>
      <c r="L235" s="16" t="s">
        <v>425</v>
      </c>
      <c r="M235" s="62" t="e">
        <f t="shared" si="11"/>
        <v>#N/A</v>
      </c>
      <c r="N235" s="62">
        <f t="shared" si="9"/>
        <v>-4.0011111111111115E-2</v>
      </c>
      <c r="P235" t="s">
        <v>4</v>
      </c>
    </row>
    <row r="236" spans="1:16" ht="15" x14ac:dyDescent="0.2">
      <c r="A236" t="s">
        <v>346</v>
      </c>
      <c r="B236" t="s">
        <v>362</v>
      </c>
      <c r="C236" t="s">
        <v>399</v>
      </c>
      <c r="D236" t="s">
        <v>267</v>
      </c>
      <c r="E236">
        <v>7.38666666666669E-2</v>
      </c>
      <c r="F236">
        <v>1.2311111111111101E-2</v>
      </c>
      <c r="G236">
        <v>-4.9244444444443897E-2</v>
      </c>
      <c r="H236" s="65"/>
      <c r="I236" s="62">
        <f t="shared" si="10"/>
        <v>1.231111111111137E-2</v>
      </c>
      <c r="J236" s="66">
        <v>2</v>
      </c>
      <c r="K236" s="16" t="s">
        <v>423</v>
      </c>
      <c r="L236" s="16" t="s">
        <v>425</v>
      </c>
      <c r="M236" s="62" t="e">
        <f t="shared" si="11"/>
        <v>#N/A</v>
      </c>
      <c r="N236" s="62">
        <f t="shared" si="9"/>
        <v>6.1555555555556848E-3</v>
      </c>
      <c r="P236" t="s">
        <v>4</v>
      </c>
    </row>
    <row r="237" spans="1:16" ht="15" x14ac:dyDescent="0.2">
      <c r="A237" t="s">
        <v>349</v>
      </c>
      <c r="B237" t="s">
        <v>362</v>
      </c>
      <c r="C237" t="s">
        <v>399</v>
      </c>
      <c r="D237" t="s">
        <v>267</v>
      </c>
      <c r="E237">
        <v>9.2333333333333295E-2</v>
      </c>
      <c r="F237">
        <v>6.7711111111111E-2</v>
      </c>
      <c r="G237">
        <v>9.2333333333333295E-2</v>
      </c>
      <c r="H237" s="65"/>
      <c r="I237" s="62">
        <f t="shared" si="10"/>
        <v>8.4125925925925868E-2</v>
      </c>
      <c r="J237" s="66">
        <v>2</v>
      </c>
      <c r="K237" s="16" t="s">
        <v>423</v>
      </c>
      <c r="L237" s="16" t="s">
        <v>425</v>
      </c>
      <c r="M237" s="62" t="e">
        <f t="shared" si="11"/>
        <v>#N/A</v>
      </c>
      <c r="N237" s="62">
        <f t="shared" si="9"/>
        <v>4.2062962962962934E-2</v>
      </c>
      <c r="P237" t="s">
        <v>6</v>
      </c>
    </row>
    <row r="238" spans="1:16" ht="15" x14ac:dyDescent="0.2">
      <c r="A238" t="s">
        <v>342</v>
      </c>
      <c r="B238" t="s">
        <v>362</v>
      </c>
      <c r="C238" t="s">
        <v>399</v>
      </c>
      <c r="D238" t="s">
        <v>267</v>
      </c>
      <c r="E238">
        <v>1.8466666666666999E-2</v>
      </c>
      <c r="F238">
        <v>6.15555555555551E-2</v>
      </c>
      <c r="G238">
        <v>5.5399999999999797E-2</v>
      </c>
      <c r="H238" s="65"/>
      <c r="I238" s="62">
        <f t="shared" si="10"/>
        <v>4.5140740740740627E-2</v>
      </c>
      <c r="J238" s="66">
        <v>2</v>
      </c>
      <c r="K238" s="16" t="s">
        <v>423</v>
      </c>
      <c r="L238" s="16" t="s">
        <v>425</v>
      </c>
      <c r="M238" s="62" t="e">
        <f t="shared" si="11"/>
        <v>#N/A</v>
      </c>
      <c r="N238" s="62">
        <f t="shared" si="9"/>
        <v>2.2570370370370314E-2</v>
      </c>
      <c r="P238" t="s">
        <v>4</v>
      </c>
    </row>
    <row r="239" spans="1:16" ht="15" x14ac:dyDescent="0.2">
      <c r="A239" t="s">
        <v>345</v>
      </c>
      <c r="B239" t="s">
        <v>362</v>
      </c>
      <c r="C239" t="s">
        <v>399</v>
      </c>
      <c r="D239" t="s">
        <v>267</v>
      </c>
      <c r="E239">
        <v>3.6933333333333401E-2</v>
      </c>
      <c r="F239">
        <v>5.5399999999999797E-2</v>
      </c>
      <c r="G239">
        <v>6.1555555555552598E-3</v>
      </c>
      <c r="H239" s="65"/>
      <c r="I239" s="62">
        <f t="shared" si="10"/>
        <v>3.2829629629629486E-2</v>
      </c>
      <c r="J239" s="66">
        <v>2</v>
      </c>
      <c r="K239" s="16" t="s">
        <v>423</v>
      </c>
      <c r="L239" s="16" t="s">
        <v>425</v>
      </c>
      <c r="M239" s="62" t="e">
        <f t="shared" si="11"/>
        <v>#N/A</v>
      </c>
      <c r="N239" s="62">
        <f t="shared" si="9"/>
        <v>1.6414814814814743E-2</v>
      </c>
      <c r="P239" t="s">
        <v>4</v>
      </c>
    </row>
    <row r="240" spans="1:16" ht="15" x14ac:dyDescent="0.2">
      <c r="A240" t="s">
        <v>337</v>
      </c>
      <c r="B240" t="s">
        <v>362</v>
      </c>
      <c r="C240" t="s">
        <v>399</v>
      </c>
      <c r="D240" t="s">
        <v>267</v>
      </c>
      <c r="E240">
        <v>0</v>
      </c>
      <c r="F240">
        <v>3.0777777777777501E-2</v>
      </c>
      <c r="G240">
        <v>-4.3088888888889898E-2</v>
      </c>
      <c r="H240" s="65"/>
      <c r="I240" s="62">
        <f t="shared" si="10"/>
        <v>-4.1037037037041325E-3</v>
      </c>
      <c r="J240" s="66">
        <v>2</v>
      </c>
      <c r="K240" s="16" t="s">
        <v>423</v>
      </c>
      <c r="L240" s="16" t="s">
        <v>425</v>
      </c>
      <c r="M240" s="62" t="e">
        <f t="shared" si="11"/>
        <v>#N/A</v>
      </c>
      <c r="N240" s="62">
        <f t="shared" si="9"/>
        <v>-2.0518518518520663E-3</v>
      </c>
      <c r="P240" t="s">
        <v>4</v>
      </c>
    </row>
    <row r="241" spans="1:16" ht="15" x14ac:dyDescent="0.2">
      <c r="A241" t="s">
        <v>347</v>
      </c>
      <c r="B241" t="s">
        <v>362</v>
      </c>
      <c r="C241" t="s">
        <v>399</v>
      </c>
      <c r="D241" t="s">
        <v>267</v>
      </c>
      <c r="E241">
        <v>-4.3088888888889301E-2</v>
      </c>
      <c r="F241">
        <v>6.1555555555552598E-3</v>
      </c>
      <c r="G241">
        <v>2.4622222222222299E-2</v>
      </c>
      <c r="H241" s="65"/>
      <c r="I241" s="62">
        <f t="shared" si="10"/>
        <v>-4.1037037037039139E-3</v>
      </c>
      <c r="J241" s="66">
        <v>2</v>
      </c>
      <c r="K241" s="16" t="s">
        <v>423</v>
      </c>
      <c r="L241" s="16" t="s">
        <v>425</v>
      </c>
      <c r="M241" s="62" t="e">
        <f t="shared" si="11"/>
        <v>#N/A</v>
      </c>
      <c r="N241" s="62">
        <f t="shared" si="9"/>
        <v>-2.051851851851957E-3</v>
      </c>
      <c r="P241" t="s">
        <v>4</v>
      </c>
    </row>
    <row r="242" spans="1:16" ht="15" x14ac:dyDescent="0.2">
      <c r="A242" t="s">
        <v>352</v>
      </c>
      <c r="B242" t="s">
        <v>362</v>
      </c>
      <c r="C242" t="s">
        <v>399</v>
      </c>
      <c r="D242" t="s">
        <v>267</v>
      </c>
      <c r="E242">
        <v>2.8254000000000001</v>
      </c>
      <c r="F242">
        <v>2.73922222222222</v>
      </c>
      <c r="G242">
        <v>2.7946222222222201</v>
      </c>
      <c r="H242" s="65"/>
      <c r="I242" s="62">
        <f t="shared" si="10"/>
        <v>2.7864148148148136</v>
      </c>
      <c r="J242" s="66">
        <v>2</v>
      </c>
      <c r="K242" s="16" t="s">
        <v>423</v>
      </c>
      <c r="L242" s="16" t="s">
        <v>425</v>
      </c>
      <c r="M242" s="62" t="e">
        <f t="shared" si="11"/>
        <v>#N/A</v>
      </c>
      <c r="N242" s="62">
        <f t="shared" si="9"/>
        <v>1.3932074074074068</v>
      </c>
      <c r="O242" t="s">
        <v>436</v>
      </c>
      <c r="P242" t="s">
        <v>6</v>
      </c>
    </row>
    <row r="243" spans="1:16" ht="15" x14ac:dyDescent="0.2">
      <c r="A243" t="s">
        <v>343</v>
      </c>
      <c r="B243" t="s">
        <v>362</v>
      </c>
      <c r="C243" t="s">
        <v>399</v>
      </c>
      <c r="D243" t="s">
        <v>267</v>
      </c>
      <c r="E243">
        <v>6.15555555555551E-2</v>
      </c>
      <c r="F243">
        <v>5.5400000000000497E-2</v>
      </c>
      <c r="G243">
        <v>4.9244444444444598E-2</v>
      </c>
      <c r="H243" s="65"/>
      <c r="I243" s="62">
        <f t="shared" si="10"/>
        <v>5.540000000000006E-2</v>
      </c>
      <c r="J243" s="66">
        <v>2</v>
      </c>
      <c r="K243" s="16" t="s">
        <v>423</v>
      </c>
      <c r="L243" s="16" t="s">
        <v>425</v>
      </c>
      <c r="M243" s="62" t="e">
        <f t="shared" si="11"/>
        <v>#N/A</v>
      </c>
      <c r="N243" s="62">
        <f t="shared" si="9"/>
        <v>2.770000000000003E-2</v>
      </c>
      <c r="P243" t="s">
        <v>4</v>
      </c>
    </row>
    <row r="244" spans="1:16" ht="15" x14ac:dyDescent="0.2">
      <c r="A244" t="s">
        <v>413</v>
      </c>
      <c r="B244" t="s">
        <v>362</v>
      </c>
      <c r="C244" t="s">
        <v>399</v>
      </c>
      <c r="D244" t="s">
        <v>267</v>
      </c>
      <c r="E244">
        <v>3.37324444444444</v>
      </c>
      <c r="F244">
        <v>3.3178444444444399</v>
      </c>
      <c r="G244">
        <v>3.4840444444444398</v>
      </c>
      <c r="H244" s="65"/>
      <c r="I244" s="62">
        <f t="shared" si="10"/>
        <v>3.3917111111111065</v>
      </c>
      <c r="J244" s="66">
        <v>2</v>
      </c>
      <c r="K244" s="16" t="s">
        <v>423</v>
      </c>
      <c r="L244" s="16" t="s">
        <v>425</v>
      </c>
      <c r="M244" s="62" t="e">
        <f t="shared" si="11"/>
        <v>#N/A</v>
      </c>
      <c r="N244" s="62">
        <f t="shared" si="9"/>
        <v>1.6958555555555532</v>
      </c>
      <c r="O244" t="s">
        <v>434</v>
      </c>
    </row>
    <row r="245" spans="1:16" ht="15" x14ac:dyDescent="0.2">
      <c r="A245" t="s">
        <v>396</v>
      </c>
      <c r="B245" t="s">
        <v>362</v>
      </c>
      <c r="C245" t="s">
        <v>399</v>
      </c>
      <c r="D245" t="s">
        <v>267</v>
      </c>
      <c r="E245">
        <v>4.9244444444444598E-2</v>
      </c>
      <c r="F245">
        <v>0.38779999999999898</v>
      </c>
      <c r="G245">
        <v>0.129266666666666</v>
      </c>
      <c r="H245" s="65"/>
      <c r="I245" s="62">
        <f t="shared" si="10"/>
        <v>0.18877037037036984</v>
      </c>
      <c r="J245" s="66">
        <v>2</v>
      </c>
      <c r="K245" s="16" t="s">
        <v>423</v>
      </c>
      <c r="L245" s="16" t="s">
        <v>425</v>
      </c>
      <c r="M245" s="62" t="e">
        <f t="shared" si="11"/>
        <v>#N/A</v>
      </c>
      <c r="N245" s="62">
        <f t="shared" si="9"/>
        <v>9.4385185185184919E-2</v>
      </c>
    </row>
    <row r="246" spans="1:16" ht="15" x14ac:dyDescent="0.2">
      <c r="A246" s="64"/>
      <c r="B246" s="65"/>
      <c r="C246" s="65"/>
      <c r="D246" s="65"/>
      <c r="E246" s="55"/>
      <c r="F246" s="55"/>
      <c r="G246" s="55"/>
      <c r="H246" s="65"/>
      <c r="I246" s="62"/>
      <c r="J246" s="66"/>
      <c r="K246" s="16"/>
      <c r="L246" s="16"/>
      <c r="M246" s="62"/>
      <c r="N246" s="62"/>
    </row>
    <row r="247" spans="1:16" ht="15" x14ac:dyDescent="0.2">
      <c r="A247" s="64"/>
      <c r="B247" s="65"/>
      <c r="C247" s="65"/>
      <c r="D247" s="65"/>
      <c r="E247" s="55"/>
      <c r="F247" s="55"/>
      <c r="G247" s="55"/>
      <c r="H247" s="65"/>
      <c r="I247" s="62"/>
      <c r="J247" s="66"/>
      <c r="K247" s="16"/>
      <c r="L247" s="16"/>
      <c r="M247" s="62"/>
      <c r="N247" s="62"/>
    </row>
    <row r="248" spans="1:16" ht="15" x14ac:dyDescent="0.2">
      <c r="A248" s="64"/>
      <c r="B248" s="65"/>
      <c r="C248" s="65"/>
      <c r="D248" s="65"/>
      <c r="E248" s="64"/>
      <c r="F248" s="64"/>
      <c r="G248" s="64"/>
      <c r="H248" s="65"/>
      <c r="I248" s="62"/>
      <c r="J248" s="66"/>
      <c r="K248" s="16"/>
      <c r="L248" s="16"/>
      <c r="M248" s="62"/>
      <c r="N248" s="62"/>
    </row>
    <row r="249" spans="1:16" ht="15" x14ac:dyDescent="0.2">
      <c r="A249" s="64"/>
      <c r="B249" s="65"/>
      <c r="C249" s="65"/>
      <c r="D249" s="65"/>
      <c r="E249" s="55"/>
      <c r="F249" s="55"/>
      <c r="G249" s="55"/>
      <c r="H249" s="65"/>
      <c r="I249" s="62"/>
      <c r="J249" s="66"/>
      <c r="K249" s="16"/>
      <c r="L249" s="16"/>
      <c r="M249" s="62"/>
      <c r="N249" s="62"/>
    </row>
    <row r="250" spans="1:16" ht="15" x14ac:dyDescent="0.2">
      <c r="A250" s="64"/>
      <c r="B250" s="65"/>
      <c r="C250" s="65"/>
      <c r="D250" s="65"/>
      <c r="E250" s="55"/>
      <c r="F250" s="55"/>
      <c r="G250" s="55"/>
      <c r="H250" s="65"/>
      <c r="I250" s="62"/>
      <c r="J250" s="66"/>
      <c r="K250" s="16"/>
      <c r="L250" s="16"/>
      <c r="M250" s="62"/>
      <c r="N250" s="62"/>
    </row>
    <row r="251" spans="1:16" ht="15" x14ac:dyDescent="0.2">
      <c r="A251" s="64"/>
      <c r="B251" s="65"/>
      <c r="C251" s="65"/>
      <c r="D251" s="65"/>
      <c r="E251" s="55"/>
      <c r="F251" s="55"/>
      <c r="G251" s="55"/>
      <c r="H251" s="65"/>
      <c r="I251" s="62"/>
      <c r="J251" s="66"/>
      <c r="K251" s="16"/>
      <c r="L251" s="16"/>
      <c r="M251" s="62"/>
      <c r="N251" s="62"/>
    </row>
    <row r="252" spans="1:16" ht="15" x14ac:dyDescent="0.2">
      <c r="A252" s="64"/>
      <c r="B252" s="65"/>
      <c r="C252" s="65"/>
      <c r="D252" s="65"/>
      <c r="E252" s="55"/>
      <c r="F252" s="55"/>
      <c r="G252" s="55"/>
      <c r="H252" s="65"/>
      <c r="I252" s="62"/>
      <c r="J252" s="66"/>
      <c r="K252" s="16"/>
      <c r="L252" s="16"/>
      <c r="M252" s="62"/>
      <c r="N252" s="62"/>
    </row>
    <row r="253" spans="1:16" ht="15" x14ac:dyDescent="0.2">
      <c r="A253" s="64"/>
      <c r="B253" s="65"/>
      <c r="C253" s="65"/>
      <c r="D253" s="65"/>
      <c r="E253" s="55"/>
      <c r="F253" s="55"/>
      <c r="G253" s="55"/>
      <c r="H253" s="65"/>
      <c r="I253" s="62"/>
      <c r="J253" s="66"/>
      <c r="K253" s="16"/>
      <c r="L253" s="16"/>
      <c r="M253" s="62"/>
      <c r="N253" s="62"/>
    </row>
    <row r="254" spans="1:16" ht="15" x14ac:dyDescent="0.2">
      <c r="A254" s="64"/>
      <c r="B254" s="65"/>
      <c r="C254" s="65"/>
      <c r="D254" s="65"/>
      <c r="E254" s="55"/>
      <c r="F254" s="55"/>
      <c r="G254" s="55"/>
      <c r="H254" s="65"/>
      <c r="I254" s="62"/>
      <c r="J254" s="66"/>
      <c r="K254" s="16"/>
      <c r="L254" s="16"/>
      <c r="M254" s="62"/>
      <c r="N254" s="62"/>
    </row>
    <row r="255" spans="1:16" ht="15" x14ac:dyDescent="0.2">
      <c r="A255" s="64"/>
      <c r="B255" s="65"/>
      <c r="C255" s="65"/>
      <c r="D255" s="65"/>
      <c r="E255" s="55"/>
      <c r="F255" s="55"/>
      <c r="G255" s="55"/>
      <c r="H255" s="65"/>
      <c r="I255" s="62"/>
      <c r="J255" s="66"/>
      <c r="K255" s="16"/>
      <c r="L255" s="16"/>
      <c r="M255" s="62"/>
      <c r="N255" s="62"/>
    </row>
    <row r="256" spans="1:16" ht="15" x14ac:dyDescent="0.2">
      <c r="A256" s="64"/>
      <c r="B256" s="65"/>
      <c r="C256" s="65"/>
      <c r="D256" s="65"/>
      <c r="E256" s="55"/>
      <c r="F256" s="55"/>
      <c r="G256" s="55"/>
      <c r="H256" s="65"/>
      <c r="I256" s="62"/>
      <c r="J256" s="66"/>
      <c r="K256" s="16"/>
      <c r="L256" s="16"/>
      <c r="M256" s="62"/>
      <c r="N256" s="62"/>
    </row>
    <row r="257" spans="1:14" ht="15" x14ac:dyDescent="0.2">
      <c r="A257" s="64"/>
      <c r="B257" s="65"/>
      <c r="C257" s="65"/>
      <c r="D257" s="65"/>
      <c r="E257" s="55"/>
      <c r="F257" s="55"/>
      <c r="G257" s="55"/>
      <c r="H257" s="65"/>
      <c r="I257" s="62"/>
      <c r="J257" s="66"/>
      <c r="K257" s="16"/>
      <c r="L257" s="16"/>
      <c r="M257" s="62"/>
      <c r="N257" s="62"/>
    </row>
    <row r="258" spans="1:14" ht="15" x14ac:dyDescent="0.2">
      <c r="A258" s="64"/>
      <c r="B258" s="65"/>
      <c r="C258" s="65"/>
      <c r="D258" s="65"/>
      <c r="E258" s="55"/>
      <c r="F258" s="55"/>
      <c r="G258" s="55"/>
      <c r="H258" s="65"/>
      <c r="I258" s="62"/>
      <c r="J258" s="66"/>
      <c r="K258" s="16"/>
      <c r="L258" s="16"/>
      <c r="M258" s="62"/>
      <c r="N258" s="62"/>
    </row>
    <row r="259" spans="1:14" ht="15" x14ac:dyDescent="0.2">
      <c r="A259" s="64"/>
      <c r="B259" s="65"/>
      <c r="C259" s="65"/>
      <c r="D259" s="65"/>
      <c r="E259" s="55"/>
      <c r="F259" s="55"/>
      <c r="G259" s="55"/>
      <c r="H259" s="65"/>
      <c r="I259" s="62"/>
      <c r="J259" s="66"/>
      <c r="K259" s="16"/>
      <c r="L259" s="16"/>
      <c r="M259" s="62"/>
      <c r="N259" s="62"/>
    </row>
    <row r="260" spans="1:14" ht="15" x14ac:dyDescent="0.2">
      <c r="A260" s="64"/>
      <c r="B260" s="65"/>
      <c r="C260" s="65"/>
      <c r="D260" s="65"/>
      <c r="E260" s="55"/>
      <c r="F260" s="55"/>
      <c r="G260" s="55"/>
      <c r="H260" s="65"/>
      <c r="I260" s="62"/>
      <c r="J260" s="66"/>
      <c r="K260" s="16"/>
      <c r="L260" s="16"/>
      <c r="M260" s="62"/>
      <c r="N260" s="62"/>
    </row>
    <row r="261" spans="1:14" ht="15" x14ac:dyDescent="0.2">
      <c r="A261" s="64"/>
      <c r="B261" s="65"/>
      <c r="C261" s="65"/>
      <c r="D261" s="65"/>
      <c r="E261" s="64"/>
      <c r="F261" s="64"/>
      <c r="G261" s="64"/>
      <c r="H261" s="65"/>
      <c r="I261" s="62"/>
      <c r="J261" s="66"/>
      <c r="K261" s="16"/>
      <c r="L261" s="16"/>
      <c r="M261" s="62"/>
      <c r="N261" s="62"/>
    </row>
    <row r="262" spans="1:14" ht="15" x14ac:dyDescent="0.2">
      <c r="A262" s="64"/>
      <c r="B262" s="65"/>
      <c r="C262" s="65"/>
      <c r="D262" s="65"/>
      <c r="E262" s="64"/>
      <c r="F262" s="64"/>
      <c r="G262" s="64"/>
      <c r="H262" s="65"/>
      <c r="I262" s="62"/>
      <c r="J262" s="66"/>
      <c r="K262" s="16"/>
      <c r="L262" s="16"/>
      <c r="M262" s="62"/>
      <c r="N262" s="62"/>
    </row>
    <row r="263" spans="1:14" ht="15" x14ac:dyDescent="0.2">
      <c r="A263" s="64"/>
      <c r="B263" s="65"/>
      <c r="C263" s="65"/>
      <c r="D263" s="65"/>
      <c r="E263" s="55"/>
      <c r="F263" s="55"/>
      <c r="G263" s="55"/>
      <c r="H263" s="65"/>
      <c r="I263" s="62"/>
      <c r="J263" s="66"/>
      <c r="K263" s="16"/>
      <c r="L263" s="16"/>
      <c r="M263" s="62"/>
      <c r="N263" s="62"/>
    </row>
    <row r="264" spans="1:14" ht="15" x14ac:dyDescent="0.2">
      <c r="A264" s="64"/>
      <c r="B264" s="65"/>
      <c r="C264" s="65"/>
      <c r="D264" s="65"/>
      <c r="E264" s="55"/>
      <c r="F264" s="55"/>
      <c r="G264" s="55"/>
      <c r="H264" s="65"/>
      <c r="I264" s="62"/>
      <c r="J264" s="66"/>
      <c r="K264" s="16"/>
      <c r="L264" s="16"/>
      <c r="M264" s="62"/>
      <c r="N264" s="62"/>
    </row>
    <row r="265" spans="1:14" ht="15" x14ac:dyDescent="0.2">
      <c r="A265" s="64"/>
      <c r="B265" s="65"/>
      <c r="C265" s="65"/>
      <c r="D265" s="65"/>
      <c r="E265" s="55"/>
      <c r="F265" s="55"/>
      <c r="G265" s="55"/>
      <c r="H265" s="65"/>
      <c r="I265" s="62"/>
      <c r="J265" s="66"/>
      <c r="K265" s="16"/>
      <c r="L265" s="16"/>
      <c r="M265" s="62"/>
      <c r="N265" s="62"/>
    </row>
    <row r="266" spans="1:14" ht="15" x14ac:dyDescent="0.2">
      <c r="A266" s="64"/>
      <c r="B266" s="65"/>
      <c r="C266" s="65"/>
      <c r="D266" s="65"/>
      <c r="E266" s="64"/>
      <c r="F266" s="64"/>
      <c r="G266" s="64"/>
      <c r="H266" s="65"/>
      <c r="I266" s="62"/>
      <c r="J266" s="66"/>
      <c r="K266" s="16"/>
      <c r="L266" s="16"/>
      <c r="M266" s="62"/>
      <c r="N266" s="62"/>
    </row>
    <row r="267" spans="1:14" ht="15" x14ac:dyDescent="0.2">
      <c r="A267" s="64"/>
      <c r="B267" s="65"/>
      <c r="C267" s="65"/>
      <c r="D267" s="65"/>
      <c r="E267" s="55"/>
      <c r="F267" s="55"/>
      <c r="G267" s="55"/>
      <c r="H267" s="65"/>
      <c r="I267" s="62"/>
      <c r="J267" s="66"/>
      <c r="K267" s="16"/>
      <c r="L267" s="16"/>
      <c r="M267" s="62"/>
      <c r="N267" s="62"/>
    </row>
    <row r="268" spans="1:14" ht="15" x14ac:dyDescent="0.2">
      <c r="A268" s="64"/>
      <c r="B268" s="65"/>
      <c r="C268" s="65"/>
      <c r="D268" s="65"/>
      <c r="E268" s="55"/>
      <c r="F268" s="55"/>
      <c r="G268" s="55"/>
      <c r="H268" s="65"/>
      <c r="I268" s="62"/>
      <c r="J268" s="66"/>
      <c r="K268" s="16"/>
      <c r="L268" s="16"/>
      <c r="M268" s="62"/>
      <c r="N268" s="62"/>
    </row>
    <row r="269" spans="1:14" ht="15" x14ac:dyDescent="0.2">
      <c r="A269" s="64"/>
      <c r="B269" s="65"/>
      <c r="C269" s="65"/>
      <c r="D269" s="65"/>
      <c r="E269" s="55"/>
      <c r="F269" s="55"/>
      <c r="G269" s="55"/>
      <c r="H269" s="65"/>
      <c r="I269" s="62"/>
      <c r="J269" s="66"/>
      <c r="K269" s="16"/>
      <c r="L269" s="16"/>
      <c r="M269" s="62"/>
      <c r="N269" s="62"/>
    </row>
    <row r="270" spans="1:14" ht="15" x14ac:dyDescent="0.2">
      <c r="A270" s="64"/>
      <c r="B270" s="65"/>
      <c r="C270" s="65"/>
      <c r="D270" s="65"/>
      <c r="E270" s="55"/>
      <c r="F270" s="55"/>
      <c r="G270" s="55"/>
      <c r="H270" s="65"/>
      <c r="I270" s="62"/>
      <c r="J270" s="66"/>
      <c r="K270" s="16"/>
      <c r="L270" s="16"/>
      <c r="M270" s="62"/>
      <c r="N270" s="62"/>
    </row>
    <row r="271" spans="1:14" ht="15" x14ac:dyDescent="0.2">
      <c r="A271" s="64"/>
      <c r="B271" s="65"/>
      <c r="C271" s="65"/>
      <c r="D271" s="65"/>
      <c r="E271" s="55"/>
      <c r="F271" s="55"/>
      <c r="G271" s="55"/>
      <c r="H271" s="65"/>
      <c r="I271" s="62"/>
      <c r="J271" s="66"/>
      <c r="K271" s="16"/>
      <c r="L271" s="16"/>
      <c r="M271" s="62"/>
      <c r="N271" s="62"/>
    </row>
    <row r="272" spans="1:14" ht="15" x14ac:dyDescent="0.2">
      <c r="A272" s="64"/>
      <c r="B272" s="65"/>
      <c r="C272" s="65"/>
      <c r="D272" s="65"/>
      <c r="E272" s="64"/>
      <c r="F272" s="64"/>
      <c r="G272" s="64"/>
      <c r="H272" s="65"/>
      <c r="I272" s="62"/>
      <c r="J272" s="66"/>
      <c r="K272" s="16"/>
      <c r="L272" s="16"/>
      <c r="M272" s="62"/>
      <c r="N272" s="62"/>
    </row>
    <row r="273" spans="1:14" ht="15" x14ac:dyDescent="0.2">
      <c r="A273" s="64"/>
      <c r="B273" s="65"/>
      <c r="C273" s="65"/>
      <c r="D273" s="65"/>
      <c r="E273" s="55"/>
      <c r="F273" s="55"/>
      <c r="G273" s="55"/>
      <c r="H273" s="65"/>
      <c r="I273" s="62"/>
      <c r="J273" s="66"/>
      <c r="K273" s="16"/>
      <c r="L273" s="16"/>
      <c r="M273" s="62"/>
      <c r="N273" s="62"/>
    </row>
    <row r="274" spans="1:14" ht="15" x14ac:dyDescent="0.2">
      <c r="A274" s="64"/>
      <c r="B274" s="65"/>
      <c r="C274" s="65"/>
      <c r="D274" s="65"/>
      <c r="E274" s="55"/>
      <c r="F274" s="55"/>
      <c r="G274" s="55"/>
      <c r="H274" s="65"/>
      <c r="I274" s="62"/>
      <c r="J274" s="66"/>
      <c r="K274" s="16"/>
      <c r="L274" s="16"/>
      <c r="M274" s="62"/>
      <c r="N274" s="62"/>
    </row>
    <row r="275" spans="1:14" ht="15" x14ac:dyDescent="0.2">
      <c r="A275" s="64"/>
      <c r="B275" s="65"/>
      <c r="C275" s="65"/>
      <c r="D275" s="65"/>
      <c r="E275" s="55"/>
      <c r="F275" s="55"/>
      <c r="G275" s="55"/>
      <c r="H275" s="65"/>
      <c r="I275" s="62"/>
      <c r="J275" s="66"/>
      <c r="K275" s="16"/>
      <c r="L275" s="16"/>
      <c r="M275" s="62"/>
      <c r="N275" s="62"/>
    </row>
    <row r="276" spans="1:14" ht="15" x14ac:dyDescent="0.2">
      <c r="A276" s="64"/>
      <c r="B276" s="65"/>
      <c r="C276" s="65"/>
      <c r="D276" s="65"/>
      <c r="E276" s="55"/>
      <c r="F276" s="55"/>
      <c r="G276" s="55"/>
      <c r="H276" s="65"/>
      <c r="I276" s="62"/>
      <c r="J276" s="66"/>
      <c r="K276" s="16"/>
      <c r="L276" s="16"/>
      <c r="M276" s="62"/>
      <c r="N276" s="62"/>
    </row>
    <row r="277" spans="1:14" ht="15" x14ac:dyDescent="0.2">
      <c r="A277" s="64"/>
      <c r="B277" s="65"/>
      <c r="C277" s="65"/>
      <c r="D277" s="65"/>
      <c r="E277" s="55"/>
      <c r="F277" s="55"/>
      <c r="G277" s="55"/>
      <c r="H277" s="65"/>
      <c r="I277" s="62"/>
      <c r="J277" s="66"/>
      <c r="K277" s="16"/>
      <c r="L277" s="16"/>
      <c r="M277" s="62"/>
      <c r="N277" s="62"/>
    </row>
    <row r="278" spans="1:14" ht="15" x14ac:dyDescent="0.2">
      <c r="A278" s="55"/>
      <c r="B278" s="65"/>
      <c r="C278" s="65"/>
      <c r="D278" s="65"/>
      <c r="E278" s="55"/>
      <c r="F278" s="55"/>
      <c r="G278" s="55"/>
      <c r="H278" s="65"/>
      <c r="I278" s="62"/>
      <c r="J278" s="66"/>
      <c r="K278" s="16"/>
      <c r="L278" s="16"/>
      <c r="M278" s="62"/>
      <c r="N278" s="62"/>
    </row>
    <row r="279" spans="1:14" ht="15" x14ac:dyDescent="0.2">
      <c r="A279" s="64"/>
      <c r="B279" s="65"/>
      <c r="C279" s="65"/>
      <c r="D279" s="65"/>
      <c r="E279" s="55"/>
      <c r="F279" s="55"/>
      <c r="G279" s="55"/>
      <c r="H279" s="65"/>
      <c r="I279" s="62"/>
      <c r="J279" s="66"/>
      <c r="K279" s="16"/>
      <c r="L279" s="16"/>
      <c r="M279" s="62"/>
      <c r="N279" s="62"/>
    </row>
    <row r="280" spans="1:14" ht="15" x14ac:dyDescent="0.2">
      <c r="A280" s="64"/>
      <c r="B280" s="65"/>
      <c r="C280" s="65"/>
      <c r="D280" s="65"/>
      <c r="E280" s="55"/>
      <c r="F280" s="55"/>
      <c r="G280" s="55"/>
      <c r="H280" s="65"/>
      <c r="I280" s="62"/>
      <c r="J280" s="66"/>
      <c r="K280" s="16"/>
      <c r="L280" s="16"/>
      <c r="M280" s="62"/>
      <c r="N280" s="62"/>
    </row>
    <row r="281" spans="1:14" ht="15" x14ac:dyDescent="0.2">
      <c r="A281" s="64"/>
      <c r="B281" s="65"/>
      <c r="C281" s="65"/>
      <c r="D281" s="65"/>
      <c r="E281" s="64"/>
      <c r="F281" s="64"/>
      <c r="G281" s="64"/>
      <c r="H281" s="65"/>
      <c r="I281" s="62"/>
      <c r="J281" s="66"/>
      <c r="K281" s="16"/>
      <c r="L281" s="16"/>
      <c r="M281" s="62"/>
      <c r="N281" s="62"/>
    </row>
    <row r="282" spans="1:14" ht="15" x14ac:dyDescent="0.2">
      <c r="A282" s="64"/>
      <c r="B282" s="65"/>
      <c r="C282" s="65"/>
      <c r="D282" s="65"/>
      <c r="E282" s="55"/>
      <c r="F282" s="55"/>
      <c r="G282" s="55"/>
      <c r="H282" s="65"/>
      <c r="I282" s="62"/>
      <c r="J282" s="66"/>
      <c r="K282" s="16"/>
      <c r="L282" s="16"/>
      <c r="M282" s="62"/>
      <c r="N282" s="62"/>
    </row>
    <row r="283" spans="1:14" ht="15" x14ac:dyDescent="0.2">
      <c r="A283" s="64"/>
      <c r="B283" s="65"/>
      <c r="C283" s="65"/>
      <c r="D283" s="65"/>
      <c r="E283" s="55"/>
      <c r="F283" s="55"/>
      <c r="G283" s="55"/>
      <c r="H283" s="65"/>
      <c r="I283" s="62"/>
      <c r="J283" s="66"/>
      <c r="K283" s="16"/>
      <c r="L283" s="16"/>
      <c r="M283" s="62"/>
      <c r="N283" s="62"/>
    </row>
    <row r="284" spans="1:14" ht="15" x14ac:dyDescent="0.2">
      <c r="A284" s="64"/>
      <c r="B284" s="65"/>
      <c r="C284" s="65"/>
      <c r="D284" s="65"/>
      <c r="E284" s="55"/>
      <c r="F284" s="55"/>
      <c r="G284" s="55"/>
      <c r="H284" s="65"/>
      <c r="I284" s="62"/>
      <c r="J284" s="66"/>
      <c r="K284" s="16"/>
      <c r="L284" s="16"/>
      <c r="M284" s="62"/>
      <c r="N284" s="62"/>
    </row>
    <row r="285" spans="1:14" ht="15" x14ac:dyDescent="0.2">
      <c r="A285" s="55"/>
      <c r="B285" s="65"/>
      <c r="C285" s="65"/>
      <c r="D285" s="65"/>
      <c r="E285" s="55"/>
      <c r="F285" s="55"/>
      <c r="G285" s="55"/>
      <c r="H285" s="65"/>
      <c r="I285" s="62"/>
      <c r="J285" s="66"/>
      <c r="K285" s="16"/>
      <c r="L285" s="16"/>
      <c r="M285" s="62"/>
      <c r="N285" s="62"/>
    </row>
    <row r="286" spans="1:14" ht="15" x14ac:dyDescent="0.2">
      <c r="A286" s="64"/>
      <c r="B286" s="65"/>
      <c r="C286" s="65"/>
      <c r="D286" s="65"/>
      <c r="E286" s="55"/>
      <c r="F286" s="55"/>
      <c r="G286" s="55"/>
      <c r="H286" s="65"/>
      <c r="I286" s="62"/>
      <c r="J286" s="66"/>
      <c r="K286" s="16"/>
      <c r="L286" s="16"/>
      <c r="M286" s="62"/>
      <c r="N286" s="62"/>
    </row>
    <row r="287" spans="1:14" ht="15" x14ac:dyDescent="0.2">
      <c r="A287" s="64"/>
      <c r="B287" s="65"/>
      <c r="C287" s="65"/>
      <c r="D287" s="65"/>
      <c r="E287" s="55"/>
      <c r="F287" s="55"/>
      <c r="G287" s="55"/>
      <c r="H287" s="65"/>
      <c r="I287" s="62"/>
      <c r="J287" s="66"/>
      <c r="K287" s="16"/>
      <c r="L287" s="16"/>
      <c r="M287" s="62"/>
      <c r="N287" s="62"/>
    </row>
    <row r="288" spans="1:14" ht="15" x14ac:dyDescent="0.2">
      <c r="A288" s="64"/>
      <c r="B288" s="65"/>
      <c r="C288" s="65"/>
      <c r="D288" s="65"/>
      <c r="E288" s="55"/>
      <c r="F288" s="55"/>
      <c r="G288" s="55"/>
      <c r="H288" s="65"/>
      <c r="I288" s="62"/>
      <c r="J288" s="66"/>
      <c r="K288" s="16"/>
      <c r="L288" s="16"/>
      <c r="M288" s="62"/>
      <c r="N288" s="62"/>
    </row>
    <row r="289" spans="1:14" ht="15" x14ac:dyDescent="0.2">
      <c r="A289" s="64"/>
      <c r="B289" s="65"/>
      <c r="C289" s="65"/>
      <c r="D289" s="65"/>
      <c r="E289" s="55"/>
      <c r="F289" s="55"/>
      <c r="G289" s="55"/>
      <c r="H289" s="65"/>
      <c r="I289" s="62"/>
      <c r="J289" s="66"/>
      <c r="K289" s="16"/>
      <c r="L289" s="16"/>
      <c r="M289" s="62"/>
      <c r="N289" s="62"/>
    </row>
    <row r="290" spans="1:14" ht="15" x14ac:dyDescent="0.2">
      <c r="A290" s="55"/>
      <c r="B290" s="65"/>
      <c r="C290" s="65"/>
      <c r="D290" s="65"/>
      <c r="E290" s="55"/>
      <c r="F290" s="55"/>
      <c r="G290" s="55"/>
      <c r="H290" s="65"/>
      <c r="I290" s="62"/>
      <c r="J290" s="66"/>
      <c r="K290" s="16"/>
      <c r="L290" s="16"/>
      <c r="M290" s="62"/>
      <c r="N290" s="62"/>
    </row>
    <row r="291" spans="1:14" ht="15" x14ac:dyDescent="0.2">
      <c r="A291" s="64"/>
      <c r="B291" s="65"/>
      <c r="C291" s="65"/>
      <c r="D291" s="65"/>
      <c r="E291" s="55"/>
      <c r="F291" s="55"/>
      <c r="G291" s="55"/>
      <c r="H291" s="65"/>
      <c r="I291" s="62"/>
      <c r="J291" s="66"/>
      <c r="K291" s="16"/>
      <c r="L291" s="16"/>
      <c r="M291" s="62"/>
      <c r="N291" s="62"/>
    </row>
    <row r="292" spans="1:14" ht="15" x14ac:dyDescent="0.2">
      <c r="A292" s="55"/>
      <c r="B292" s="65"/>
      <c r="C292" s="65"/>
      <c r="D292" s="65"/>
      <c r="E292" s="55"/>
      <c r="F292" s="55"/>
      <c r="G292" s="55"/>
      <c r="H292" s="65"/>
      <c r="I292" s="62"/>
      <c r="J292" s="66"/>
      <c r="K292" s="16"/>
      <c r="L292" s="16"/>
      <c r="M292" s="62"/>
      <c r="N292" s="62"/>
    </row>
    <row r="293" spans="1:14" ht="15" x14ac:dyDescent="0.2">
      <c r="A293" s="64"/>
      <c r="B293" s="65"/>
      <c r="C293" s="65"/>
      <c r="D293" s="65"/>
      <c r="E293" s="55"/>
      <c r="F293" s="55"/>
      <c r="G293" s="55"/>
      <c r="H293" s="65"/>
      <c r="I293" s="62"/>
      <c r="J293" s="66"/>
      <c r="K293" s="16"/>
      <c r="L293" s="16"/>
      <c r="M293" s="62"/>
      <c r="N293" s="62"/>
    </row>
    <row r="294" spans="1:14" ht="15" x14ac:dyDescent="0.2">
      <c r="A294" s="64"/>
      <c r="B294" s="65"/>
      <c r="C294" s="65"/>
      <c r="D294" s="65"/>
      <c r="E294" s="64"/>
      <c r="F294" s="64"/>
      <c r="G294" s="64"/>
      <c r="H294" s="65"/>
      <c r="I294" s="62"/>
      <c r="J294" s="66"/>
      <c r="K294" s="16"/>
      <c r="L294" s="16"/>
      <c r="M294" s="62"/>
      <c r="N294" s="62"/>
    </row>
    <row r="295" spans="1:14" ht="15" x14ac:dyDescent="0.2">
      <c r="A295" s="64"/>
      <c r="B295" s="65"/>
      <c r="C295" s="65"/>
      <c r="D295" s="65"/>
      <c r="E295" s="55"/>
      <c r="F295" s="55"/>
      <c r="G295" s="55"/>
      <c r="H295" s="65"/>
      <c r="I295" s="62"/>
      <c r="J295" s="66"/>
      <c r="K295" s="16"/>
      <c r="L295" s="16"/>
      <c r="M295" s="62"/>
      <c r="N295" s="62"/>
    </row>
    <row r="296" spans="1:14" ht="15" x14ac:dyDescent="0.2">
      <c r="A296" s="64"/>
      <c r="B296" s="65"/>
      <c r="C296" s="65"/>
      <c r="D296" s="65"/>
      <c r="E296" s="55"/>
      <c r="F296" s="55"/>
      <c r="G296" s="55"/>
      <c r="H296" s="65"/>
      <c r="I296" s="62"/>
      <c r="J296" s="66"/>
      <c r="K296" s="16"/>
      <c r="L296" s="16"/>
      <c r="M296" s="62"/>
      <c r="N296" s="62"/>
    </row>
    <row r="297" spans="1:14" ht="15" x14ac:dyDescent="0.2">
      <c r="A297" s="64"/>
      <c r="B297" s="65"/>
      <c r="C297" s="65"/>
      <c r="D297" s="65"/>
      <c r="E297" s="55"/>
      <c r="F297" s="55"/>
      <c r="G297" s="55"/>
      <c r="H297" s="65"/>
      <c r="I297" s="62"/>
      <c r="J297" s="66"/>
      <c r="K297" s="16"/>
      <c r="L297" s="16"/>
      <c r="M297" s="62"/>
      <c r="N297" s="62"/>
    </row>
    <row r="298" spans="1:14" ht="15" x14ac:dyDescent="0.2">
      <c r="A298" s="64"/>
      <c r="B298" s="65"/>
      <c r="C298" s="65"/>
      <c r="D298" s="65"/>
      <c r="E298" s="64"/>
      <c r="F298" s="64"/>
      <c r="G298" s="64"/>
      <c r="H298" s="65"/>
      <c r="I298" s="62"/>
      <c r="J298" s="66"/>
      <c r="K298" s="16"/>
      <c r="L298" s="16"/>
      <c r="M298" s="62"/>
      <c r="N298" s="62"/>
    </row>
    <row r="299" spans="1:14" ht="15" x14ac:dyDescent="0.2">
      <c r="A299" s="64"/>
      <c r="B299" s="65"/>
      <c r="C299" s="65"/>
      <c r="D299" s="65"/>
      <c r="E299" s="55"/>
      <c r="F299" s="55"/>
      <c r="G299" s="55"/>
      <c r="H299" s="65"/>
      <c r="I299" s="62"/>
      <c r="J299" s="66"/>
      <c r="K299" s="16"/>
      <c r="L299" s="16"/>
      <c r="M299" s="62"/>
      <c r="N299" s="62"/>
    </row>
    <row r="300" spans="1:14" ht="15" x14ac:dyDescent="0.2">
      <c r="A300" s="55"/>
      <c r="B300" s="65"/>
      <c r="C300" s="65"/>
      <c r="D300" s="65"/>
      <c r="E300" s="55"/>
      <c r="F300" s="55"/>
      <c r="G300" s="55"/>
      <c r="H300" s="65"/>
      <c r="I300" s="62"/>
      <c r="J300" s="66"/>
      <c r="K300" s="16"/>
      <c r="L300" s="16"/>
      <c r="M300" s="62"/>
      <c r="N300" s="62"/>
    </row>
    <row r="301" spans="1:14" ht="15" x14ac:dyDescent="0.2">
      <c r="A301" s="64"/>
      <c r="B301" s="65"/>
      <c r="C301" s="65"/>
      <c r="D301" s="65"/>
      <c r="E301" s="55"/>
      <c r="F301" s="55"/>
      <c r="G301" s="55"/>
      <c r="H301" s="65"/>
      <c r="I301" s="62"/>
      <c r="J301" s="66"/>
      <c r="K301" s="16"/>
      <c r="L301" s="16"/>
      <c r="M301" s="62"/>
      <c r="N301" s="62"/>
    </row>
    <row r="302" spans="1:14" ht="15" x14ac:dyDescent="0.2">
      <c r="A302" s="64"/>
      <c r="B302" s="65"/>
      <c r="C302" s="65"/>
      <c r="D302" s="65"/>
      <c r="E302" s="55"/>
      <c r="F302" s="55"/>
      <c r="G302" s="55"/>
      <c r="H302" s="65"/>
      <c r="I302" s="62"/>
      <c r="J302" s="66"/>
      <c r="K302" s="16"/>
      <c r="L302" s="16"/>
      <c r="M302" s="62"/>
      <c r="N302" s="62"/>
    </row>
    <row r="303" spans="1:14" ht="15" x14ac:dyDescent="0.2">
      <c r="A303" s="64"/>
      <c r="B303" s="65"/>
      <c r="C303" s="65"/>
      <c r="D303" s="65"/>
      <c r="E303" s="55"/>
      <c r="F303" s="55"/>
      <c r="G303" s="55"/>
      <c r="H303" s="65"/>
      <c r="I303" s="62"/>
      <c r="J303" s="66"/>
      <c r="K303" s="16"/>
      <c r="L303" s="16"/>
      <c r="M303" s="62"/>
      <c r="N303" s="62"/>
    </row>
    <row r="304" spans="1:14" ht="15" x14ac:dyDescent="0.2">
      <c r="A304" s="64"/>
      <c r="B304" s="65"/>
      <c r="C304" s="65"/>
      <c r="D304" s="65"/>
      <c r="E304" s="55"/>
      <c r="F304" s="55"/>
      <c r="G304" s="55"/>
      <c r="H304" s="65"/>
      <c r="I304" s="62"/>
      <c r="J304" s="66"/>
      <c r="K304" s="16"/>
      <c r="L304" s="16"/>
      <c r="M304" s="62"/>
      <c r="N304" s="62"/>
    </row>
    <row r="305" spans="1:14" ht="15" x14ac:dyDescent="0.2">
      <c r="A305" s="55"/>
      <c r="B305" s="65"/>
      <c r="C305" s="65"/>
      <c r="D305" s="65"/>
      <c r="E305" s="55"/>
      <c r="F305" s="55"/>
      <c r="G305" s="55"/>
      <c r="H305" s="65"/>
      <c r="I305" s="62"/>
      <c r="J305" s="66"/>
      <c r="K305" s="16"/>
      <c r="L305" s="16"/>
      <c r="M305" s="62"/>
      <c r="N305" s="62"/>
    </row>
    <row r="306" spans="1:14" ht="15" x14ac:dyDescent="0.2">
      <c r="A306" s="64"/>
      <c r="B306" s="65"/>
      <c r="C306" s="65"/>
      <c r="D306" s="65"/>
      <c r="E306" s="55"/>
      <c r="F306" s="55"/>
      <c r="G306" s="55"/>
      <c r="H306" s="65"/>
      <c r="I306" s="62"/>
      <c r="J306" s="66"/>
      <c r="K306" s="16"/>
      <c r="L306" s="16"/>
      <c r="M306" s="62"/>
      <c r="N306" s="62"/>
    </row>
    <row r="307" spans="1:14" ht="15" x14ac:dyDescent="0.2">
      <c r="A307" s="64"/>
      <c r="B307" s="65"/>
      <c r="C307" s="65"/>
      <c r="D307" s="65"/>
      <c r="E307" s="55"/>
      <c r="F307" s="55"/>
      <c r="G307" s="55"/>
      <c r="H307" s="65"/>
      <c r="I307" s="62"/>
      <c r="J307" s="66"/>
      <c r="K307" s="16"/>
      <c r="L307" s="16"/>
      <c r="M307" s="62"/>
      <c r="N307" s="62"/>
    </row>
    <row r="308" spans="1:14" ht="15" x14ac:dyDescent="0.2">
      <c r="A308" s="64"/>
      <c r="B308" s="65"/>
      <c r="C308" s="65"/>
      <c r="D308" s="65"/>
      <c r="E308" s="55"/>
      <c r="F308" s="55"/>
      <c r="G308" s="55"/>
      <c r="H308" s="65"/>
      <c r="I308" s="62"/>
      <c r="J308" s="66"/>
      <c r="K308" s="16"/>
      <c r="L308" s="16"/>
      <c r="M308" s="62"/>
      <c r="N308" s="62"/>
    </row>
    <row r="309" spans="1:14" ht="15" x14ac:dyDescent="0.2">
      <c r="A309" s="64"/>
      <c r="B309" s="65"/>
      <c r="C309" s="65"/>
      <c r="D309" s="65"/>
      <c r="E309" s="55"/>
      <c r="F309" s="55"/>
      <c r="G309" s="55"/>
      <c r="H309" s="65"/>
      <c r="I309" s="62"/>
      <c r="J309" s="66"/>
      <c r="K309" s="16"/>
      <c r="L309" s="16"/>
      <c r="M309" s="62"/>
      <c r="N309" s="62"/>
    </row>
    <row r="310" spans="1:14" ht="15" x14ac:dyDescent="0.2">
      <c r="A310" s="64"/>
      <c r="B310" s="65"/>
      <c r="C310" s="65"/>
      <c r="D310" s="65"/>
      <c r="E310" s="55"/>
      <c r="F310" s="55"/>
      <c r="G310" s="55"/>
      <c r="H310" s="65"/>
      <c r="I310" s="62"/>
      <c r="J310" s="66"/>
      <c r="K310" s="16"/>
      <c r="L310" s="16"/>
      <c r="M310" s="62"/>
      <c r="N310" s="62"/>
    </row>
    <row r="311" spans="1:14" ht="15" x14ac:dyDescent="0.2">
      <c r="A311" s="64"/>
      <c r="B311" s="65"/>
      <c r="C311" s="65"/>
      <c r="D311" s="65"/>
      <c r="E311" s="55"/>
      <c r="F311" s="55"/>
      <c r="G311" s="55"/>
      <c r="H311" s="65"/>
      <c r="I311" s="62"/>
      <c r="J311" s="66"/>
      <c r="K311" s="16"/>
      <c r="L311" s="16"/>
      <c r="M311" s="62"/>
      <c r="N311" s="62"/>
    </row>
    <row r="312" spans="1:14" ht="15" x14ac:dyDescent="0.2">
      <c r="A312" s="64"/>
      <c r="B312" s="65"/>
      <c r="C312" s="65"/>
      <c r="D312" s="65"/>
      <c r="E312" s="55"/>
      <c r="F312" s="55"/>
      <c r="G312" s="55"/>
      <c r="H312" s="65"/>
      <c r="I312" s="62"/>
      <c r="J312" s="66"/>
      <c r="K312" s="16"/>
      <c r="L312" s="16"/>
      <c r="M312" s="62"/>
      <c r="N312" s="6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6"/>
  <sheetViews>
    <sheetView workbookViewId="0">
      <selection activeCell="A5" sqref="A5"/>
    </sheetView>
  </sheetViews>
  <sheetFormatPr baseColWidth="10" defaultColWidth="12.5" defaultRowHeight="15" customHeight="1" x14ac:dyDescent="0.15"/>
  <sheetData>
    <row r="1" spans="1:1" ht="15" customHeight="1" x14ac:dyDescent="0.2">
      <c r="A1" s="67" t="s">
        <v>361</v>
      </c>
    </row>
    <row r="2" spans="1:1" ht="15" customHeight="1" x14ac:dyDescent="0.2">
      <c r="A2" s="16" t="s">
        <v>427</v>
      </c>
    </row>
    <row r="3" spans="1:1" ht="15" customHeight="1" x14ac:dyDescent="0.2">
      <c r="A3" s="67" t="s">
        <v>362</v>
      </c>
    </row>
    <row r="4" spans="1:1" ht="15" customHeight="1" x14ac:dyDescent="0.2">
      <c r="A4" s="75" t="s">
        <v>428</v>
      </c>
    </row>
    <row r="5" spans="1:1" ht="15" customHeight="1" x14ac:dyDescent="0.2">
      <c r="A5" s="16" t="s">
        <v>417</v>
      </c>
    </row>
    <row r="6" spans="1:1" ht="13" x14ac:dyDescent="0.15">
      <c r="A6" s="62" t="s">
        <v>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11</vt:i4>
      </vt:variant>
    </vt:vector>
  </HeadingPairs>
  <TitlesOfParts>
    <vt:vector size="11" baseType="lpstr">
      <vt:lpstr>round1_CuSOD</vt:lpstr>
      <vt:lpstr>round1_MDH</vt:lpstr>
      <vt:lpstr>round2_CuSOD</vt:lpstr>
      <vt:lpstr>round2_MDH</vt:lpstr>
      <vt:lpstr>round3_CuSOD</vt:lpstr>
      <vt:lpstr>round3_MDH</vt:lpstr>
      <vt:lpstr>Summary</vt:lpstr>
      <vt:lpstr>Methods</vt:lpstr>
      <vt:lpstr>CuSOD_assay_data</vt:lpstr>
      <vt:lpstr>MDH_assay_data</vt:lpstr>
      <vt:lpstr>Assay_data_notes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Schmid  Helen</cp:lastModifiedBy>
  <dcterms:created xsi:type="dcterms:W3CDTF">2025-12-01T14:09:53Z</dcterms:created>
  <dcterms:modified xsi:type="dcterms:W3CDTF">2025-12-01T14:59:07Z</dcterms:modified>
</cp:coreProperties>
</file>